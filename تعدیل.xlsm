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\Desktop\"/>
    </mc:Choice>
  </mc:AlternateContent>
  <xr:revisionPtr revIDLastSave="0" documentId="13_ncr:1_{51889FA4-CE58-42E7-858C-75C0814796B2}" xr6:coauthVersionLast="47" xr6:coauthVersionMax="47" xr10:uidLastSave="{00000000-0000-0000-0000-000000000000}"/>
  <bookViews>
    <workbookView xWindow="12000" yWindow="0" windowWidth="12000" windowHeight="12900" tabRatio="667" activeTab="2" xr2:uid="{00000000-000D-0000-FFFF-FFFF00000000}"/>
  </bookViews>
  <sheets>
    <sheet name="اطلاعات اولیه" sheetId="10" r:id="rId1"/>
    <sheet name="صورت وضعیت" sheetId="9" r:id="rId2"/>
    <sheet name="خلاصه" sheetId="8" r:id="rId3"/>
    <sheet name="تعدیل" sheetId="1" r:id="rId4"/>
    <sheet name="ابنیه" sheetId="4" r:id="rId5"/>
    <sheet name="مکانیک" sheetId="6" r:id="rId6"/>
    <sheet name="برقی" sheetId="7" r:id="rId7"/>
    <sheet name="شبکه جمع آوری و انتقال فاضلاب" sheetId="11" r:id="rId8"/>
    <sheet name="انتقال و توزيع آب روستايي" sheetId="13" r:id="rId9"/>
  </sheets>
  <functionGroups builtInGroupCount="19"/>
  <definedNames>
    <definedName name="_xlnm.Print_Area" localSheetId="8">'انتقال و توزيع آب روستايي'!$A$1:$CQ$100</definedName>
    <definedName name="_xlnm.Print_Area" localSheetId="6">برقی!$A$1:$CQ$100</definedName>
    <definedName name="_xlnm.Print_Area" localSheetId="2">خلاصه!$A$1:$L$26</definedName>
    <definedName name="_xlnm.Print_Area" localSheetId="5">مکانیک!$A$1:$CQ$100</definedName>
    <definedName name="ابنیه" localSheetId="8">تعدیل!#REF!</definedName>
    <definedName name="ابنیه">تعدیل!#REF!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I5" i="1"/>
  <c r="L5" i="1" s="1"/>
  <c r="O4" i="1"/>
  <c r="I4" i="1"/>
  <c r="L4" i="1" s="1"/>
  <c r="Q3" i="1"/>
  <c r="E9" i="8"/>
  <c r="AK16" i="9"/>
  <c r="AK17" i="9"/>
  <c r="AK18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E18" i="9"/>
  <c r="E19" i="9" s="1"/>
  <c r="F18" i="9"/>
  <c r="F19" i="9" s="1"/>
  <c r="G18" i="9"/>
  <c r="G19" i="9" s="1"/>
  <c r="H18" i="9"/>
  <c r="H19" i="9" s="1"/>
  <c r="I18" i="9"/>
  <c r="I19" i="9" s="1"/>
  <c r="J18" i="9"/>
  <c r="J19" i="9" s="1"/>
  <c r="K18" i="9"/>
  <c r="K19" i="9" s="1"/>
  <c r="L18" i="9"/>
  <c r="L19" i="9" s="1"/>
  <c r="M18" i="9"/>
  <c r="M19" i="9" s="1"/>
  <c r="N18" i="9"/>
  <c r="N19" i="9" s="1"/>
  <c r="O18" i="9"/>
  <c r="O19" i="9" s="1"/>
  <c r="P18" i="9"/>
  <c r="P19" i="9" s="1"/>
  <c r="Q18" i="9"/>
  <c r="Q19" i="9" s="1"/>
  <c r="R18" i="9"/>
  <c r="R19" i="9" s="1"/>
  <c r="S18" i="9"/>
  <c r="S19" i="9" s="1"/>
  <c r="T18" i="9"/>
  <c r="T19" i="9" s="1"/>
  <c r="U18" i="9"/>
  <c r="U19" i="9" s="1"/>
  <c r="V18" i="9"/>
  <c r="V19" i="9" s="1"/>
  <c r="W18" i="9"/>
  <c r="W19" i="9" s="1"/>
  <c r="X18" i="9"/>
  <c r="X19" i="9" s="1"/>
  <c r="Y18" i="9"/>
  <c r="Y19" i="9" s="1"/>
  <c r="Z18" i="9"/>
  <c r="Z19" i="9" s="1"/>
  <c r="AA18" i="9"/>
  <c r="AA19" i="9" s="1"/>
  <c r="AB18" i="9"/>
  <c r="AB19" i="9" s="1"/>
  <c r="AC18" i="9"/>
  <c r="AC19" i="9" s="1"/>
  <c r="AD18" i="9"/>
  <c r="AD19" i="9" s="1"/>
  <c r="AE18" i="9"/>
  <c r="AE19" i="9" s="1"/>
  <c r="AF18" i="9"/>
  <c r="AF19" i="9" s="1"/>
  <c r="AG18" i="9"/>
  <c r="AG19" i="9" s="1"/>
  <c r="AH18" i="9"/>
  <c r="AH19" i="9" s="1"/>
  <c r="AI18" i="9"/>
  <c r="AI19" i="9" s="1"/>
  <c r="AJ18" i="9"/>
  <c r="AJ19" i="9" s="1"/>
  <c r="M5" i="1"/>
  <c r="C12" i="8"/>
  <c r="N4" i="1"/>
  <c r="N5" i="1"/>
  <c r="M4" i="1"/>
  <c r="AJ21" i="9" l="1"/>
  <c r="P4" i="1"/>
  <c r="Q4" i="1" s="1"/>
  <c r="P5" i="1"/>
  <c r="Q5" i="1" s="1"/>
  <c r="AK19" i="9"/>
  <c r="AK21" i="9" s="1"/>
  <c r="H8" i="8"/>
  <c r="C8" i="9"/>
  <c r="D8" i="9"/>
  <c r="BQ100" i="4" l="1"/>
  <c r="BP100" i="4"/>
  <c r="BO100" i="4"/>
  <c r="BN100" i="4"/>
  <c r="AC100" i="4"/>
  <c r="AB100" i="4"/>
  <c r="AA100" i="4"/>
  <c r="Z100" i="4"/>
  <c r="Y100" i="4"/>
  <c r="X100" i="4"/>
  <c r="W100" i="4"/>
  <c r="U100" i="4"/>
  <c r="T100" i="4"/>
  <c r="S100" i="4"/>
  <c r="Q100" i="4"/>
  <c r="P100" i="4"/>
  <c r="N100" i="4"/>
  <c r="M100" i="4"/>
  <c r="L100" i="4"/>
  <c r="K100" i="4"/>
  <c r="I100" i="4"/>
  <c r="H100" i="4"/>
  <c r="G100" i="4"/>
  <c r="F100" i="4"/>
  <c r="E100" i="4"/>
  <c r="D100" i="4"/>
  <c r="B100" i="4"/>
  <c r="BQ31" i="4"/>
  <c r="BO31" i="4"/>
  <c r="BN31" i="4"/>
  <c r="BO30" i="4"/>
  <c r="BN30" i="4"/>
  <c r="BO29" i="4"/>
  <c r="BN29" i="4"/>
  <c r="BO28" i="4"/>
  <c r="BN28" i="4"/>
  <c r="BO27" i="4"/>
  <c r="BN27" i="4"/>
  <c r="BO26" i="4"/>
  <c r="BN26" i="4"/>
  <c r="BO25" i="4"/>
  <c r="BN25" i="4"/>
  <c r="BO24" i="4"/>
  <c r="BN24" i="4"/>
  <c r="BO23" i="4"/>
  <c r="BN23" i="4"/>
  <c r="BO22" i="4"/>
  <c r="BN22" i="4"/>
  <c r="BO21" i="4"/>
  <c r="BN21" i="4"/>
  <c r="BO20" i="4"/>
  <c r="BN20" i="4"/>
  <c r="BO19" i="4"/>
  <c r="BN19" i="4"/>
  <c r="BO18" i="4"/>
  <c r="BN18" i="4"/>
  <c r="BO17" i="4"/>
  <c r="BN17" i="4"/>
  <c r="BO16" i="4"/>
  <c r="BN16" i="4"/>
  <c r="BO15" i="4"/>
  <c r="BN15" i="4"/>
  <c r="BO14" i="4"/>
  <c r="BN14" i="4"/>
  <c r="BO13" i="4"/>
  <c r="BN13" i="4"/>
  <c r="BO12" i="4"/>
  <c r="BN12" i="4"/>
  <c r="BO11" i="4"/>
  <c r="BN1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N100" i="6"/>
  <c r="AC100" i="6"/>
  <c r="AB100" i="6"/>
  <c r="Y100" i="6"/>
  <c r="X100" i="6"/>
  <c r="W100" i="6"/>
  <c r="U100" i="6"/>
  <c r="T100" i="6"/>
  <c r="Q100" i="6"/>
  <c r="P100" i="6"/>
  <c r="O100" i="6"/>
  <c r="N100" i="6"/>
  <c r="M100" i="6"/>
  <c r="L100" i="6"/>
  <c r="J100" i="6"/>
  <c r="H100" i="6"/>
  <c r="G100" i="6"/>
  <c r="F100" i="6"/>
  <c r="E100" i="6"/>
  <c r="D100" i="6"/>
  <c r="C100" i="6"/>
  <c r="B100" i="6"/>
  <c r="AM25" i="6"/>
  <c r="E6" i="6"/>
  <c r="BQ100" i="7"/>
  <c r="BP100" i="7"/>
  <c r="U100" i="7"/>
  <c r="T100" i="7"/>
  <c r="S100" i="7"/>
  <c r="P100" i="7"/>
  <c r="O100" i="7"/>
  <c r="N100" i="7"/>
  <c r="M100" i="7"/>
  <c r="L100" i="7"/>
  <c r="K100" i="7"/>
  <c r="J100" i="7"/>
  <c r="I100" i="7"/>
  <c r="H100" i="7"/>
  <c r="F100" i="7"/>
  <c r="E100" i="7"/>
  <c r="D100" i="7"/>
  <c r="C100" i="7"/>
  <c r="B100" i="7"/>
  <c r="BW100" i="11"/>
  <c r="BV100" i="11"/>
  <c r="BU100" i="11"/>
  <c r="BO100" i="11"/>
  <c r="BN100" i="11"/>
  <c r="BI100" i="11"/>
  <c r="BH100" i="11"/>
  <c r="BG100" i="11"/>
  <c r="BF100" i="11"/>
  <c r="BW20" i="11"/>
  <c r="BV20" i="11"/>
  <c r="BU20" i="11"/>
  <c r="BO20" i="11"/>
  <c r="BN20" i="11"/>
  <c r="BW19" i="11"/>
  <c r="BV19" i="11"/>
  <c r="BU19" i="11"/>
  <c r="BO19" i="11"/>
  <c r="BN19" i="11"/>
  <c r="BW18" i="11"/>
  <c r="BV18" i="11"/>
  <c r="BU18" i="11"/>
  <c r="BO18" i="11"/>
  <c r="BN18" i="11"/>
  <c r="BW17" i="11"/>
  <c r="BV17" i="11"/>
  <c r="BU17" i="11"/>
  <c r="BO17" i="11"/>
  <c r="BN17" i="11"/>
  <c r="BW16" i="11"/>
  <c r="BV16" i="11"/>
  <c r="BU16" i="11"/>
  <c r="BO16" i="11"/>
  <c r="BN16" i="11"/>
  <c r="BW15" i="11"/>
  <c r="BV15" i="11"/>
  <c r="BO15" i="11"/>
  <c r="BN15" i="11"/>
  <c r="BW14" i="11"/>
  <c r="BV14" i="11"/>
  <c r="BU14" i="11"/>
  <c r="BO14" i="11"/>
  <c r="BN14" i="11"/>
  <c r="BW13" i="11"/>
  <c r="BV13" i="11"/>
  <c r="BU13" i="11"/>
  <c r="BO13" i="11"/>
  <c r="BN13" i="11"/>
  <c r="BW12" i="11"/>
  <c r="BV12" i="11"/>
  <c r="BU12" i="11"/>
  <c r="BO12" i="11"/>
  <c r="BN12" i="11"/>
  <c r="BW11" i="11"/>
  <c r="BV11" i="11"/>
  <c r="BU11" i="11"/>
  <c r="BO11" i="11"/>
  <c r="BN11" i="11"/>
  <c r="BW10" i="11"/>
  <c r="BV10" i="11"/>
  <c r="BU10" i="11"/>
  <c r="BO10" i="11"/>
  <c r="BN10" i="11"/>
  <c r="BW9" i="11"/>
  <c r="BV9" i="11"/>
  <c r="BU9" i="11"/>
  <c r="BO9" i="11"/>
  <c r="BN9" i="11"/>
  <c r="BW8" i="11"/>
  <c r="BV8" i="11"/>
  <c r="BU8" i="11"/>
  <c r="BO8" i="11"/>
  <c r="BN8" i="11"/>
  <c r="BW7" i="11"/>
  <c r="BV7" i="11"/>
  <c r="BU7" i="11"/>
  <c r="BO7" i="11"/>
  <c r="BN7" i="11"/>
  <c r="BW6" i="11"/>
  <c r="BV6" i="11"/>
  <c r="BU6" i="11"/>
  <c r="BO6" i="11"/>
  <c r="BN6" i="11"/>
  <c r="BW5" i="11"/>
  <c r="BV5" i="11"/>
  <c r="BU5" i="11"/>
  <c r="BO5" i="11"/>
  <c r="BN5" i="11"/>
  <c r="BW4" i="11"/>
  <c r="BV4" i="11"/>
  <c r="BU4" i="11"/>
  <c r="BO4" i="11"/>
  <c r="BN4" i="11"/>
  <c r="BW3" i="11"/>
  <c r="BV3" i="11"/>
  <c r="BR3" i="11"/>
  <c r="BO3" i="11"/>
  <c r="BW100" i="13"/>
  <c r="BV100" i="13"/>
  <c r="BU100" i="13"/>
  <c r="BT100" i="13"/>
  <c r="BS100" i="13"/>
  <c r="BR100" i="13"/>
  <c r="BS20" i="13"/>
  <c r="BR20" i="13"/>
  <c r="BS19" i="13"/>
  <c r="BR19" i="13"/>
  <c r="BS18" i="13"/>
  <c r="BR18" i="13"/>
  <c r="BS17" i="13"/>
  <c r="BR17" i="13"/>
  <c r="BS16" i="13"/>
  <c r="BR16" i="13"/>
  <c r="BS15" i="13"/>
  <c r="BR15" i="13"/>
  <c r="BS14" i="13"/>
  <c r="BR14" i="13"/>
  <c r="BS13" i="13"/>
  <c r="BR13" i="13"/>
  <c r="BS12" i="13"/>
  <c r="BR12" i="13"/>
  <c r="BS11" i="13"/>
  <c r="BR11" i="13"/>
  <c r="BS10" i="13"/>
  <c r="BR10" i="13"/>
  <c r="BS9" i="13"/>
  <c r="BR9" i="13"/>
  <c r="BS8" i="13"/>
  <c r="BR8" i="13"/>
  <c r="BS7" i="13"/>
  <c r="BR7" i="13"/>
  <c r="BS6" i="13"/>
  <c r="BR6" i="13"/>
  <c r="BS5" i="13"/>
  <c r="BR5" i="13"/>
  <c r="BS4" i="13"/>
  <c r="BS3" i="13"/>
  <c r="E11" i="8"/>
  <c r="D6" i="9"/>
  <c r="D4" i="9"/>
  <c r="D11" i="9"/>
  <c r="D3" i="9"/>
  <c r="D7" i="9"/>
  <c r="D2" i="9"/>
  <c r="C3" i="9"/>
  <c r="C11" i="9"/>
  <c r="D10" i="9"/>
  <c r="C9" i="9"/>
  <c r="D12" i="9"/>
  <c r="C12" i="9"/>
  <c r="C10" i="9"/>
  <c r="C7" i="9"/>
  <c r="C2" i="9"/>
  <c r="C6" i="9"/>
  <c r="D9" i="9"/>
  <c r="C5" i="9"/>
  <c r="D5" i="9"/>
  <c r="C4" i="9"/>
  <c r="D16" i="9" l="1"/>
  <c r="D18" i="9"/>
  <c r="D17" i="9"/>
  <c r="C16" i="9"/>
  <c r="C17" i="9"/>
  <c r="C18" i="9"/>
  <c r="D26" i="8"/>
  <c r="K24" i="8" s="1"/>
  <c r="K26" i="8" s="1"/>
  <c r="L12" i="8"/>
  <c r="L10" i="8"/>
  <c r="H9" i="8"/>
  <c r="L11" i="8"/>
  <c r="H10" i="8"/>
  <c r="J8" i="8"/>
  <c r="J10" i="8"/>
  <c r="H13" i="8"/>
  <c r="L9" i="8"/>
  <c r="J12" i="8"/>
  <c r="L6" i="8"/>
  <c r="H11" i="8"/>
  <c r="H12" i="8"/>
  <c r="J11" i="8"/>
  <c r="L13" i="8"/>
  <c r="J9" i="8"/>
  <c r="L8" i="8"/>
  <c r="J13" i="8"/>
  <c r="D19" i="9" l="1"/>
  <c r="C19" i="9"/>
  <c r="L15" i="8"/>
  <c r="H16" i="8"/>
  <c r="J18" i="8"/>
  <c r="J15" i="8"/>
  <c r="L17" i="8"/>
  <c r="L19" i="8"/>
  <c r="J16" i="8"/>
  <c r="H17" i="8"/>
  <c r="L18" i="8"/>
  <c r="H19" i="8"/>
  <c r="H18" i="8"/>
  <c r="L20" i="8"/>
  <c r="H15" i="8"/>
  <c r="L16" i="8"/>
  <c r="J17" i="8"/>
  <c r="J19" i="8"/>
  <c r="J20" i="8"/>
  <c r="H2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-</author>
  </authors>
  <commentList>
    <comment ref="A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تجهیز کارگاه
</t>
        </r>
      </text>
    </comment>
  </commentList>
</comments>
</file>

<file path=xl/sharedStrings.xml><?xml version="1.0" encoding="utf-8"?>
<sst xmlns="http://schemas.openxmlformats.org/spreadsheetml/2006/main" count="681" uniqueCount="142">
  <si>
    <t>مبلغ صورت وضعیت قبلی</t>
  </si>
  <si>
    <t>سال</t>
  </si>
  <si>
    <t>دوم</t>
  </si>
  <si>
    <t>شماره فصل</t>
  </si>
  <si>
    <t>اول</t>
  </si>
  <si>
    <t>سوم</t>
  </si>
  <si>
    <t>چهارم</t>
  </si>
  <si>
    <t>ضریب کاهش</t>
  </si>
  <si>
    <t>فهرست</t>
  </si>
  <si>
    <t>ابنیه</t>
  </si>
  <si>
    <t>شاخص اصلی</t>
  </si>
  <si>
    <t>۴ ۱۱۲۸</t>
  </si>
  <si>
    <t>۹ ۱۰۳۷</t>
  </si>
  <si>
    <t>۱.۴ ۱۰</t>
  </si>
  <si>
    <t>۶.۰ ۱۰</t>
  </si>
  <si>
    <t>.۷ ۱۰۸</t>
  </si>
  <si>
    <t>.۸ ۱۰۸</t>
  </si>
  <si>
    <t/>
  </si>
  <si>
    <t>جدول یک</t>
  </si>
  <si>
    <t>1.مشخصات پیمان</t>
  </si>
  <si>
    <t>2.مشخصات صورت وضعیت ها و دوره ها</t>
  </si>
  <si>
    <t>4-1</t>
  </si>
  <si>
    <t>6-1</t>
  </si>
  <si>
    <t>7-1</t>
  </si>
  <si>
    <t>8-1</t>
  </si>
  <si>
    <t>3.خلاصه محاسبه تعدیل</t>
  </si>
  <si>
    <t>مبلغ به ریال</t>
  </si>
  <si>
    <t>جمع مبالغ تعدیل لغایت صورت وضعیت قبل</t>
  </si>
  <si>
    <t>جمع مبالغ تعدیل تا صورت وضعیت 1  (حاصل جمع دو ردیف فوق)</t>
  </si>
  <si>
    <t xml:space="preserve">خلاصه اطلاعات تعدیل صورت وضعیت شماره  </t>
  </si>
  <si>
    <t>موضوع پیمان:</t>
  </si>
  <si>
    <t>نام کارفرما:</t>
  </si>
  <si>
    <t>نام مشاور یا دستگاه نظارت:</t>
  </si>
  <si>
    <t>نام سازنده یا پیمانکار:</t>
  </si>
  <si>
    <t>مدت پیمان(مدت مندرج در پیمان و مدت های تمدید شده(روز)):</t>
  </si>
  <si>
    <t>دوره مبنای پیمان :</t>
  </si>
  <si>
    <t>تاریخ شروع به کار  :</t>
  </si>
  <si>
    <t>فهرست بهای منضم به پیمان</t>
  </si>
  <si>
    <t>مبلغ تعدیل به ریال</t>
  </si>
  <si>
    <t>۲-۲. تاریخ صورت وضعیت قبلی:</t>
  </si>
  <si>
    <t xml:space="preserve">1-2. تاریخ صورت وضعیت فعلی:              </t>
  </si>
  <si>
    <t xml:space="preserve">۳-۲. مدت کارکرد (روز): </t>
  </si>
  <si>
    <t>۱-۴-۲. مدت کارکرد در دوره های سه ماهه</t>
  </si>
  <si>
    <t>۲-۴-۲. مدت کارکرد در دوره های سه ماهه</t>
  </si>
  <si>
    <t>۳-۴-۲. مدت کارکرد در دوره های سه ماهه</t>
  </si>
  <si>
    <t>۴-۴-۲. مدت کارکرد در دوره های سه ماهه</t>
  </si>
  <si>
    <t>1-5-2. نسبت کارکرد در دوره سه ماهه</t>
  </si>
  <si>
    <t>5-2. نسبت مدت کارکرد در هر دوره های سه ماهه مربوطه به مدت کارکرد:</t>
  </si>
  <si>
    <t>۴-۲. مدت کا کرد در دوره های سه ماهه مربوط به صورت وضعیت :</t>
  </si>
  <si>
    <t>روز</t>
  </si>
  <si>
    <t>4. وضعیت تعدیل قرارداد تا این صورت وضعیت</t>
  </si>
  <si>
    <t>تعدیل ما به التفاوت صورت وضعیت موقت و صورت وضعیت قبل از آن(نقل از جدول 3)</t>
  </si>
  <si>
    <t>نام فهرست</t>
  </si>
  <si>
    <t>8/6 10</t>
  </si>
  <si>
    <t>97/4 9</t>
  </si>
  <si>
    <t>132 /</t>
  </si>
  <si>
    <t>122 /</t>
  </si>
  <si>
    <t>دوم ۱</t>
  </si>
  <si>
    <t>دوم ۲</t>
  </si>
  <si>
    <t>دوم ۳</t>
  </si>
  <si>
    <t>۹-۱</t>
  </si>
  <si>
    <t>۱۰-۱</t>
  </si>
  <si>
    <t>۵-۴-۲. مدت کارکرد در دوره های سه ماهه</t>
  </si>
  <si>
    <t>۶-۴-۲. مدت کارکرد در دوره های سه ماهه</t>
  </si>
  <si>
    <t>2-5-2. نسبت کارکرد در دوره سه ماهه</t>
  </si>
  <si>
    <t>3-5-2. نسبت کارکرد در دوره سه ماهه</t>
  </si>
  <si>
    <t>4-5-2. نسبت کارکرد در دوره سه ماهه</t>
  </si>
  <si>
    <t>5-5-2. نسبت کارکرد در دوره سه ماهه</t>
  </si>
  <si>
    <t>6-5-2. نسبت کارکرد در دوره سه ماهه</t>
  </si>
  <si>
    <t>تاریخ مجاز پیمان :</t>
  </si>
  <si>
    <t>تاریخ اولیه اتمام پیمان :</t>
  </si>
  <si>
    <t>تاریخ تحویل موقت:</t>
  </si>
  <si>
    <t>مدت تمدید مجاز(روز):</t>
  </si>
  <si>
    <t>مدت مندرج در پیمان(ماه):</t>
  </si>
  <si>
    <t>دوره مبنا</t>
  </si>
  <si>
    <t>دوره کارکرد</t>
  </si>
  <si>
    <t>فصل</t>
  </si>
  <si>
    <t xml:space="preserve">مبلغ صورت وضعیت فعلی </t>
  </si>
  <si>
    <t>مبلغ ما‌به تفاوت دو صورت وضعیت</t>
  </si>
  <si>
    <t>تناسب در دوره</t>
  </si>
  <si>
    <t>مبلغ کارکرد به تناسب در دوره</t>
  </si>
  <si>
    <t>شاخص مبنا</t>
  </si>
  <si>
    <t>شاخص دوره</t>
  </si>
  <si>
    <t>ضریب تعدیل</t>
  </si>
  <si>
    <t>مبلغ تعدیل</t>
  </si>
  <si>
    <t>سه ماهه</t>
  </si>
  <si>
    <t>کل</t>
  </si>
  <si>
    <t>جزء</t>
  </si>
  <si>
    <t xml:space="preserve">صورت وضعیت فعلی </t>
  </si>
  <si>
    <t>صورت وضعیت قبلی</t>
  </si>
  <si>
    <t>صورت وضعیت 1</t>
  </si>
  <si>
    <t>صورت وضعیت 2</t>
  </si>
  <si>
    <t>صورت وضعیت 3</t>
  </si>
  <si>
    <t>صورت وضعیت 4</t>
  </si>
  <si>
    <t>صورت وضعیت 5</t>
  </si>
  <si>
    <t>صورت وضعیت 6</t>
  </si>
  <si>
    <t>صورت وضعیت 7</t>
  </si>
  <si>
    <t>صورت وضعیت 8</t>
  </si>
  <si>
    <t>صورت وضعیت 9</t>
  </si>
  <si>
    <t>دانشگاه گیلان</t>
  </si>
  <si>
    <t>صورت وضعیت 10</t>
  </si>
  <si>
    <t>5-1</t>
  </si>
  <si>
    <t>صورت وضعیت 11</t>
  </si>
  <si>
    <t>صورت وضعیت 12</t>
  </si>
  <si>
    <t>صورت وضعیت 13</t>
  </si>
  <si>
    <t>صورت وضعیت 14</t>
  </si>
  <si>
    <t>صورت وضعیت 15</t>
  </si>
  <si>
    <t>صورت وضعیت 16</t>
  </si>
  <si>
    <t>صورت وضعیت 17</t>
  </si>
  <si>
    <t>صورت وضعیت 18</t>
  </si>
  <si>
    <t>آخرین شاخص اعلامی</t>
  </si>
  <si>
    <t>فنداسیون، پی، اسکلت، و پوشش سقف دانشکده اقتصاد و مدیریت</t>
  </si>
  <si>
    <t>مهندسين مشاور بزرگ امید</t>
  </si>
  <si>
    <t>شرکت مهندسی راه و ساختمان آبرود شمال</t>
  </si>
  <si>
    <t>تاریخ صورت وضعیت</t>
  </si>
  <si>
    <t>چهارم 1</t>
  </si>
  <si>
    <t>چهارم 2</t>
  </si>
  <si>
    <t>چهارم 3</t>
  </si>
  <si>
    <t>صورت وضعیت 19</t>
  </si>
  <si>
    <t>صورت وضعیت 20</t>
  </si>
  <si>
    <t>صورت وضعیت 21</t>
  </si>
  <si>
    <t>صورت وضعیت 22</t>
  </si>
  <si>
    <t>صورت وضعیت 23</t>
  </si>
  <si>
    <t>صورت وضعیت 24</t>
  </si>
  <si>
    <t>صورت وضعیت 25</t>
  </si>
  <si>
    <t>صورت وضعیت 26</t>
  </si>
  <si>
    <t>صورت وضعیت 27</t>
  </si>
  <si>
    <t>صورت وضعیت 28</t>
  </si>
  <si>
    <t>صورت وضعیت 29</t>
  </si>
  <si>
    <t>برقی</t>
  </si>
  <si>
    <t>صورت وضعیت 30</t>
  </si>
  <si>
    <t>صورت وضعیت 31</t>
  </si>
  <si>
    <t>صورت وضعیت 32</t>
  </si>
  <si>
    <t>جمع ابنیه</t>
  </si>
  <si>
    <t>جمع برق</t>
  </si>
  <si>
    <t>تجهیز</t>
  </si>
  <si>
    <t>جمع کل</t>
  </si>
  <si>
    <t>صورت وضعیت 33</t>
  </si>
  <si>
    <t>نامجاز 1399 تير 1401 دي</t>
  </si>
  <si>
    <t>دوم 1</t>
  </si>
  <si>
    <t>دوم 2</t>
  </si>
  <si>
    <t>دوم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</si>
</sst>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 * #,##0.00_-_ر_ي_ا_ل_ ;_ * #,##0.00\-_ر_ي_ا_ل_ ;_ * &quot;-&quot;??_-_ر_ي_ا_ل_ ;_ @_ "/>
    <numFmt numFmtId="165" formatCode="0.0"/>
    <numFmt numFmtId="166" formatCode="0.0_ ;\-0.0\ "/>
    <numFmt numFmtId="167" formatCode="#\ ???/???"/>
    <numFmt numFmtId="168" formatCode="####&quot;/&quot;##&quot;/&quot;##"/>
    <numFmt numFmtId="169" formatCode="[$-3000401]0"/>
    <numFmt numFmtId="170" formatCode="#,##0.000"/>
    <numFmt numFmtId="171" formatCode="[$-3000401]0.#"/>
    <numFmt numFmtId="172" formatCode="[$-2000401]0.#"/>
    <numFmt numFmtId="173" formatCode="[$-2000401]0"/>
    <numFmt numFmtId="174" formatCode="#,##0_ ;\-#,##0\ "/>
    <numFmt numFmtId="175" formatCode="_-* #,##0.00_-;_-* #,##0.00\-;_-* &quot;-&quot;??_-;_-@_-"/>
  </numFmts>
  <fonts count="32" x14ac:knownFonts="1">
    <font>
      <sz val="11"/>
      <color theme="1"/>
      <name val="Calibri"/>
      <family val="2"/>
      <charset val="178"/>
      <scheme val="minor"/>
    </font>
    <font>
      <sz val="11"/>
      <color theme="1"/>
      <name val="B Titr"/>
      <charset val="178"/>
    </font>
    <font>
      <sz val="11"/>
      <name val="B Lotus"/>
      <charset val="178"/>
    </font>
    <font>
      <sz val="12"/>
      <color theme="1"/>
      <name val="B Nazanin"/>
      <charset val="178"/>
    </font>
    <font>
      <sz val="14"/>
      <color theme="1"/>
      <name val="B Nazanin"/>
      <charset val="178"/>
    </font>
    <font>
      <b/>
      <sz val="14"/>
      <color theme="1"/>
      <name val="B Nazanin"/>
      <charset val="178"/>
    </font>
    <font>
      <sz val="11"/>
      <color theme="1"/>
      <name val="B Nazanin"/>
      <charset val="178"/>
    </font>
    <font>
      <b/>
      <sz val="12"/>
      <color theme="1"/>
      <name val="B Nazanin"/>
      <charset val="178"/>
    </font>
    <font>
      <sz val="12"/>
      <name val="B Nazanin"/>
      <charset val="178"/>
    </font>
    <font>
      <b/>
      <sz val="14"/>
      <name val="B Nazanin"/>
      <charset val="178"/>
    </font>
    <font>
      <sz val="11"/>
      <color theme="1"/>
      <name val="B Lotus"/>
      <charset val="178"/>
    </font>
    <font>
      <b/>
      <sz val="11"/>
      <color theme="1"/>
      <name val="B Lotus"/>
      <charset val="178"/>
    </font>
    <font>
      <b/>
      <sz val="10"/>
      <color theme="1"/>
      <name val="B Lotus"/>
      <charset val="178"/>
    </font>
    <font>
      <sz val="11"/>
      <color theme="1"/>
      <name val="Arial"/>
      <family val="2"/>
      <charset val="178"/>
    </font>
    <font>
      <sz val="14"/>
      <color indexed="8"/>
      <name val="B Nazanin"/>
      <charset val="178"/>
    </font>
    <font>
      <b/>
      <sz val="14"/>
      <color indexed="8"/>
      <name val="B Nazanin"/>
      <charset val="178"/>
    </font>
    <font>
      <sz val="11"/>
      <color theme="1"/>
      <name val="Calibri"/>
      <family val="2"/>
      <charset val="178"/>
      <scheme val="minor"/>
    </font>
    <font>
      <sz val="12"/>
      <color theme="1"/>
      <name val="B Titr"/>
      <charset val="178"/>
    </font>
    <font>
      <sz val="12"/>
      <name val="B Lotus"/>
      <charset val="178"/>
    </font>
    <font>
      <sz val="12"/>
      <color theme="1"/>
      <name val="Calibri"/>
      <family val="2"/>
      <charset val="178"/>
      <scheme val="minor"/>
    </font>
    <font>
      <sz val="12"/>
      <color theme="1"/>
      <name val="B Lotus"/>
      <charset val="178"/>
    </font>
    <font>
      <b/>
      <sz val="12"/>
      <color theme="1"/>
      <name val="B Lotus"/>
      <charset val="178"/>
    </font>
    <font>
      <sz val="10"/>
      <color indexed="8"/>
      <name val="Arial"/>
      <family val="2"/>
    </font>
    <font>
      <sz val="11"/>
      <color rgb="FF000000"/>
      <name val="Arial"/>
      <family val="2"/>
    </font>
    <font>
      <sz val="11"/>
      <color theme="1"/>
      <name val="Times New Roman"/>
      <family val="2"/>
      <charset val="178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1"/>
      <name val="B Nazanin"/>
      <charset val="178"/>
    </font>
    <font>
      <b/>
      <sz val="9"/>
      <color indexed="81"/>
      <name val="Tahoma"/>
      <family val="2"/>
    </font>
    <font>
      <sz val="16"/>
      <color theme="1"/>
      <name val="B Nazanin"/>
      <charset val="178"/>
    </font>
    <font>
      <sz val="8"/>
      <name val="Calibri"/>
      <family val="2"/>
      <charset val="178"/>
      <scheme val="minor"/>
    </font>
    <font>
      <sz val="14"/>
      <color theme="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Down">
        <bgColor theme="0"/>
      </patternFill>
    </fill>
    <fill>
      <patternFill patternType="lightUp">
        <bgColor theme="0"/>
      </patternFill>
    </fill>
    <fill>
      <patternFill patternType="lightDown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13" fillId="0" borderId="0"/>
    <xf numFmtId="164" fontId="16" fillId="0" borderId="0" applyFont="0" applyFill="0" applyBorder="0" applyAlignment="0" applyProtection="0"/>
    <xf numFmtId="175" fontId="22" fillId="0" borderId="0" applyFont="0" applyFill="0" applyBorder="0" applyAlignment="0" applyProtection="0">
      <alignment vertical="top"/>
    </xf>
    <xf numFmtId="175" fontId="16" fillId="0" borderId="0" applyFont="0" applyFill="0" applyBorder="0" applyAlignment="0" applyProtection="0"/>
    <xf numFmtId="0" fontId="22" fillId="0" borderId="0">
      <alignment vertical="top"/>
    </xf>
    <xf numFmtId="0" fontId="24" fillId="0" borderId="0"/>
    <xf numFmtId="0" fontId="22" fillId="0" borderId="0">
      <alignment vertical="top"/>
    </xf>
    <xf numFmtId="0" fontId="25" fillId="0" borderId="0"/>
    <xf numFmtId="0" fontId="26" fillId="0" borderId="0"/>
  </cellStyleXfs>
  <cellXfs count="2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6" borderId="0" xfId="0" applyFill="1"/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2" fillId="4" borderId="1" xfId="0" applyFont="1" applyFill="1" applyBorder="1"/>
    <xf numFmtId="0" fontId="2" fillId="2" borderId="1" xfId="0" applyFont="1" applyFill="1" applyBorder="1"/>
    <xf numFmtId="0" fontId="2" fillId="5" borderId="1" xfId="0" applyFont="1" applyFill="1" applyBorder="1"/>
    <xf numFmtId="165" fontId="2" fillId="3" borderId="1" xfId="0" applyNumberFormat="1" applyFont="1" applyFill="1" applyBorder="1"/>
    <xf numFmtId="165" fontId="2" fillId="4" borderId="1" xfId="0" applyNumberFormat="1" applyFont="1" applyFill="1" applyBorder="1"/>
    <xf numFmtId="165" fontId="2" fillId="2" borderId="1" xfId="0" applyNumberFormat="1" applyFont="1" applyFill="1" applyBorder="1"/>
    <xf numFmtId="165" fontId="2" fillId="5" borderId="1" xfId="0" applyNumberFormat="1" applyFont="1" applyFill="1" applyBorder="1"/>
    <xf numFmtId="166" fontId="2" fillId="4" borderId="1" xfId="0" applyNumberFormat="1" applyFont="1" applyFill="1" applyBorder="1"/>
    <xf numFmtId="0" fontId="1" fillId="5" borderId="0" xfId="0" applyFont="1" applyFill="1" applyAlignment="1">
      <alignment vertical="center" readingOrder="2"/>
    </xf>
    <xf numFmtId="2" fontId="1" fillId="3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2" fillId="3" borderId="1" xfId="0" applyNumberFormat="1" applyFont="1" applyFill="1" applyBorder="1"/>
    <xf numFmtId="2" fontId="2" fillId="4" borderId="1" xfId="0" applyNumberFormat="1" applyFont="1" applyFill="1" applyBorder="1"/>
    <xf numFmtId="2" fontId="1" fillId="2" borderId="1" xfId="0" applyNumberFormat="1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/>
    <xf numFmtId="2" fontId="2" fillId="5" borderId="1" xfId="0" applyNumberFormat="1" applyFont="1" applyFill="1" applyBorder="1"/>
    <xf numFmtId="0" fontId="2" fillId="5" borderId="1" xfId="0" applyFont="1" applyFill="1" applyBorder="1" applyAlignment="1">
      <alignment vertical="center" readingOrder="2"/>
    </xf>
    <xf numFmtId="2" fontId="10" fillId="4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center"/>
    </xf>
    <xf numFmtId="2" fontId="10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6" fillId="0" borderId="0" xfId="0" applyFont="1" applyAlignment="1">
      <alignment vertical="center" wrapText="1" readingOrder="2"/>
    </xf>
    <xf numFmtId="0" fontId="3" fillId="7" borderId="21" xfId="0" applyFont="1" applyFill="1" applyBorder="1" applyAlignment="1">
      <alignment horizontal="right" vertical="center" wrapText="1" readingOrder="2"/>
    </xf>
    <xf numFmtId="0" fontId="3" fillId="7" borderId="5" xfId="0" applyFont="1" applyFill="1" applyBorder="1" applyAlignment="1">
      <alignment horizontal="right" vertical="center" wrapText="1" readingOrder="2"/>
    </xf>
    <xf numFmtId="49" fontId="6" fillId="0" borderId="0" xfId="0" applyNumberFormat="1" applyFont="1" applyAlignment="1">
      <alignment horizontal="center" vertical="center" wrapText="1" readingOrder="2"/>
    </xf>
    <xf numFmtId="0" fontId="6" fillId="0" borderId="0" xfId="0" applyFont="1" applyAlignment="1">
      <alignment horizontal="right" vertical="center" wrapText="1" readingOrder="2"/>
    </xf>
    <xf numFmtId="0" fontId="6" fillId="0" borderId="0" xfId="0" applyFont="1" applyAlignment="1">
      <alignment horizontal="center" vertical="center" wrapText="1" readingOrder="2"/>
    </xf>
    <xf numFmtId="2" fontId="10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2" fontId="11" fillId="2" borderId="1" xfId="0" applyNumberFormat="1" applyFont="1" applyFill="1" applyBorder="1" applyAlignment="1">
      <alignment horizontal="center" vertical="center"/>
    </xf>
    <xf numFmtId="2" fontId="11" fillId="5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2" fontId="12" fillId="3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2" fillId="5" borderId="1" xfId="0" applyNumberFormat="1" applyFont="1" applyFill="1" applyBorder="1" applyAlignment="1">
      <alignment horizontal="center" vertical="center"/>
    </xf>
    <xf numFmtId="2" fontId="12" fillId="4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right" vertical="center" wrapText="1" readingOrder="2"/>
    </xf>
    <xf numFmtId="0" fontId="2" fillId="6" borderId="1" xfId="0" applyFont="1" applyFill="1" applyBorder="1"/>
    <xf numFmtId="2" fontId="2" fillId="6" borderId="1" xfId="0" applyNumberFormat="1" applyFont="1" applyFill="1" applyBorder="1"/>
    <xf numFmtId="2" fontId="1" fillId="6" borderId="1" xfId="0" applyNumberFormat="1" applyFont="1" applyFill="1" applyBorder="1" applyAlignment="1">
      <alignment horizontal="center" vertical="center"/>
    </xf>
    <xf numFmtId="2" fontId="12" fillId="6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 readingOrder="2"/>
    </xf>
    <xf numFmtId="0" fontId="3" fillId="0" borderId="1" xfId="0" applyFont="1" applyBorder="1" applyAlignment="1">
      <alignment vertical="center" wrapText="1" readingOrder="2"/>
    </xf>
    <xf numFmtId="168" fontId="3" fillId="11" borderId="1" xfId="0" applyNumberFormat="1" applyFont="1" applyFill="1" applyBorder="1" applyAlignment="1">
      <alignment vertical="center" wrapText="1" readingOrder="2"/>
    </xf>
    <xf numFmtId="168" fontId="3" fillId="0" borderId="1" xfId="0" applyNumberFormat="1" applyFont="1" applyBorder="1" applyAlignment="1">
      <alignment vertical="center" wrapText="1" readingOrder="2"/>
    </xf>
    <xf numFmtId="0" fontId="3" fillId="0" borderId="1" xfId="0" applyFont="1" applyBorder="1" applyAlignment="1">
      <alignment horizontal="center" vertical="center" wrapText="1" readingOrder="2"/>
    </xf>
    <xf numFmtId="169" fontId="3" fillId="11" borderId="1" xfId="0" applyNumberFormat="1" applyFont="1" applyFill="1" applyBorder="1" applyAlignment="1" applyProtection="1">
      <alignment vertical="center" wrapText="1" readingOrder="2"/>
      <protection locked="0"/>
    </xf>
    <xf numFmtId="169" fontId="3" fillId="11" borderId="1" xfId="0" applyNumberFormat="1" applyFont="1" applyFill="1" applyBorder="1" applyAlignment="1" applyProtection="1">
      <alignment horizontal="center" vertical="center" wrapText="1" readingOrder="2"/>
      <protection locked="0"/>
    </xf>
    <xf numFmtId="2" fontId="2" fillId="12" borderId="1" xfId="0" applyNumberFormat="1" applyFont="1" applyFill="1" applyBorder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3" fontId="4" fillId="0" borderId="0" xfId="0" applyNumberFormat="1" applyFont="1" applyAlignment="1" applyProtection="1">
      <alignment horizontal="center" vertical="center"/>
      <protection locked="0"/>
    </xf>
    <xf numFmtId="3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70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 vertical="center"/>
      <protection locked="0"/>
    </xf>
    <xf numFmtId="170" fontId="4" fillId="0" borderId="0" xfId="0" applyNumberFormat="1" applyFont="1" applyAlignment="1" applyProtection="1">
      <alignment horizontal="center" vertical="center"/>
      <protection locked="0"/>
    </xf>
    <xf numFmtId="3" fontId="14" fillId="13" borderId="1" xfId="1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3" fontId="5" fillId="0" borderId="1" xfId="0" applyNumberFormat="1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>
      <alignment horizontal="center" vertical="center" wrapText="1"/>
    </xf>
    <xf numFmtId="169" fontId="15" fillId="13" borderId="1" xfId="1" applyNumberFormat="1" applyFont="1" applyFill="1" applyBorder="1" applyAlignment="1">
      <alignment horizontal="center" vertical="center" wrapText="1"/>
    </xf>
    <xf numFmtId="171" fontId="2" fillId="2" borderId="1" xfId="0" applyNumberFormat="1" applyFont="1" applyFill="1" applyBorder="1"/>
    <xf numFmtId="171" fontId="2" fillId="3" borderId="1" xfId="0" applyNumberFormat="1" applyFont="1" applyFill="1" applyBorder="1"/>
    <xf numFmtId="171" fontId="2" fillId="4" borderId="1" xfId="0" applyNumberFormat="1" applyFont="1" applyFill="1" applyBorder="1"/>
    <xf numFmtId="171" fontId="2" fillId="5" borderId="1" xfId="0" applyNumberFormat="1" applyFont="1" applyFill="1" applyBorder="1"/>
    <xf numFmtId="172" fontId="2" fillId="3" borderId="1" xfId="0" applyNumberFormat="1" applyFont="1" applyFill="1" applyBorder="1"/>
    <xf numFmtId="172" fontId="2" fillId="4" borderId="1" xfId="0" applyNumberFormat="1" applyFont="1" applyFill="1" applyBorder="1"/>
    <xf numFmtId="172" fontId="2" fillId="2" borderId="1" xfId="0" applyNumberFormat="1" applyFont="1" applyFill="1" applyBorder="1"/>
    <xf numFmtId="171" fontId="2" fillId="5" borderId="1" xfId="0" applyNumberFormat="1" applyFont="1" applyFill="1" applyBorder="1" applyAlignment="1">
      <alignment vertical="center" readingOrder="2"/>
    </xf>
    <xf numFmtId="172" fontId="2" fillId="5" borderId="1" xfId="0" applyNumberFormat="1" applyFont="1" applyFill="1" applyBorder="1" applyAlignment="1">
      <alignment vertical="center" readingOrder="2"/>
    </xf>
    <xf numFmtId="173" fontId="2" fillId="3" borderId="1" xfId="0" applyNumberFormat="1" applyFont="1" applyFill="1" applyBorder="1"/>
    <xf numFmtId="172" fontId="2" fillId="5" borderId="1" xfId="0" applyNumberFormat="1" applyFont="1" applyFill="1" applyBorder="1"/>
    <xf numFmtId="3" fontId="4" fillId="0" borderId="1" xfId="0" applyNumberFormat="1" applyFont="1" applyBorder="1" applyAlignment="1">
      <alignment horizontal="center" vertical="center" readingOrder="1"/>
    </xf>
    <xf numFmtId="3" fontId="15" fillId="13" borderId="1" xfId="1" applyNumberFormat="1" applyFont="1" applyFill="1" applyBorder="1" applyAlignment="1">
      <alignment horizontal="center" vertical="center" wrapText="1"/>
    </xf>
    <xf numFmtId="0" fontId="3" fillId="0" borderId="5" xfId="0" applyFont="1" applyBorder="1" applyAlignment="1" applyProtection="1">
      <alignment horizontal="center" vertical="center" wrapText="1" readingOrder="2"/>
      <protection locked="0"/>
    </xf>
    <xf numFmtId="0" fontId="3" fillId="7" borderId="5" xfId="0" applyFont="1" applyFill="1" applyBorder="1" applyAlignment="1">
      <alignment horizontal="left" vertical="center" wrapText="1" readingOrder="2"/>
    </xf>
    <xf numFmtId="167" fontId="3" fillId="7" borderId="5" xfId="0" applyNumberFormat="1" applyFont="1" applyFill="1" applyBorder="1" applyAlignment="1">
      <alignment horizontal="left" vertical="center" wrapText="1" readingOrder="2"/>
    </xf>
    <xf numFmtId="0" fontId="3" fillId="7" borderId="0" xfId="0" applyFont="1" applyFill="1" applyAlignment="1">
      <alignment horizontal="left" vertical="center" wrapText="1" readingOrder="2"/>
    </xf>
    <xf numFmtId="0" fontId="3" fillId="7" borderId="3" xfId="0" applyFont="1" applyFill="1" applyBorder="1" applyAlignment="1">
      <alignment horizontal="right" vertical="center" wrapText="1" readingOrder="2"/>
    </xf>
    <xf numFmtId="167" fontId="3" fillId="7" borderId="4" xfId="0" applyNumberFormat="1" applyFont="1" applyFill="1" applyBorder="1" applyAlignment="1">
      <alignment horizontal="left" vertical="center" wrapText="1" readingOrder="2"/>
    </xf>
    <xf numFmtId="0" fontId="3" fillId="7" borderId="21" xfId="0" applyFont="1" applyFill="1" applyBorder="1" applyAlignment="1">
      <alignment horizontal="right" vertical="center" readingOrder="2"/>
    </xf>
    <xf numFmtId="0" fontId="4" fillId="0" borderId="0" xfId="0" applyFont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>
      <alignment horizontal="center" vertical="center"/>
    </xf>
    <xf numFmtId="2" fontId="2" fillId="3" borderId="1" xfId="0" applyNumberFormat="1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/>
    <xf numFmtId="2" fontId="18" fillId="4" borderId="1" xfId="0" applyNumberFormat="1" applyFont="1" applyFill="1" applyBorder="1"/>
    <xf numFmtId="2" fontId="18" fillId="2" borderId="1" xfId="0" applyNumberFormat="1" applyFont="1" applyFill="1" applyBorder="1"/>
    <xf numFmtId="2" fontId="18" fillId="5" borderId="1" xfId="0" applyNumberFormat="1" applyFont="1" applyFill="1" applyBorder="1"/>
    <xf numFmtId="2" fontId="18" fillId="6" borderId="1" xfId="0" applyNumberFormat="1" applyFont="1" applyFill="1" applyBorder="1"/>
    <xf numFmtId="0" fontId="19" fillId="0" borderId="0" xfId="0" applyFont="1"/>
    <xf numFmtId="2" fontId="20" fillId="3" borderId="1" xfId="0" applyNumberFormat="1" applyFont="1" applyFill="1" applyBorder="1" applyAlignment="1">
      <alignment horizontal="center" vertical="center"/>
    </xf>
    <xf numFmtId="2" fontId="20" fillId="4" borderId="1" xfId="0" applyNumberFormat="1" applyFont="1" applyFill="1" applyBorder="1" applyAlignment="1">
      <alignment horizontal="center" vertical="center"/>
    </xf>
    <xf numFmtId="2" fontId="20" fillId="2" borderId="1" xfId="0" applyNumberFormat="1" applyFont="1" applyFill="1" applyBorder="1" applyAlignment="1">
      <alignment horizontal="center" vertical="center"/>
    </xf>
    <xf numFmtId="2" fontId="20" fillId="5" borderId="1" xfId="0" applyNumberFormat="1" applyFont="1" applyFill="1" applyBorder="1" applyAlignment="1">
      <alignment horizontal="center" vertical="center"/>
    </xf>
    <xf numFmtId="2" fontId="17" fillId="3" borderId="0" xfId="0" applyNumberFormat="1" applyFont="1" applyFill="1" applyAlignment="1">
      <alignment horizontal="center" vertical="center"/>
    </xf>
    <xf numFmtId="2" fontId="17" fillId="2" borderId="1" xfId="0" applyNumberFormat="1" applyFont="1" applyFill="1" applyBorder="1" applyAlignment="1">
      <alignment horizontal="center" vertical="center"/>
    </xf>
    <xf numFmtId="2" fontId="17" fillId="5" borderId="1" xfId="0" applyNumberFormat="1" applyFont="1" applyFill="1" applyBorder="1" applyAlignment="1">
      <alignment horizontal="center" vertical="center"/>
    </xf>
    <xf numFmtId="2" fontId="17" fillId="3" borderId="1" xfId="0" applyNumberFormat="1" applyFont="1" applyFill="1" applyBorder="1" applyAlignment="1">
      <alignment horizontal="center" vertical="center"/>
    </xf>
    <xf numFmtId="2" fontId="17" fillId="4" borderId="1" xfId="0" applyNumberFormat="1" applyFont="1" applyFill="1" applyBorder="1" applyAlignment="1">
      <alignment horizontal="center" vertical="center"/>
    </xf>
    <xf numFmtId="2" fontId="17" fillId="6" borderId="1" xfId="0" applyNumberFormat="1" applyFont="1" applyFill="1" applyBorder="1" applyAlignment="1">
      <alignment horizontal="center" vertical="center"/>
    </xf>
    <xf numFmtId="2" fontId="21" fillId="3" borderId="1" xfId="0" applyNumberFormat="1" applyFont="1" applyFill="1" applyBorder="1" applyAlignment="1">
      <alignment horizontal="center" vertical="center"/>
    </xf>
    <xf numFmtId="2" fontId="21" fillId="4" borderId="1" xfId="0" applyNumberFormat="1" applyFont="1" applyFill="1" applyBorder="1" applyAlignment="1">
      <alignment horizontal="center" vertical="center"/>
    </xf>
    <xf numFmtId="2" fontId="21" fillId="2" borderId="1" xfId="0" applyNumberFormat="1" applyFont="1" applyFill="1" applyBorder="1" applyAlignment="1">
      <alignment horizontal="center" vertical="center"/>
    </xf>
    <xf numFmtId="2" fontId="21" fillId="5" borderId="1" xfId="0" applyNumberFormat="1" applyFont="1" applyFill="1" applyBorder="1" applyAlignment="1">
      <alignment horizontal="center" vertical="center"/>
    </xf>
    <xf numFmtId="2" fontId="21" fillId="6" borderId="1" xfId="0" applyNumberFormat="1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69" fontId="0" fillId="11" borderId="10" xfId="0" applyNumberFormat="1" applyFill="1" applyBorder="1" applyAlignment="1">
      <alignment wrapText="1"/>
    </xf>
    <xf numFmtId="169" fontId="3" fillId="0" borderId="10" xfId="0" applyNumberFormat="1" applyFont="1" applyBorder="1" applyAlignment="1" applyProtection="1">
      <alignment horizontal="left" vertical="center" wrapText="1" readingOrder="2"/>
      <protection locked="0"/>
    </xf>
    <xf numFmtId="168" fontId="3" fillId="0" borderId="10" xfId="0" applyNumberFormat="1" applyFont="1" applyBorder="1" applyAlignment="1">
      <alignment horizontal="center" vertical="center" wrapText="1" readingOrder="2"/>
    </xf>
    <xf numFmtId="168" fontId="3" fillId="11" borderId="10" xfId="0" applyNumberFormat="1" applyFont="1" applyFill="1" applyBorder="1" applyAlignment="1">
      <alignment horizontal="center" vertical="center" wrapText="1" readingOrder="2"/>
    </xf>
    <xf numFmtId="0" fontId="3" fillId="0" borderId="12" xfId="0" applyFont="1" applyBorder="1" applyAlignment="1">
      <alignment vertical="center" wrapText="1" readingOrder="2"/>
    </xf>
    <xf numFmtId="170" fontId="3" fillId="0" borderId="13" xfId="0" applyNumberFormat="1" applyFont="1" applyBorder="1" applyAlignment="1">
      <alignment vertical="center" wrapText="1" readingOrder="2"/>
    </xf>
    <xf numFmtId="0" fontId="8" fillId="0" borderId="12" xfId="0" applyFont="1" applyBorder="1" applyAlignment="1">
      <alignment vertical="center" wrapText="1" readingOrder="2"/>
    </xf>
    <xf numFmtId="170" fontId="8" fillId="0" borderId="12" xfId="0" applyNumberFormat="1" applyFont="1" applyBorder="1" applyAlignment="1">
      <alignment vertical="center" wrapText="1" readingOrder="2"/>
    </xf>
    <xf numFmtId="168" fontId="3" fillId="0" borderId="5" xfId="0" applyNumberFormat="1" applyFont="1" applyBorder="1" applyAlignment="1" applyProtection="1">
      <alignment horizontal="left" vertical="center" wrapText="1" readingOrder="2"/>
      <protection locked="0"/>
    </xf>
    <xf numFmtId="168" fontId="29" fillId="0" borderId="1" xfId="0" applyNumberFormat="1" applyFont="1" applyBorder="1" applyAlignment="1" applyProtection="1">
      <alignment horizontal="center" vertical="center" wrapText="1" readingOrder="2"/>
      <protection locked="0"/>
    </xf>
    <xf numFmtId="3" fontId="14" fillId="0" borderId="1" xfId="1" applyNumberFormat="1" applyFont="1" applyBorder="1" applyAlignment="1">
      <alignment horizontal="center" vertical="center" wrapText="1"/>
    </xf>
    <xf numFmtId="3" fontId="9" fillId="14" borderId="1" xfId="0" applyNumberFormat="1" applyFont="1" applyFill="1" applyBorder="1" applyAlignment="1" applyProtection="1">
      <alignment horizontal="center" vertical="center" wrapText="1"/>
      <protection hidden="1"/>
    </xf>
    <xf numFmtId="3" fontId="27" fillId="14" borderId="1" xfId="0" applyNumberFormat="1" applyFont="1" applyFill="1" applyBorder="1" applyAlignment="1" applyProtection="1">
      <alignment horizontal="center" vertical="center" wrapText="1"/>
      <protection hidden="1"/>
    </xf>
    <xf numFmtId="3" fontId="5" fillId="14" borderId="1" xfId="0" applyNumberFormat="1" applyFont="1" applyFill="1" applyBorder="1" applyAlignment="1" applyProtection="1">
      <alignment horizontal="center" vertical="center" wrapText="1"/>
      <protection hidden="1"/>
    </xf>
    <xf numFmtId="169" fontId="3" fillId="11" borderId="24" xfId="0" applyNumberFormat="1" applyFont="1" applyFill="1" applyBorder="1" applyAlignment="1" applyProtection="1">
      <alignment vertical="center" wrapText="1" readingOrder="2"/>
      <protection locked="0"/>
    </xf>
    <xf numFmtId="0" fontId="3" fillId="11" borderId="24" xfId="0" applyFont="1" applyFill="1" applyBorder="1" applyAlignment="1" applyProtection="1">
      <alignment vertical="center" wrapText="1" readingOrder="2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0" fillId="2" borderId="1" xfId="0" applyNumberFormat="1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49" fontId="18" fillId="2" borderId="1" xfId="0" applyNumberFormat="1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49" fontId="18" fillId="5" borderId="1" xfId="0" applyNumberFormat="1" applyFont="1" applyFill="1" applyBorder="1" applyAlignment="1">
      <alignment horizontal="center" vertical="center"/>
    </xf>
    <xf numFmtId="49" fontId="17" fillId="2" borderId="1" xfId="0" applyNumberFormat="1" applyFont="1" applyFill="1" applyBorder="1" applyAlignment="1">
      <alignment horizontal="center" vertical="center"/>
    </xf>
    <xf numFmtId="49" fontId="20" fillId="2" borderId="1" xfId="0" applyNumberFormat="1" applyFont="1" applyFill="1" applyBorder="1" applyAlignment="1">
      <alignment horizontal="center" vertical="center"/>
    </xf>
    <xf numFmtId="49" fontId="17" fillId="5" borderId="1" xfId="0" applyNumberFormat="1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49" fontId="2" fillId="2" borderId="1" xfId="0" applyNumberFormat="1" applyFont="1" applyFill="1" applyBorder="1"/>
    <xf numFmtId="49" fontId="2" fillId="5" borderId="1" xfId="0" applyNumberFormat="1" applyFont="1" applyFill="1" applyBorder="1"/>
    <xf numFmtId="2" fontId="2" fillId="3" borderId="1" xfId="2" applyNumberFormat="1" applyFont="1" applyFill="1" applyBorder="1"/>
    <xf numFmtId="2" fontId="1" fillId="4" borderId="0" xfId="0" applyNumberFormat="1" applyFont="1" applyFill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3" fontId="0" fillId="0" borderId="0" xfId="0" applyNumberFormat="1" applyAlignment="1">
      <alignment wrapText="1"/>
    </xf>
    <xf numFmtId="0" fontId="2" fillId="5" borderId="27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5" fontId="10" fillId="3" borderId="1" xfId="0" applyNumberFormat="1" applyFont="1" applyFill="1" applyBorder="1" applyAlignment="1">
      <alignment horizontal="center" vertical="center"/>
    </xf>
    <xf numFmtId="165" fontId="10" fillId="12" borderId="1" xfId="0" applyNumberFormat="1" applyFont="1" applyFill="1" applyBorder="1" applyAlignment="1">
      <alignment horizontal="center" vertical="center"/>
    </xf>
    <xf numFmtId="2" fontId="31" fillId="0" borderId="0" xfId="0" applyNumberFormat="1" applyFont="1" applyAlignment="1">
      <alignment horizontal="center" vertical="center"/>
    </xf>
    <xf numFmtId="0" fontId="3" fillId="7" borderId="21" xfId="0" applyFont="1" applyFill="1" applyBorder="1" applyAlignment="1">
      <alignment horizontal="right" vertical="center" wrapText="1" readingOrder="2"/>
    </xf>
    <xf numFmtId="0" fontId="3" fillId="7" borderId="5" xfId="0" applyFont="1" applyFill="1" applyBorder="1" applyAlignment="1">
      <alignment horizontal="right" vertical="center" wrapText="1" readingOrder="2"/>
    </xf>
    <xf numFmtId="0" fontId="3" fillId="7" borderId="16" xfId="0" applyFont="1" applyFill="1" applyBorder="1" applyAlignment="1">
      <alignment horizontal="right" vertical="center" wrapText="1" readingOrder="2"/>
    </xf>
    <xf numFmtId="3" fontId="3" fillId="0" borderId="12" xfId="0" applyNumberFormat="1" applyFont="1" applyBorder="1" applyAlignment="1">
      <alignment horizontal="center" vertical="center" wrapText="1" readingOrder="2"/>
    </xf>
    <xf numFmtId="3" fontId="3" fillId="0" borderId="13" xfId="0" applyNumberFormat="1" applyFont="1" applyBorder="1" applyAlignment="1">
      <alignment horizontal="center" vertical="center" wrapText="1" readingOrder="2"/>
    </xf>
    <xf numFmtId="0" fontId="3" fillId="0" borderId="11" xfId="0" applyFont="1" applyBorder="1" applyAlignment="1">
      <alignment horizontal="center" vertical="center" wrapText="1" readingOrder="2"/>
    </xf>
    <xf numFmtId="0" fontId="3" fillId="0" borderId="12" xfId="0" applyFont="1" applyBorder="1" applyAlignment="1">
      <alignment horizontal="center" vertical="center" wrapText="1" readingOrder="2"/>
    </xf>
    <xf numFmtId="0" fontId="3" fillId="0" borderId="9" xfId="0" applyFont="1" applyBorder="1" applyAlignment="1">
      <alignment horizontal="center" vertical="center" wrapText="1" readingOrder="2"/>
    </xf>
    <xf numFmtId="0" fontId="3" fillId="0" borderId="1" xfId="0" applyFont="1" applyBorder="1" applyAlignment="1">
      <alignment horizontal="center" vertical="center" wrapText="1" readingOrder="2"/>
    </xf>
    <xf numFmtId="0" fontId="7" fillId="0" borderId="9" xfId="0" applyFont="1" applyBorder="1" applyAlignment="1">
      <alignment horizontal="center" vertical="center" wrapText="1" readingOrder="2"/>
    </xf>
    <xf numFmtId="0" fontId="7" fillId="0" borderId="1" xfId="0" applyFont="1" applyBorder="1" applyAlignment="1">
      <alignment horizontal="center" vertical="center" wrapText="1" readingOrder="2"/>
    </xf>
    <xf numFmtId="0" fontId="9" fillId="10" borderId="6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8" xfId="0" applyFont="1" applyFill="1" applyBorder="1" applyAlignment="1">
      <alignment horizontal="center" vertical="center" wrapText="1" readingOrder="2"/>
    </xf>
    <xf numFmtId="174" fontId="3" fillId="11" borderId="3" xfId="2" applyNumberFormat="1" applyFont="1" applyFill="1" applyBorder="1" applyAlignment="1" applyProtection="1">
      <alignment horizontal="center" vertical="center" wrapText="1" readingOrder="2"/>
      <protection locked="0"/>
    </xf>
    <xf numFmtId="174" fontId="3" fillId="11" borderId="16" xfId="2" applyNumberFormat="1" applyFont="1" applyFill="1" applyBorder="1" applyAlignment="1" applyProtection="1">
      <alignment horizontal="center" vertical="center" wrapText="1" readingOrder="2"/>
      <protection locked="0"/>
    </xf>
    <xf numFmtId="3" fontId="3" fillId="0" borderId="1" xfId="0" applyNumberFormat="1" applyFont="1" applyBorder="1" applyAlignment="1">
      <alignment horizontal="center" vertical="center" wrapText="1" readingOrder="2"/>
    </xf>
    <xf numFmtId="3" fontId="3" fillId="0" borderId="10" xfId="0" applyNumberFormat="1" applyFont="1" applyBorder="1" applyAlignment="1">
      <alignment horizontal="center" vertical="center" wrapText="1" readingOrder="2"/>
    </xf>
    <xf numFmtId="0" fontId="6" fillId="0" borderId="2" xfId="0" applyFont="1" applyBorder="1" applyAlignment="1">
      <alignment horizontal="left" vertical="center" wrapText="1" readingOrder="2"/>
    </xf>
    <xf numFmtId="0" fontId="6" fillId="0" borderId="0" xfId="0" applyFont="1" applyAlignment="1">
      <alignment horizontal="left" vertical="center" wrapText="1" readingOrder="2"/>
    </xf>
    <xf numFmtId="0" fontId="6" fillId="0" borderId="0" xfId="0" applyFont="1" applyAlignment="1">
      <alignment horizontal="right" vertical="center" wrapText="1" readingOrder="2"/>
    </xf>
    <xf numFmtId="0" fontId="8" fillId="0" borderId="1" xfId="0" applyFont="1" applyBorder="1" applyAlignment="1">
      <alignment horizontal="right" vertical="center" wrapText="1" readingOrder="2"/>
    </xf>
    <xf numFmtId="0" fontId="5" fillId="8" borderId="6" xfId="0" applyFont="1" applyFill="1" applyBorder="1" applyAlignment="1">
      <alignment horizontal="center" vertical="center" wrapText="1" readingOrder="2"/>
    </xf>
    <xf numFmtId="0" fontId="5" fillId="8" borderId="7" xfId="0" applyFont="1" applyFill="1" applyBorder="1" applyAlignment="1">
      <alignment horizontal="center" vertical="center" wrapText="1" readingOrder="2"/>
    </xf>
    <xf numFmtId="0" fontId="5" fillId="8" borderId="8" xfId="0" applyFont="1" applyFill="1" applyBorder="1" applyAlignment="1">
      <alignment horizontal="center" vertical="center" wrapText="1" readingOrder="2"/>
    </xf>
    <xf numFmtId="0" fontId="5" fillId="9" borderId="20" xfId="0" applyFont="1" applyFill="1" applyBorder="1" applyAlignment="1">
      <alignment horizontal="center" vertical="center" wrapText="1" readingOrder="2"/>
    </xf>
    <xf numFmtId="0" fontId="5" fillId="9" borderId="14" xfId="0" applyFont="1" applyFill="1" applyBorder="1" applyAlignment="1">
      <alignment horizontal="center" vertical="center" wrapText="1" readingOrder="2"/>
    </xf>
    <xf numFmtId="0" fontId="5" fillId="9" borderId="15" xfId="0" applyFont="1" applyFill="1" applyBorder="1" applyAlignment="1">
      <alignment horizontal="center" vertical="center" wrapText="1" readingOrder="2"/>
    </xf>
    <xf numFmtId="169" fontId="3" fillId="11" borderId="5" xfId="0" applyNumberFormat="1" applyFont="1" applyFill="1" applyBorder="1" applyAlignment="1" applyProtection="1">
      <alignment horizontal="center" vertical="center" wrapText="1" readingOrder="2"/>
      <protection locked="0"/>
    </xf>
    <xf numFmtId="0" fontId="3" fillId="11" borderId="5" xfId="0" applyFont="1" applyFill="1" applyBorder="1" applyAlignment="1" applyProtection="1">
      <alignment horizontal="center" vertical="center" wrapText="1" readingOrder="2"/>
      <protection locked="0"/>
    </xf>
    <xf numFmtId="0" fontId="3" fillId="11" borderId="1" xfId="0" applyFont="1" applyFill="1" applyBorder="1" applyAlignment="1" applyProtection="1">
      <alignment horizontal="center" vertical="center" wrapText="1" readingOrder="2"/>
      <protection locked="0"/>
    </xf>
    <xf numFmtId="0" fontId="6" fillId="0" borderId="23" xfId="0" applyFont="1" applyBorder="1" applyAlignment="1">
      <alignment horizontal="center" vertical="center" wrapText="1" readingOrder="2"/>
    </xf>
    <xf numFmtId="0" fontId="6" fillId="0" borderId="24" xfId="0" applyFont="1" applyBorder="1" applyAlignment="1">
      <alignment horizontal="center" vertical="center" wrapText="1" readingOrder="2"/>
    </xf>
    <xf numFmtId="3" fontId="8" fillId="0" borderId="5" xfId="0" applyNumberFormat="1" applyFont="1" applyBorder="1" applyAlignment="1">
      <alignment horizontal="center" vertical="center" wrapText="1" readingOrder="2"/>
    </xf>
    <xf numFmtId="3" fontId="8" fillId="0" borderId="16" xfId="0" applyNumberFormat="1" applyFont="1" applyBorder="1" applyAlignment="1">
      <alignment horizontal="center" vertical="center" wrapText="1" readingOrder="2"/>
    </xf>
    <xf numFmtId="0" fontId="3" fillId="0" borderId="3" xfId="0" applyFont="1" applyBorder="1" applyAlignment="1">
      <alignment horizontal="center" vertical="center" wrapText="1" readingOrder="2"/>
    </xf>
    <xf numFmtId="0" fontId="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 wrapText="1" readingOrder="2"/>
    </xf>
    <xf numFmtId="0" fontId="8" fillId="0" borderId="16" xfId="0" applyFont="1" applyBorder="1" applyAlignment="1">
      <alignment horizontal="center" vertical="center" wrapText="1" readingOrder="2"/>
    </xf>
    <xf numFmtId="3" fontId="3" fillId="0" borderId="0" xfId="0" applyNumberFormat="1" applyFont="1" applyAlignment="1">
      <alignment horizontal="center" vertical="center" wrapText="1" readingOrder="2"/>
    </xf>
    <xf numFmtId="3" fontId="3" fillId="0" borderId="17" xfId="0" applyNumberFormat="1" applyFont="1" applyBorder="1" applyAlignment="1">
      <alignment horizontal="center" vertical="center" wrapText="1" readingOrder="2"/>
    </xf>
    <xf numFmtId="3" fontId="3" fillId="0" borderId="19" xfId="0" applyNumberFormat="1" applyFont="1" applyBorder="1" applyAlignment="1">
      <alignment horizontal="center" vertical="center" wrapText="1" readingOrder="2"/>
    </xf>
    <xf numFmtId="0" fontId="3" fillId="9" borderId="17" xfId="0" applyFont="1" applyFill="1" applyBorder="1" applyAlignment="1">
      <alignment horizontal="center" vertical="center" wrapText="1" readingOrder="2"/>
    </xf>
    <xf numFmtId="0" fontId="3" fillId="9" borderId="18" xfId="0" applyFont="1" applyFill="1" applyBorder="1" applyAlignment="1">
      <alignment horizontal="center" vertical="center" wrapText="1" readingOrder="2"/>
    </xf>
    <xf numFmtId="0" fontId="3" fillId="9" borderId="22" xfId="0" applyFont="1" applyFill="1" applyBorder="1" applyAlignment="1">
      <alignment horizontal="center" vertical="center" wrapText="1" readingOrder="2"/>
    </xf>
    <xf numFmtId="0" fontId="3" fillId="11" borderId="1" xfId="0" applyFont="1" applyFill="1" applyBorder="1" applyAlignment="1" applyProtection="1">
      <alignment horizontal="right" vertical="center" wrapText="1" readingOrder="2"/>
      <protection locked="0"/>
    </xf>
    <xf numFmtId="0" fontId="3" fillId="11" borderId="10" xfId="0" applyFont="1" applyFill="1" applyBorder="1" applyAlignment="1" applyProtection="1">
      <alignment horizontal="right" vertical="center" wrapText="1" readingOrder="2"/>
      <protection locked="0"/>
    </xf>
    <xf numFmtId="170" fontId="5" fillId="0" borderId="0" xfId="0" applyNumberFormat="1" applyFont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</cellXfs>
  <cellStyles count="10">
    <cellStyle name="Comma" xfId="2" builtinId="3"/>
    <cellStyle name="Comma 2" xfId="3" xr:uid="{00000000-0005-0000-0000-000001000000}"/>
    <cellStyle name="Comma 3" xfId="4" xr:uid="{00000000-0005-0000-0000-000002000000}"/>
    <cellStyle name="Normal" xfId="0" builtinId="0"/>
    <cellStyle name="Normal 2" xfId="7" xr:uid="{00000000-0005-0000-0000-000004000000}"/>
    <cellStyle name="Normal 3" xfId="5" xr:uid="{00000000-0005-0000-0000-000005000000}"/>
    <cellStyle name="Normal 4" xfId="9" xr:uid="{00000000-0005-0000-0000-000006000000}"/>
    <cellStyle name="Normal 5" xfId="6" xr:uid="{00000000-0005-0000-0000-000007000000}"/>
    <cellStyle name="Normal 5 2" xfId="8" xr:uid="{00000000-0005-0000-0000-000008000000}"/>
    <cellStyle name="Normal 7" xfId="1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0</xdr:row>
          <xdr:rowOff>28575</xdr:rowOff>
        </xdr:from>
        <xdr:to>
          <xdr:col>11</xdr:col>
          <xdr:colOff>161925</xdr:colOff>
          <xdr:row>0</xdr:row>
          <xdr:rowOff>438150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مقادیر به تعدیل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0</xdr:row>
          <xdr:rowOff>28575</xdr:rowOff>
        </xdr:from>
        <xdr:to>
          <xdr:col>11</xdr:col>
          <xdr:colOff>161925</xdr:colOff>
          <xdr:row>0</xdr:row>
          <xdr:rowOff>438150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انتقال مقادیر به تعدیل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"/>
  <sheetViews>
    <sheetView rightToLeft="1" workbookViewId="0">
      <selection activeCell="A16" sqref="A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K21"/>
  <sheetViews>
    <sheetView rightToLeft="1"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ColWidth="9" defaultRowHeight="26.25" customHeight="1" x14ac:dyDescent="0.25"/>
  <cols>
    <col min="1" max="1" width="20.7109375" style="74" bestFit="1" customWidth="1"/>
    <col min="2" max="2" width="5.7109375" style="74" bestFit="1" customWidth="1"/>
    <col min="3" max="4" width="20.28515625" style="76" bestFit="1" customWidth="1"/>
    <col min="5" max="5" width="16.5703125" style="76" bestFit="1" customWidth="1"/>
    <col min="6" max="6" width="16.85546875" style="76" bestFit="1" customWidth="1"/>
    <col min="7" max="8" width="17.140625" style="76" bestFit="1" customWidth="1"/>
    <col min="9" max="9" width="17.85546875" style="76" bestFit="1" customWidth="1"/>
    <col min="10" max="13" width="17.28515625" style="76" bestFit="1" customWidth="1"/>
    <col min="14" max="15" width="17.7109375" style="76" bestFit="1" customWidth="1"/>
    <col min="16" max="16" width="18" style="76" bestFit="1" customWidth="1"/>
    <col min="17" max="17" width="18.28515625" style="76" bestFit="1" customWidth="1"/>
    <col min="18" max="19" width="18.140625" style="76" bestFit="1" customWidth="1"/>
    <col min="20" max="20" width="18" style="76" bestFit="1" customWidth="1"/>
    <col min="21" max="21" width="18.140625" style="76" bestFit="1" customWidth="1"/>
    <col min="22" max="22" width="18.28515625" style="76" bestFit="1" customWidth="1"/>
    <col min="23" max="25" width="18" style="76" bestFit="1" customWidth="1"/>
    <col min="26" max="26" width="18.28515625" style="76" bestFit="1" customWidth="1"/>
    <col min="27" max="27" width="18.5703125" style="76" bestFit="1" customWidth="1"/>
    <col min="28" max="29" width="18.42578125" style="76" bestFit="1" customWidth="1"/>
    <col min="30" max="30" width="18.28515625" style="76" bestFit="1" customWidth="1"/>
    <col min="31" max="31" width="18.42578125" style="76" bestFit="1" customWidth="1"/>
    <col min="32" max="32" width="18.5703125" style="76" bestFit="1" customWidth="1"/>
    <col min="33" max="33" width="18.28515625" style="76" bestFit="1" customWidth="1"/>
    <col min="34" max="34" width="18.7109375" style="74" bestFit="1" customWidth="1"/>
    <col min="35" max="35" width="18.42578125" style="74" bestFit="1" customWidth="1"/>
    <col min="36" max="37" width="18.5703125" style="74" bestFit="1" customWidth="1"/>
    <col min="38" max="16384" width="9" style="74"/>
  </cols>
  <sheetData>
    <row r="1" spans="1:37" ht="46.5" customHeight="1" x14ac:dyDescent="0.25">
      <c r="A1" s="83" t="s">
        <v>8</v>
      </c>
      <c r="B1" s="83" t="s">
        <v>76</v>
      </c>
      <c r="C1" s="84" t="s">
        <v>88</v>
      </c>
      <c r="D1" s="84" t="s">
        <v>89</v>
      </c>
      <c r="E1" s="84" t="s">
        <v>90</v>
      </c>
      <c r="F1" s="84" t="s">
        <v>91</v>
      </c>
      <c r="G1" s="84" t="s">
        <v>92</v>
      </c>
      <c r="H1" s="144" t="s">
        <v>93</v>
      </c>
      <c r="I1" s="145" t="s">
        <v>94</v>
      </c>
      <c r="J1" s="146" t="s">
        <v>95</v>
      </c>
      <c r="K1" s="146" t="s">
        <v>96</v>
      </c>
      <c r="L1" s="146" t="s">
        <v>97</v>
      </c>
      <c r="M1" s="146" t="s">
        <v>98</v>
      </c>
      <c r="N1" s="146" t="s">
        <v>100</v>
      </c>
      <c r="O1" s="146" t="s">
        <v>102</v>
      </c>
      <c r="P1" s="146" t="s">
        <v>103</v>
      </c>
      <c r="Q1" s="146" t="s">
        <v>104</v>
      </c>
      <c r="R1" s="146" t="s">
        <v>105</v>
      </c>
      <c r="S1" s="84" t="s">
        <v>106</v>
      </c>
      <c r="T1" s="84" t="s">
        <v>107</v>
      </c>
      <c r="U1" s="84" t="s">
        <v>108</v>
      </c>
      <c r="V1" s="84" t="s">
        <v>109</v>
      </c>
      <c r="W1" s="84" t="s">
        <v>118</v>
      </c>
      <c r="X1" s="84" t="s">
        <v>119</v>
      </c>
      <c r="Y1" s="84" t="s">
        <v>120</v>
      </c>
      <c r="Z1" s="84" t="s">
        <v>121</v>
      </c>
      <c r="AA1" s="84" t="s">
        <v>122</v>
      </c>
      <c r="AB1" s="84" t="s">
        <v>123</v>
      </c>
      <c r="AC1" s="84" t="s">
        <v>124</v>
      </c>
      <c r="AD1" s="84" t="s">
        <v>125</v>
      </c>
      <c r="AE1" s="84" t="s">
        <v>126</v>
      </c>
      <c r="AF1" s="84" t="s">
        <v>127</v>
      </c>
      <c r="AG1" s="84" t="s">
        <v>128</v>
      </c>
      <c r="AH1" s="84" t="s">
        <v>130</v>
      </c>
      <c r="AI1" s="84" t="s">
        <v>131</v>
      </c>
      <c r="AJ1" s="84" t="s">
        <v>132</v>
      </c>
      <c r="AK1" s="84" t="s">
        <v>137</v>
      </c>
    </row>
    <row r="2" spans="1:37" ht="27.75" customHeight="1" x14ac:dyDescent="0.25">
      <c r="A2" s="83" t="s">
        <v>114</v>
      </c>
      <c r="B2" s="83"/>
      <c r="C2" s="142">
        <f ca="1">ROUND(INDIRECT(ADDRESS(ROW(),خلاصه!$H$4 + 4,4)),0)</f>
        <v>14030431</v>
      </c>
      <c r="D2" s="142">
        <f ca="1">ROUND(INDIRECT(ADDRESS(ROW(),خلاصه!$H$5 + 4,4)),0)</f>
        <v>14030331</v>
      </c>
      <c r="E2" s="142"/>
      <c r="F2" s="142"/>
      <c r="G2" s="142"/>
      <c r="H2" s="142">
        <v>14000631</v>
      </c>
      <c r="I2" s="142">
        <v>14000730</v>
      </c>
      <c r="J2" s="142">
        <v>14000830</v>
      </c>
      <c r="K2" s="142">
        <v>14000930</v>
      </c>
      <c r="L2" s="142">
        <v>14001030</v>
      </c>
      <c r="M2" s="142">
        <v>14001130</v>
      </c>
      <c r="N2" s="142">
        <v>14001229</v>
      </c>
      <c r="O2" s="142">
        <v>14010131</v>
      </c>
      <c r="P2" s="142">
        <v>14010231</v>
      </c>
      <c r="Q2" s="142">
        <v>14010331</v>
      </c>
      <c r="R2" s="142">
        <v>14020201</v>
      </c>
      <c r="S2" s="142">
        <v>14020331</v>
      </c>
      <c r="T2" s="142">
        <v>14020431</v>
      </c>
      <c r="U2" s="142">
        <v>14020531</v>
      </c>
      <c r="V2" s="142">
        <v>14020631</v>
      </c>
      <c r="W2" s="142">
        <v>14020730</v>
      </c>
      <c r="X2" s="142">
        <v>14020830</v>
      </c>
      <c r="Y2" s="142">
        <v>14020930</v>
      </c>
      <c r="Z2" s="142">
        <v>14021030</v>
      </c>
      <c r="AA2" s="142">
        <v>14021130</v>
      </c>
      <c r="AB2" s="142">
        <v>14021229</v>
      </c>
      <c r="AC2" s="142">
        <v>14030131</v>
      </c>
      <c r="AD2" s="142">
        <v>14030231</v>
      </c>
      <c r="AE2" s="142">
        <v>14030331</v>
      </c>
      <c r="AF2" s="142">
        <v>14030431</v>
      </c>
      <c r="AG2" s="142">
        <v>14030531</v>
      </c>
      <c r="AH2" s="142">
        <v>14030631</v>
      </c>
      <c r="AI2" s="142">
        <v>14030730</v>
      </c>
      <c r="AJ2" s="142">
        <v>14030830</v>
      </c>
      <c r="AK2" s="142">
        <v>14030930</v>
      </c>
    </row>
    <row r="3" spans="1:37" ht="31.9" customHeight="1" x14ac:dyDescent="0.25">
      <c r="A3" s="85" t="s">
        <v>9</v>
      </c>
      <c r="B3" s="86">
        <v>2</v>
      </c>
      <c r="C3" s="99">
        <f ca="1">ROUND(INDIRECT(ADDRESS(ROW(),خلاصه!$H$4 + 4,4)),0)</f>
        <v>2643890418</v>
      </c>
      <c r="D3" s="99">
        <f ca="1">ROUND(INDIRECT(ADDRESS(ROW(),خلاصه!$H$5 + 4,4)),0)</f>
        <v>2643890418</v>
      </c>
      <c r="E3" s="82"/>
      <c r="F3" s="82">
        <v>2632455000</v>
      </c>
      <c r="G3" s="82">
        <v>2633037268</v>
      </c>
      <c r="H3" s="143">
        <v>2633101964</v>
      </c>
      <c r="I3" s="82">
        <v>2633101964</v>
      </c>
      <c r="J3" s="82">
        <v>2633101964</v>
      </c>
      <c r="K3" s="82">
        <v>2633101964</v>
      </c>
      <c r="L3" s="82">
        <v>2633101964</v>
      </c>
      <c r="M3" s="82">
        <v>2633101964</v>
      </c>
      <c r="N3" s="82">
        <v>2633101964</v>
      </c>
      <c r="O3" s="132">
        <v>2633101964</v>
      </c>
      <c r="P3" s="132">
        <v>2633101964</v>
      </c>
      <c r="Q3" s="82">
        <v>2643890418</v>
      </c>
      <c r="R3" s="82">
        <v>2643890418</v>
      </c>
      <c r="S3" s="82">
        <v>2643890418</v>
      </c>
      <c r="T3" s="82">
        <v>2643890418</v>
      </c>
      <c r="U3" s="82">
        <v>2643890418</v>
      </c>
      <c r="V3" s="82">
        <v>2643890418</v>
      </c>
      <c r="W3" s="82">
        <v>2643890418</v>
      </c>
      <c r="X3" s="82">
        <v>2643890418</v>
      </c>
      <c r="Y3" s="82">
        <v>2643890418</v>
      </c>
      <c r="Z3" s="82">
        <v>2643890418</v>
      </c>
      <c r="AA3" s="82">
        <v>2643890418</v>
      </c>
      <c r="AB3" s="82">
        <v>2643890418</v>
      </c>
      <c r="AC3" s="82">
        <v>2643890418</v>
      </c>
      <c r="AD3" s="82">
        <v>2643890418</v>
      </c>
      <c r="AE3" s="82">
        <v>2643890418</v>
      </c>
      <c r="AF3" s="82">
        <v>2643890418</v>
      </c>
      <c r="AG3" s="82">
        <v>2643890418</v>
      </c>
      <c r="AH3" s="82">
        <v>2643890418</v>
      </c>
      <c r="AI3" s="82">
        <v>2643890418</v>
      </c>
      <c r="AJ3" s="82">
        <v>2643890418</v>
      </c>
      <c r="AK3" s="82">
        <v>2643890418</v>
      </c>
    </row>
    <row r="4" spans="1:37" ht="31.9" customHeight="1" x14ac:dyDescent="0.25">
      <c r="A4" s="85" t="s">
        <v>9</v>
      </c>
      <c r="B4" s="86">
        <v>3</v>
      </c>
      <c r="C4" s="99">
        <f ca="1">ROUND(INDIRECT(ADDRESS(ROW(),خلاصه!$H$4 + 4,4)),0)</f>
        <v>1706549632</v>
      </c>
      <c r="D4" s="99">
        <f ca="1">ROUND(INDIRECT(ADDRESS(ROW(),خلاصه!$H$5 + 4,4)),0)</f>
        <v>1706549632</v>
      </c>
      <c r="E4" s="82"/>
      <c r="F4" s="82">
        <v>997686662</v>
      </c>
      <c r="G4" s="82">
        <v>1577641759</v>
      </c>
      <c r="H4" s="143">
        <v>1692486321</v>
      </c>
      <c r="I4" s="82">
        <v>1692486321</v>
      </c>
      <c r="J4" s="82">
        <v>1692486321</v>
      </c>
      <c r="K4" s="82">
        <v>1692486321</v>
      </c>
      <c r="L4" s="82">
        <v>1654815943</v>
      </c>
      <c r="M4" s="82">
        <v>1692135847</v>
      </c>
      <c r="N4" s="82">
        <v>1692135847</v>
      </c>
      <c r="O4" s="132">
        <v>1705463982</v>
      </c>
      <c r="P4" s="132">
        <v>1705463982</v>
      </c>
      <c r="Q4" s="82">
        <v>1719483706</v>
      </c>
      <c r="R4" s="82">
        <v>1719483706</v>
      </c>
      <c r="S4" s="82">
        <v>1719483706</v>
      </c>
      <c r="T4" s="82">
        <v>1706549632</v>
      </c>
      <c r="U4" s="82">
        <v>1706549632</v>
      </c>
      <c r="V4" s="82">
        <v>1706549632</v>
      </c>
      <c r="W4" s="82">
        <v>1706549632</v>
      </c>
      <c r="X4" s="82">
        <v>1706549632</v>
      </c>
      <c r="Y4" s="82">
        <v>1706549632</v>
      </c>
      <c r="Z4" s="82">
        <v>1706549632</v>
      </c>
      <c r="AA4" s="82">
        <v>1706549632</v>
      </c>
      <c r="AB4" s="82">
        <v>1706549632</v>
      </c>
      <c r="AC4" s="82">
        <v>1706549632</v>
      </c>
      <c r="AD4" s="82">
        <v>1706549632</v>
      </c>
      <c r="AE4" s="82">
        <v>1706549632</v>
      </c>
      <c r="AF4" s="82">
        <v>1706549632</v>
      </c>
      <c r="AG4" s="82">
        <v>1706549632</v>
      </c>
      <c r="AH4" s="82">
        <v>1706549632</v>
      </c>
      <c r="AI4" s="82">
        <v>1706549632</v>
      </c>
      <c r="AJ4" s="82">
        <v>1706549632</v>
      </c>
      <c r="AK4" s="82">
        <v>1706549632</v>
      </c>
    </row>
    <row r="5" spans="1:37" ht="24.6" customHeight="1" x14ac:dyDescent="0.25">
      <c r="A5" s="85" t="s">
        <v>9</v>
      </c>
      <c r="B5" s="86">
        <v>6</v>
      </c>
      <c r="C5" s="99">
        <f ca="1">ROUND(INDIRECT(ADDRESS(ROW(),خلاصه!$H$4 + 4,4)),0)</f>
        <v>10670217600</v>
      </c>
      <c r="D5" s="99">
        <f ca="1">ROUND(INDIRECT(ADDRESS(ROW(),خلاصه!$H$5 + 4,4)),0)</f>
        <v>10468396050</v>
      </c>
      <c r="E5" s="98"/>
      <c r="F5" s="82"/>
      <c r="G5" s="82"/>
      <c r="H5" s="143"/>
      <c r="I5" s="82"/>
      <c r="J5" s="82">
        <v>561590400</v>
      </c>
      <c r="K5" s="82">
        <v>561590400</v>
      </c>
      <c r="L5" s="82">
        <v>3860934000</v>
      </c>
      <c r="M5" s="82">
        <v>3860934000</v>
      </c>
      <c r="N5" s="82">
        <v>3860934000</v>
      </c>
      <c r="O5" s="132">
        <v>3860934000</v>
      </c>
      <c r="P5" s="132">
        <v>4757723670</v>
      </c>
      <c r="Q5" s="82">
        <v>5142062100</v>
      </c>
      <c r="R5" s="82">
        <v>5142062100</v>
      </c>
      <c r="S5" s="82">
        <v>5826500400</v>
      </c>
      <c r="T5" s="82">
        <v>6361766250</v>
      </c>
      <c r="U5" s="82">
        <v>6789978930</v>
      </c>
      <c r="V5" s="82">
        <v>6897032100</v>
      </c>
      <c r="W5" s="82">
        <v>6897032100</v>
      </c>
      <c r="X5" s="82">
        <v>7902629910</v>
      </c>
      <c r="Y5" s="82">
        <v>8544948930</v>
      </c>
      <c r="Z5" s="82">
        <v>8652002100</v>
      </c>
      <c r="AA5" s="82">
        <v>9257466750</v>
      </c>
      <c r="AB5" s="82">
        <v>9661109850</v>
      </c>
      <c r="AC5" s="82">
        <v>9661109850</v>
      </c>
      <c r="AD5" s="82">
        <v>9862931400</v>
      </c>
      <c r="AE5" s="82">
        <v>10468396050</v>
      </c>
      <c r="AF5" s="82">
        <v>10670217600</v>
      </c>
      <c r="AG5" s="82">
        <v>11740749300</v>
      </c>
      <c r="AH5" s="82">
        <v>12762141840</v>
      </c>
      <c r="AI5" s="82">
        <v>12762141840</v>
      </c>
      <c r="AJ5" s="82">
        <v>13320222300</v>
      </c>
      <c r="AK5" s="82">
        <v>13660686480</v>
      </c>
    </row>
    <row r="6" spans="1:37" ht="24.6" customHeight="1" x14ac:dyDescent="0.25">
      <c r="A6" s="85" t="s">
        <v>9</v>
      </c>
      <c r="B6" s="86">
        <v>7</v>
      </c>
      <c r="C6" s="99">
        <f ca="1">ROUND(INDIRECT(ADDRESS(ROW(),خلاصه!$H$4 + 4,4)),0)</f>
        <v>57700895225</v>
      </c>
      <c r="D6" s="99">
        <f ca="1">ROUND(INDIRECT(ADDRESS(ROW(),خلاصه!$H$5 + 4,4)),0)</f>
        <v>56423277065</v>
      </c>
      <c r="E6" s="98"/>
      <c r="F6" s="82"/>
      <c r="G6" s="82"/>
      <c r="H6" s="143">
        <v>8960377759</v>
      </c>
      <c r="I6" s="82">
        <v>15077083807</v>
      </c>
      <c r="J6" s="82">
        <v>17305181500</v>
      </c>
      <c r="K6" s="82">
        <v>24925479394</v>
      </c>
      <c r="L6" s="82">
        <v>24495753509</v>
      </c>
      <c r="M6" s="82">
        <v>27517836138</v>
      </c>
      <c r="N6" s="82">
        <v>27517836138</v>
      </c>
      <c r="O6" s="132">
        <v>27517826138</v>
      </c>
      <c r="P6" s="132">
        <v>27517836138</v>
      </c>
      <c r="Q6" s="82">
        <v>30658829847</v>
      </c>
      <c r="R6" s="82">
        <v>30658829847</v>
      </c>
      <c r="S6" s="82">
        <v>32299850810</v>
      </c>
      <c r="T6" s="82">
        <v>34056382734</v>
      </c>
      <c r="U6" s="82">
        <v>36195378765</v>
      </c>
      <c r="V6" s="82">
        <v>37082516100</v>
      </c>
      <c r="W6" s="82">
        <v>37082516100</v>
      </c>
      <c r="X6" s="82">
        <v>38257239421</v>
      </c>
      <c r="Y6" s="82">
        <v>41008307423</v>
      </c>
      <c r="Z6" s="82">
        <v>43684636673</v>
      </c>
      <c r="AA6" s="82">
        <v>46231955065</v>
      </c>
      <c r="AB6" s="82">
        <v>47898141381</v>
      </c>
      <c r="AC6" s="82">
        <v>49819654903</v>
      </c>
      <c r="AD6" s="82">
        <v>52113070745</v>
      </c>
      <c r="AE6" s="82">
        <v>56423277065</v>
      </c>
      <c r="AF6" s="82">
        <v>57700895225</v>
      </c>
      <c r="AG6" s="82">
        <v>59461136396</v>
      </c>
      <c r="AH6" s="82">
        <v>65094590096</v>
      </c>
      <c r="AI6" s="82">
        <v>65723247658</v>
      </c>
      <c r="AJ6" s="82">
        <v>67142261785</v>
      </c>
      <c r="AK6" s="82">
        <v>68831482417</v>
      </c>
    </row>
    <row r="7" spans="1:37" ht="24.6" customHeight="1" x14ac:dyDescent="0.25">
      <c r="A7" s="85" t="s">
        <v>9</v>
      </c>
      <c r="B7" s="86">
        <v>8</v>
      </c>
      <c r="C7" s="99">
        <f ca="1">ROUND(INDIRECT(ADDRESS(ROW(),خلاصه!$H$4 + 4,4)),0)</f>
        <v>10915913400</v>
      </c>
      <c r="D7" s="99">
        <f ca="1">ROUND(INDIRECT(ADDRESS(ROW(),خلاصه!$H$5 + 4,4)),0)</f>
        <v>10410482040</v>
      </c>
      <c r="E7" s="98"/>
      <c r="F7" s="82"/>
      <c r="G7" s="82"/>
      <c r="H7" s="143">
        <v>476614753</v>
      </c>
      <c r="I7" s="82">
        <v>476614753</v>
      </c>
      <c r="J7" s="82">
        <v>6440739900</v>
      </c>
      <c r="K7" s="82">
        <v>6440739900</v>
      </c>
      <c r="L7" s="82">
        <v>7265575800</v>
      </c>
      <c r="M7" s="82">
        <v>7265575800</v>
      </c>
      <c r="N7" s="82">
        <v>7265575800</v>
      </c>
      <c r="O7" s="132">
        <v>7265575800</v>
      </c>
      <c r="P7" s="132">
        <v>7265575800</v>
      </c>
      <c r="Q7" s="82">
        <v>7265575800</v>
      </c>
      <c r="R7" s="82">
        <v>8072862000</v>
      </c>
      <c r="S7" s="82">
        <v>8265908700</v>
      </c>
      <c r="T7" s="82">
        <v>8265908700</v>
      </c>
      <c r="U7" s="82">
        <v>8265908700</v>
      </c>
      <c r="V7" s="82">
        <v>8265908700</v>
      </c>
      <c r="W7" s="82">
        <v>8862598500</v>
      </c>
      <c r="X7" s="82">
        <v>9055645200</v>
      </c>
      <c r="Y7" s="82">
        <v>9055645200</v>
      </c>
      <c r="Z7" s="82">
        <v>9652335000</v>
      </c>
      <c r="AA7" s="82">
        <v>9652335000</v>
      </c>
      <c r="AB7" s="82">
        <v>9652335000</v>
      </c>
      <c r="AC7" s="82">
        <v>9652335000</v>
      </c>
      <c r="AD7" s="82">
        <v>10410482040</v>
      </c>
      <c r="AE7" s="82">
        <v>10410482040</v>
      </c>
      <c r="AF7" s="82">
        <v>10915913400</v>
      </c>
      <c r="AG7" s="82">
        <v>11231808000</v>
      </c>
      <c r="AH7" s="82">
        <v>11231808000</v>
      </c>
      <c r="AI7" s="82">
        <v>11705649900</v>
      </c>
      <c r="AJ7" s="82">
        <v>11705649900</v>
      </c>
      <c r="AK7" s="82">
        <v>11705649900</v>
      </c>
    </row>
    <row r="8" spans="1:37" ht="24.6" customHeight="1" x14ac:dyDescent="0.25">
      <c r="A8" s="85" t="s">
        <v>9</v>
      </c>
      <c r="B8" s="86">
        <v>9</v>
      </c>
      <c r="C8" s="99">
        <f ca="1">ROUND(INDIRECT(ADDRESS(ROW(),خلاصه!$H$4 + 4,4)),0)</f>
        <v>123150111</v>
      </c>
      <c r="D8" s="99">
        <f ca="1">ROUND(INDIRECT(ADDRESS(ROW(),خلاصه!$H$5 + 4,4)),0)</f>
        <v>123150111</v>
      </c>
      <c r="E8" s="98"/>
      <c r="F8" s="82"/>
      <c r="G8" s="82"/>
      <c r="H8" s="143">
        <v>476614753</v>
      </c>
      <c r="I8" s="82">
        <v>476614753</v>
      </c>
      <c r="J8" s="82">
        <v>6440739900</v>
      </c>
      <c r="K8" s="82">
        <v>6440739900</v>
      </c>
      <c r="L8" s="82">
        <v>7265575800</v>
      </c>
      <c r="M8" s="82">
        <v>7265575800</v>
      </c>
      <c r="N8" s="82">
        <v>7265575800</v>
      </c>
      <c r="O8" s="132">
        <v>7265575800</v>
      </c>
      <c r="P8" s="132">
        <v>7265575800</v>
      </c>
      <c r="Q8" s="82"/>
      <c r="R8" s="82"/>
      <c r="S8" s="82"/>
      <c r="T8" s="82">
        <v>35494972</v>
      </c>
      <c r="U8" s="82">
        <v>35494972</v>
      </c>
      <c r="V8" s="82">
        <v>35494972</v>
      </c>
      <c r="W8" s="82">
        <v>35494972</v>
      </c>
      <c r="X8" s="82">
        <v>69525873</v>
      </c>
      <c r="Y8" s="82">
        <v>84110545</v>
      </c>
      <c r="Z8" s="82">
        <v>84110545</v>
      </c>
      <c r="AA8" s="82">
        <v>111438241</v>
      </c>
      <c r="AB8" s="82">
        <v>123150111</v>
      </c>
      <c r="AC8" s="82">
        <v>123150111</v>
      </c>
      <c r="AD8" s="82">
        <v>123150111</v>
      </c>
      <c r="AE8" s="82">
        <v>123150111</v>
      </c>
      <c r="AF8" s="82">
        <v>123150111</v>
      </c>
      <c r="AG8" s="82">
        <v>123150111</v>
      </c>
      <c r="AH8" s="82">
        <v>123150111</v>
      </c>
      <c r="AI8" s="82">
        <v>123150111</v>
      </c>
      <c r="AJ8" s="82">
        <v>123150111</v>
      </c>
      <c r="AK8" s="82">
        <v>123150111</v>
      </c>
    </row>
    <row r="9" spans="1:37" ht="24.6" customHeight="1" x14ac:dyDescent="0.25">
      <c r="A9" s="85" t="s">
        <v>9</v>
      </c>
      <c r="B9" s="86">
        <v>26</v>
      </c>
      <c r="C9" s="99">
        <f ca="1">ROUND(INDIRECT(ADDRESS(ROW(),خلاصه!$H$4 + 4,4)),0)</f>
        <v>2908207907</v>
      </c>
      <c r="D9" s="99">
        <f ca="1">ROUND(INDIRECT(ADDRESS(ROW(),خلاصه!$H$5 + 4,4)),0)</f>
        <v>2908207907</v>
      </c>
      <c r="E9" s="98"/>
      <c r="F9" s="82"/>
      <c r="G9" s="82">
        <v>2085760239</v>
      </c>
      <c r="H9" s="143">
        <v>2317511376</v>
      </c>
      <c r="I9" s="82">
        <v>2317511376</v>
      </c>
      <c r="J9" s="82">
        <v>2317511376</v>
      </c>
      <c r="K9" s="82">
        <v>2317511376</v>
      </c>
      <c r="L9" s="82">
        <v>2317511376</v>
      </c>
      <c r="M9" s="82">
        <v>2730998948</v>
      </c>
      <c r="N9" s="82">
        <v>2730998948</v>
      </c>
      <c r="O9" s="132">
        <v>2878668623</v>
      </c>
      <c r="P9" s="132">
        <v>2878668623</v>
      </c>
      <c r="Q9" s="82">
        <v>3055889469</v>
      </c>
      <c r="R9" s="82">
        <v>3055889469</v>
      </c>
      <c r="S9" s="82">
        <v>3055889469</v>
      </c>
      <c r="T9" s="82">
        <v>2908207907</v>
      </c>
      <c r="U9" s="82">
        <v>2908207907</v>
      </c>
      <c r="V9" s="82">
        <v>2908207907</v>
      </c>
      <c r="W9" s="82">
        <v>2908207907</v>
      </c>
      <c r="X9" s="82">
        <v>2908207907</v>
      </c>
      <c r="Y9" s="82">
        <v>2908207907</v>
      </c>
      <c r="Z9" s="82">
        <v>2908207907</v>
      </c>
      <c r="AA9" s="82">
        <v>2908207907</v>
      </c>
      <c r="AB9" s="82">
        <v>2908207907</v>
      </c>
      <c r="AC9" s="82">
        <v>2908207907</v>
      </c>
      <c r="AD9" s="82">
        <v>2908207907</v>
      </c>
      <c r="AE9" s="82">
        <v>2908207907</v>
      </c>
      <c r="AF9" s="82">
        <v>2908207907</v>
      </c>
      <c r="AG9" s="82">
        <v>2908207907</v>
      </c>
      <c r="AH9" s="82">
        <v>2908207907</v>
      </c>
      <c r="AI9" s="82">
        <v>2908207907</v>
      </c>
      <c r="AJ9" s="82">
        <v>2908207907</v>
      </c>
      <c r="AK9" s="132">
        <v>2908207907</v>
      </c>
    </row>
    <row r="10" spans="1:37" ht="24.6" customHeight="1" x14ac:dyDescent="0.25">
      <c r="A10" s="85" t="s">
        <v>9</v>
      </c>
      <c r="B10" s="86">
        <v>28</v>
      </c>
      <c r="C10" s="99">
        <f ca="1">ROUND(INDIRECT(ADDRESS(ROW(),خلاصه!$H$4 + 4,4)),0)</f>
        <v>4834347944</v>
      </c>
      <c r="D10" s="99">
        <f ca="1">ROUND(INDIRECT(ADDRESS(ROW(),خلاصه!$H$5 + 4,4)),0)</f>
        <v>4732055799</v>
      </c>
      <c r="E10" s="98"/>
      <c r="F10" s="98"/>
      <c r="G10" s="98">
        <v>656111857</v>
      </c>
      <c r="H10" s="98">
        <v>768708841</v>
      </c>
      <c r="I10" s="98">
        <v>1348484646</v>
      </c>
      <c r="J10" s="98">
        <v>1501862436</v>
      </c>
      <c r="K10" s="98">
        <v>1878750571</v>
      </c>
      <c r="L10" s="98">
        <v>2223453029</v>
      </c>
      <c r="M10" s="98">
        <v>2382179913</v>
      </c>
      <c r="N10" s="98">
        <v>2391024962</v>
      </c>
      <c r="O10" s="132">
        <v>2428633401</v>
      </c>
      <c r="P10" s="132">
        <v>2428633401</v>
      </c>
      <c r="Q10" s="82">
        <v>2814729679</v>
      </c>
      <c r="R10" s="82">
        <v>2887756332</v>
      </c>
      <c r="S10" s="82">
        <v>2811535462</v>
      </c>
      <c r="T10" s="82">
        <v>2838790676</v>
      </c>
      <c r="U10" s="82">
        <v>2904963028</v>
      </c>
      <c r="V10" s="82">
        <v>2904963028</v>
      </c>
      <c r="W10" s="82">
        <v>2904963028</v>
      </c>
      <c r="X10" s="82">
        <v>2904963028</v>
      </c>
      <c r="Y10" s="82">
        <v>3011840701</v>
      </c>
      <c r="Z10" s="82">
        <v>3144516433</v>
      </c>
      <c r="AA10" s="82">
        <v>4101050396</v>
      </c>
      <c r="AB10" s="82">
        <v>4097469324</v>
      </c>
      <c r="AC10" s="82">
        <v>4252335230</v>
      </c>
      <c r="AD10" s="82">
        <v>4484782659</v>
      </c>
      <c r="AE10" s="82">
        <v>4732055799</v>
      </c>
      <c r="AF10" s="82">
        <v>4834347944</v>
      </c>
      <c r="AG10" s="82">
        <v>4864193838</v>
      </c>
      <c r="AH10" s="82">
        <v>5187380637</v>
      </c>
      <c r="AI10" s="82">
        <v>5191839459</v>
      </c>
      <c r="AJ10" s="82">
        <v>5363916591</v>
      </c>
      <c r="AK10" s="82">
        <v>5470389459</v>
      </c>
    </row>
    <row r="11" spans="1:37" ht="24.6" customHeight="1" x14ac:dyDescent="0.25">
      <c r="A11" s="85" t="s">
        <v>129</v>
      </c>
      <c r="B11" s="86">
        <v>28</v>
      </c>
      <c r="C11" s="99">
        <f ca="1">ROUND(INDIRECT(ADDRESS(ROW(),خلاصه!$H$4 + 4,4)),0)</f>
        <v>171170398</v>
      </c>
      <c r="D11" s="99">
        <f ca="1">ROUND(INDIRECT(ADDRESS(ROW(),خلاصه!$H$5 + 4,4)),0)</f>
        <v>171170398</v>
      </c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132"/>
      <c r="P11" s="132"/>
      <c r="Q11" s="82"/>
      <c r="R11" s="82"/>
      <c r="S11" s="82"/>
      <c r="T11" s="82"/>
      <c r="U11" s="82">
        <v>0</v>
      </c>
      <c r="V11" s="82">
        <v>0</v>
      </c>
      <c r="W11" s="82">
        <v>0</v>
      </c>
      <c r="X11" s="82">
        <v>98857986</v>
      </c>
      <c r="Y11" s="82">
        <v>141225695</v>
      </c>
      <c r="Z11" s="82">
        <v>141225695</v>
      </c>
      <c r="AA11" s="82">
        <v>162186987</v>
      </c>
      <c r="AB11" s="82">
        <v>171170398</v>
      </c>
      <c r="AC11" s="82">
        <v>171170398</v>
      </c>
      <c r="AD11" s="82">
        <v>171170398</v>
      </c>
      <c r="AE11" s="82">
        <v>171170398</v>
      </c>
      <c r="AF11" s="82">
        <v>171170398</v>
      </c>
      <c r="AG11" s="82">
        <v>171170398</v>
      </c>
      <c r="AH11" s="82">
        <v>171170398</v>
      </c>
      <c r="AI11" s="82">
        <v>171170398</v>
      </c>
      <c r="AJ11" s="82">
        <v>171170398</v>
      </c>
      <c r="AK11" s="82">
        <v>171170398</v>
      </c>
    </row>
    <row r="12" spans="1:37" ht="24.6" customHeight="1" x14ac:dyDescent="0.25">
      <c r="A12" s="85" t="s">
        <v>9</v>
      </c>
      <c r="B12" s="86">
        <v>98</v>
      </c>
      <c r="C12" s="99">
        <f ca="1">ROUND(INDIRECT(ADDRESS(ROW(),خلاصه!$H$4 + 4,4)),0)</f>
        <v>3596498962</v>
      </c>
      <c r="D12" s="99">
        <f ca="1">ROUND(INDIRECT(ADDRESS(ROW(),خلاصه!$H$5 + 4,4)),0)</f>
        <v>3494580503</v>
      </c>
      <c r="E12" s="98">
        <v>2825501700</v>
      </c>
      <c r="F12" s="98">
        <v>2882011734</v>
      </c>
      <c r="G12" s="98">
        <v>2882011374</v>
      </c>
      <c r="H12" s="98">
        <v>2938521768</v>
      </c>
      <c r="I12" s="98">
        <v>3085237260</v>
      </c>
      <c r="J12" s="98">
        <v>3239674620</v>
      </c>
      <c r="K12" s="82">
        <v>3350413227</v>
      </c>
      <c r="L12" s="82">
        <v>3460109382</v>
      </c>
      <c r="M12" s="82">
        <v>3460109382</v>
      </c>
      <c r="N12" s="82">
        <v>3462934884</v>
      </c>
      <c r="O12" s="82">
        <v>3460109382</v>
      </c>
      <c r="P12" s="82">
        <v>3474801991</v>
      </c>
      <c r="Q12" s="82">
        <v>3600339633</v>
      </c>
      <c r="R12" s="82">
        <v>3614995572</v>
      </c>
      <c r="S12" s="82">
        <v>3661941292</v>
      </c>
      <c r="T12" s="82">
        <v>3701293074</v>
      </c>
      <c r="U12" s="82">
        <v>3179571159</v>
      </c>
      <c r="V12" s="82">
        <v>3193542011</v>
      </c>
      <c r="W12" s="82">
        <v>3201926989</v>
      </c>
      <c r="X12" s="82">
        <v>3232828097</v>
      </c>
      <c r="Y12" s="82">
        <v>3280965267</v>
      </c>
      <c r="Z12" s="132">
        <v>3330328123</v>
      </c>
      <c r="AA12" s="132">
        <v>3352042749</v>
      </c>
      <c r="AB12" s="132">
        <v>3387996251</v>
      </c>
      <c r="AC12" s="132">
        <v>3413206054</v>
      </c>
      <c r="AD12" s="132">
        <v>3494616900</v>
      </c>
      <c r="AE12" s="132">
        <v>3494580503</v>
      </c>
      <c r="AF12" s="132">
        <v>3596498962</v>
      </c>
      <c r="AG12" s="132">
        <v>3616236372</v>
      </c>
      <c r="AH12" s="132">
        <v>3714295113</v>
      </c>
      <c r="AI12" s="132">
        <v>3714404535</v>
      </c>
      <c r="AJ12" s="132">
        <v>3768944888</v>
      </c>
      <c r="AK12" s="132">
        <v>3801631135</v>
      </c>
    </row>
    <row r="16" spans="1:37" ht="26.25" customHeight="1" x14ac:dyDescent="0.25">
      <c r="A16" s="74" t="s">
        <v>133</v>
      </c>
      <c r="C16" s="76">
        <f ca="1">SUM(C3:C10)</f>
        <v>91503172237</v>
      </c>
      <c r="D16" s="76">
        <f t="shared" ref="D16:AJ16" ca="1" si="0">SUM(D3:D10)</f>
        <v>89416009022</v>
      </c>
      <c r="E16" s="76">
        <f t="shared" si="0"/>
        <v>0</v>
      </c>
      <c r="F16" s="76">
        <f t="shared" si="0"/>
        <v>3630141662</v>
      </c>
      <c r="G16" s="76">
        <f t="shared" si="0"/>
        <v>6952551123</v>
      </c>
      <c r="H16" s="76">
        <f t="shared" si="0"/>
        <v>17325415767</v>
      </c>
      <c r="I16" s="76">
        <f t="shared" si="0"/>
        <v>24021897620</v>
      </c>
      <c r="J16" s="76">
        <f t="shared" si="0"/>
        <v>38893213797</v>
      </c>
      <c r="K16" s="76">
        <f t="shared" si="0"/>
        <v>46890399826</v>
      </c>
      <c r="L16" s="76">
        <f t="shared" si="0"/>
        <v>51716721421</v>
      </c>
      <c r="M16" s="76">
        <f t="shared" si="0"/>
        <v>55348338410</v>
      </c>
      <c r="N16" s="76">
        <f t="shared" si="0"/>
        <v>55357183459</v>
      </c>
      <c r="O16" s="76">
        <f t="shared" si="0"/>
        <v>55555779708</v>
      </c>
      <c r="P16" s="76">
        <f t="shared" si="0"/>
        <v>56452579378</v>
      </c>
      <c r="Q16" s="76">
        <f t="shared" si="0"/>
        <v>53300461019</v>
      </c>
      <c r="R16" s="76">
        <f t="shared" si="0"/>
        <v>54180773872</v>
      </c>
      <c r="S16" s="76">
        <f t="shared" si="0"/>
        <v>56623058965</v>
      </c>
      <c r="T16" s="76">
        <f t="shared" si="0"/>
        <v>58816991289</v>
      </c>
      <c r="U16" s="76">
        <f t="shared" si="0"/>
        <v>61450372352</v>
      </c>
      <c r="V16" s="76">
        <f t="shared" si="0"/>
        <v>62444562857</v>
      </c>
      <c r="W16" s="76">
        <f t="shared" si="0"/>
        <v>63041252657</v>
      </c>
      <c r="X16" s="76">
        <f t="shared" si="0"/>
        <v>65448651389</v>
      </c>
      <c r="Y16" s="76">
        <f t="shared" si="0"/>
        <v>68963500756</v>
      </c>
      <c r="Z16" s="76">
        <f t="shared" si="0"/>
        <v>72476248708</v>
      </c>
      <c r="AA16" s="76">
        <f t="shared" si="0"/>
        <v>76612893409</v>
      </c>
      <c r="AB16" s="76">
        <f t="shared" si="0"/>
        <v>78690853623</v>
      </c>
      <c r="AC16" s="76">
        <f t="shared" si="0"/>
        <v>80767233051</v>
      </c>
      <c r="AD16" s="76">
        <f t="shared" si="0"/>
        <v>84253064912</v>
      </c>
      <c r="AE16" s="76">
        <f t="shared" si="0"/>
        <v>89416009022</v>
      </c>
      <c r="AF16" s="76">
        <f t="shared" si="0"/>
        <v>91503172237</v>
      </c>
      <c r="AG16" s="76">
        <f t="shared" si="0"/>
        <v>94679685602</v>
      </c>
      <c r="AH16" s="76">
        <f t="shared" si="0"/>
        <v>101657718641</v>
      </c>
      <c r="AI16" s="76">
        <f t="shared" si="0"/>
        <v>102764676925</v>
      </c>
      <c r="AJ16" s="76">
        <f t="shared" si="0"/>
        <v>104913848644</v>
      </c>
      <c r="AK16" s="76">
        <f t="shared" ref="AK16" si="1">SUM(AK3:AK10)</f>
        <v>107050006324</v>
      </c>
    </row>
    <row r="17" spans="1:37" ht="26.25" customHeight="1" x14ac:dyDescent="0.25">
      <c r="A17" s="74" t="s">
        <v>134</v>
      </c>
      <c r="C17" s="76">
        <f ca="1">SUM(C11)</f>
        <v>171170398</v>
      </c>
      <c r="D17" s="76">
        <f t="shared" ref="D17:AJ17" ca="1" si="2">SUM(D11)</f>
        <v>171170398</v>
      </c>
      <c r="E17" s="76">
        <f t="shared" si="2"/>
        <v>0</v>
      </c>
      <c r="F17" s="76">
        <f t="shared" si="2"/>
        <v>0</v>
      </c>
      <c r="G17" s="76">
        <f t="shared" si="2"/>
        <v>0</v>
      </c>
      <c r="H17" s="76">
        <f t="shared" si="2"/>
        <v>0</v>
      </c>
      <c r="I17" s="76">
        <f t="shared" si="2"/>
        <v>0</v>
      </c>
      <c r="J17" s="76">
        <f t="shared" si="2"/>
        <v>0</v>
      </c>
      <c r="K17" s="76">
        <f t="shared" si="2"/>
        <v>0</v>
      </c>
      <c r="L17" s="76">
        <f t="shared" si="2"/>
        <v>0</v>
      </c>
      <c r="M17" s="76">
        <f t="shared" si="2"/>
        <v>0</v>
      </c>
      <c r="N17" s="76">
        <f t="shared" si="2"/>
        <v>0</v>
      </c>
      <c r="O17" s="76">
        <f t="shared" si="2"/>
        <v>0</v>
      </c>
      <c r="P17" s="76">
        <f t="shared" si="2"/>
        <v>0</v>
      </c>
      <c r="Q17" s="76">
        <f t="shared" si="2"/>
        <v>0</v>
      </c>
      <c r="R17" s="76">
        <f t="shared" si="2"/>
        <v>0</v>
      </c>
      <c r="S17" s="76">
        <f t="shared" si="2"/>
        <v>0</v>
      </c>
      <c r="T17" s="76">
        <f t="shared" si="2"/>
        <v>0</v>
      </c>
      <c r="U17" s="76">
        <f t="shared" si="2"/>
        <v>0</v>
      </c>
      <c r="V17" s="76">
        <f t="shared" si="2"/>
        <v>0</v>
      </c>
      <c r="W17" s="76">
        <f t="shared" si="2"/>
        <v>0</v>
      </c>
      <c r="X17" s="76">
        <f t="shared" si="2"/>
        <v>98857986</v>
      </c>
      <c r="Y17" s="76">
        <f t="shared" si="2"/>
        <v>141225695</v>
      </c>
      <c r="Z17" s="76">
        <f t="shared" si="2"/>
        <v>141225695</v>
      </c>
      <c r="AA17" s="76">
        <f t="shared" si="2"/>
        <v>162186987</v>
      </c>
      <c r="AB17" s="76">
        <f t="shared" si="2"/>
        <v>171170398</v>
      </c>
      <c r="AC17" s="76">
        <f t="shared" si="2"/>
        <v>171170398</v>
      </c>
      <c r="AD17" s="76">
        <f t="shared" si="2"/>
        <v>171170398</v>
      </c>
      <c r="AE17" s="76">
        <f t="shared" si="2"/>
        <v>171170398</v>
      </c>
      <c r="AF17" s="76">
        <f t="shared" si="2"/>
        <v>171170398</v>
      </c>
      <c r="AG17" s="76">
        <f t="shared" si="2"/>
        <v>171170398</v>
      </c>
      <c r="AH17" s="76">
        <f t="shared" si="2"/>
        <v>171170398</v>
      </c>
      <c r="AI17" s="76">
        <f t="shared" si="2"/>
        <v>171170398</v>
      </c>
      <c r="AJ17" s="76">
        <f t="shared" si="2"/>
        <v>171170398</v>
      </c>
      <c r="AK17" s="76">
        <f t="shared" ref="AK17" si="3">SUM(AK11)</f>
        <v>171170398</v>
      </c>
    </row>
    <row r="18" spans="1:37" ht="26.25" customHeight="1" x14ac:dyDescent="0.25">
      <c r="A18" s="74" t="s">
        <v>135</v>
      </c>
      <c r="C18" s="76">
        <f ca="1">C12</f>
        <v>3596498962</v>
      </c>
      <c r="D18" s="76">
        <f t="shared" ref="D18:AJ18" ca="1" si="4">D12</f>
        <v>3494580503</v>
      </c>
      <c r="E18" s="76">
        <f t="shared" si="4"/>
        <v>2825501700</v>
      </c>
      <c r="F18" s="76">
        <f t="shared" si="4"/>
        <v>2882011734</v>
      </c>
      <c r="G18" s="76">
        <f t="shared" si="4"/>
        <v>2882011374</v>
      </c>
      <c r="H18" s="76">
        <f t="shared" si="4"/>
        <v>2938521768</v>
      </c>
      <c r="I18" s="76">
        <f t="shared" si="4"/>
        <v>3085237260</v>
      </c>
      <c r="J18" s="76">
        <f t="shared" si="4"/>
        <v>3239674620</v>
      </c>
      <c r="K18" s="76">
        <f t="shared" si="4"/>
        <v>3350413227</v>
      </c>
      <c r="L18" s="76">
        <f t="shared" si="4"/>
        <v>3460109382</v>
      </c>
      <c r="M18" s="76">
        <f t="shared" si="4"/>
        <v>3460109382</v>
      </c>
      <c r="N18" s="76">
        <f t="shared" si="4"/>
        <v>3462934884</v>
      </c>
      <c r="O18" s="76">
        <f t="shared" si="4"/>
        <v>3460109382</v>
      </c>
      <c r="P18" s="76">
        <f t="shared" si="4"/>
        <v>3474801991</v>
      </c>
      <c r="Q18" s="76">
        <f t="shared" si="4"/>
        <v>3600339633</v>
      </c>
      <c r="R18" s="76">
        <f t="shared" si="4"/>
        <v>3614995572</v>
      </c>
      <c r="S18" s="76">
        <f t="shared" si="4"/>
        <v>3661941292</v>
      </c>
      <c r="T18" s="76">
        <f t="shared" si="4"/>
        <v>3701293074</v>
      </c>
      <c r="U18" s="76">
        <f t="shared" si="4"/>
        <v>3179571159</v>
      </c>
      <c r="V18" s="76">
        <f t="shared" si="4"/>
        <v>3193542011</v>
      </c>
      <c r="W18" s="76">
        <f t="shared" si="4"/>
        <v>3201926989</v>
      </c>
      <c r="X18" s="76">
        <f t="shared" si="4"/>
        <v>3232828097</v>
      </c>
      <c r="Y18" s="76">
        <f t="shared" si="4"/>
        <v>3280965267</v>
      </c>
      <c r="Z18" s="76">
        <f t="shared" si="4"/>
        <v>3330328123</v>
      </c>
      <c r="AA18" s="76">
        <f t="shared" si="4"/>
        <v>3352042749</v>
      </c>
      <c r="AB18" s="76">
        <f t="shared" si="4"/>
        <v>3387996251</v>
      </c>
      <c r="AC18" s="76">
        <f t="shared" si="4"/>
        <v>3413206054</v>
      </c>
      <c r="AD18" s="76">
        <f t="shared" si="4"/>
        <v>3494616900</v>
      </c>
      <c r="AE18" s="76">
        <f t="shared" si="4"/>
        <v>3494580503</v>
      </c>
      <c r="AF18" s="76">
        <f t="shared" si="4"/>
        <v>3596498962</v>
      </c>
      <c r="AG18" s="76">
        <f t="shared" si="4"/>
        <v>3616236372</v>
      </c>
      <c r="AH18" s="76">
        <f t="shared" si="4"/>
        <v>3714295113</v>
      </c>
      <c r="AI18" s="76">
        <f t="shared" si="4"/>
        <v>3714404535</v>
      </c>
      <c r="AJ18" s="76">
        <f t="shared" si="4"/>
        <v>3768944888</v>
      </c>
      <c r="AK18" s="76">
        <f t="shared" ref="AK18" si="5">AK12</f>
        <v>3801631135</v>
      </c>
    </row>
    <row r="19" spans="1:37" ht="26.25" customHeight="1" x14ac:dyDescent="0.25">
      <c r="A19" s="74" t="s">
        <v>136</v>
      </c>
      <c r="C19" s="76">
        <f ca="1">C18+C17+C16</f>
        <v>95270841597</v>
      </c>
      <c r="D19" s="76">
        <f t="shared" ref="D19:AJ19" ca="1" si="6">D18+D17+D16</f>
        <v>93081759923</v>
      </c>
      <c r="E19" s="76">
        <f t="shared" si="6"/>
        <v>2825501700</v>
      </c>
      <c r="F19" s="76">
        <f t="shared" si="6"/>
        <v>6512153396</v>
      </c>
      <c r="G19" s="76">
        <f t="shared" si="6"/>
        <v>9834562497</v>
      </c>
      <c r="H19" s="76">
        <f t="shared" si="6"/>
        <v>20263937535</v>
      </c>
      <c r="I19" s="76">
        <f t="shared" si="6"/>
        <v>27107134880</v>
      </c>
      <c r="J19" s="76">
        <f t="shared" si="6"/>
        <v>42132888417</v>
      </c>
      <c r="K19" s="76">
        <f t="shared" si="6"/>
        <v>50240813053</v>
      </c>
      <c r="L19" s="76">
        <f t="shared" si="6"/>
        <v>55176830803</v>
      </c>
      <c r="M19" s="76">
        <f t="shared" si="6"/>
        <v>58808447792</v>
      </c>
      <c r="N19" s="76">
        <f t="shared" si="6"/>
        <v>58820118343</v>
      </c>
      <c r="O19" s="76">
        <f t="shared" si="6"/>
        <v>59015889090</v>
      </c>
      <c r="P19" s="76">
        <f t="shared" si="6"/>
        <v>59927381369</v>
      </c>
      <c r="Q19" s="76">
        <f t="shared" si="6"/>
        <v>56900800652</v>
      </c>
      <c r="R19" s="76">
        <f t="shared" si="6"/>
        <v>57795769444</v>
      </c>
      <c r="S19" s="76">
        <f t="shared" si="6"/>
        <v>60285000257</v>
      </c>
      <c r="T19" s="76">
        <f t="shared" si="6"/>
        <v>62518284363</v>
      </c>
      <c r="U19" s="76">
        <f t="shared" si="6"/>
        <v>64629943511</v>
      </c>
      <c r="V19" s="76">
        <f t="shared" si="6"/>
        <v>65638104868</v>
      </c>
      <c r="W19" s="76">
        <f t="shared" si="6"/>
        <v>66243179646</v>
      </c>
      <c r="X19" s="76">
        <f t="shared" si="6"/>
        <v>68780337472</v>
      </c>
      <c r="Y19" s="76">
        <f t="shared" si="6"/>
        <v>72385691718</v>
      </c>
      <c r="Z19" s="76">
        <f t="shared" si="6"/>
        <v>75947802526</v>
      </c>
      <c r="AA19" s="76">
        <f t="shared" si="6"/>
        <v>80127123145</v>
      </c>
      <c r="AB19" s="76">
        <f t="shared" si="6"/>
        <v>82250020272</v>
      </c>
      <c r="AC19" s="76">
        <f t="shared" si="6"/>
        <v>84351609503</v>
      </c>
      <c r="AD19" s="76">
        <f t="shared" si="6"/>
        <v>87918852210</v>
      </c>
      <c r="AE19" s="76">
        <f t="shared" si="6"/>
        <v>93081759923</v>
      </c>
      <c r="AF19" s="76">
        <f t="shared" si="6"/>
        <v>95270841597</v>
      </c>
      <c r="AG19" s="76">
        <f t="shared" si="6"/>
        <v>98467092372</v>
      </c>
      <c r="AH19" s="76">
        <f t="shared" si="6"/>
        <v>105543184152</v>
      </c>
      <c r="AI19" s="76">
        <f t="shared" si="6"/>
        <v>106650251858</v>
      </c>
      <c r="AJ19" s="76">
        <f t="shared" si="6"/>
        <v>108853963930</v>
      </c>
      <c r="AK19" s="76">
        <f t="shared" ref="AK19" si="7">AK18+AK17+AK16</f>
        <v>111022807857</v>
      </c>
    </row>
    <row r="21" spans="1:37" ht="26.25" customHeight="1" x14ac:dyDescent="0.25">
      <c r="AJ21" s="76">
        <f>AJ19-AI19</f>
        <v>2203712072</v>
      </c>
      <c r="AK21" s="76">
        <f>AK19-AJ19</f>
        <v>2168843927</v>
      </c>
    </row>
  </sheetData>
  <phoneticPr fontId="30" type="noConversion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32"/>
  <sheetViews>
    <sheetView rightToLeft="1" tabSelected="1" view="pageBreakPreview" zoomScaleNormal="100" zoomScaleSheetLayoutView="100" workbookViewId="0">
      <selection activeCell="O8" sqref="O8"/>
    </sheetView>
  </sheetViews>
  <sheetFormatPr defaultColWidth="9" defaultRowHeight="15.95" customHeight="1" x14ac:dyDescent="0.25"/>
  <cols>
    <col min="1" max="1" width="4.28515625" style="34" customWidth="1"/>
    <col min="2" max="2" width="17.140625" style="34" customWidth="1"/>
    <col min="3" max="3" width="11.28515625" style="34" customWidth="1"/>
    <col min="4" max="4" width="16.28515625" style="34" customWidth="1"/>
    <col min="5" max="5" width="18.7109375" style="34" customWidth="1"/>
    <col min="6" max="6" width="4.42578125" style="34" customWidth="1"/>
    <col min="7" max="7" width="27" style="34" customWidth="1"/>
    <col min="8" max="8" width="31.140625" style="34" customWidth="1"/>
    <col min="9" max="9" width="5" style="34" customWidth="1"/>
    <col min="10" max="10" width="6.28515625" style="34" customWidth="1"/>
    <col min="11" max="11" width="3.7109375" style="34" customWidth="1"/>
    <col min="12" max="12" width="16.42578125" style="34" customWidth="1"/>
    <col min="13" max="13" width="6.5703125" style="34" customWidth="1"/>
    <col min="14" max="16384" width="9" style="34"/>
  </cols>
  <sheetData>
    <row r="1" spans="1:15" ht="15.95" customHeight="1" x14ac:dyDescent="0.25">
      <c r="A1" s="201" t="s">
        <v>29</v>
      </c>
      <c r="B1" s="202"/>
      <c r="C1" s="202"/>
      <c r="D1" s="202"/>
      <c r="E1" s="202"/>
      <c r="F1" s="202"/>
      <c r="G1" s="203">
        <v>7</v>
      </c>
      <c r="H1" s="203"/>
      <c r="I1" s="203"/>
      <c r="J1" s="203"/>
      <c r="K1" s="203"/>
      <c r="L1" s="203"/>
    </row>
    <row r="2" spans="1:15" ht="15.95" customHeight="1" thickBot="1" x14ac:dyDescent="0.3">
      <c r="A2" s="214" t="s">
        <v>18</v>
      </c>
      <c r="B2" s="215"/>
      <c r="C2" s="215"/>
      <c r="D2" s="215"/>
      <c r="E2" s="215"/>
      <c r="F2" s="35"/>
      <c r="G2" s="35" t="s">
        <v>110</v>
      </c>
      <c r="H2" s="147">
        <v>1403</v>
      </c>
      <c r="I2" s="148" t="s">
        <v>2</v>
      </c>
      <c r="J2" s="148"/>
      <c r="K2" s="148"/>
      <c r="L2" s="35"/>
    </row>
    <row r="3" spans="1:15" ht="15.95" customHeight="1" thickTop="1" x14ac:dyDescent="0.25">
      <c r="A3" s="205" t="s">
        <v>19</v>
      </c>
      <c r="B3" s="206"/>
      <c r="C3" s="206"/>
      <c r="D3" s="206"/>
      <c r="E3" s="207"/>
      <c r="F3" s="35"/>
      <c r="G3" s="208" t="s">
        <v>20</v>
      </c>
      <c r="H3" s="209"/>
      <c r="I3" s="209"/>
      <c r="J3" s="209"/>
      <c r="K3" s="209"/>
      <c r="L3" s="210"/>
    </row>
    <row r="4" spans="1:15" ht="15.95" customHeight="1" x14ac:dyDescent="0.25">
      <c r="A4" s="61" t="s">
        <v>52</v>
      </c>
      <c r="B4" s="56" t="s">
        <v>30</v>
      </c>
      <c r="C4" s="213" t="s">
        <v>111</v>
      </c>
      <c r="D4" s="213"/>
      <c r="E4" s="213"/>
      <c r="F4" s="35"/>
      <c r="G4" s="36" t="s">
        <v>40</v>
      </c>
      <c r="H4" s="211">
        <v>28</v>
      </c>
      <c r="I4" s="212"/>
      <c r="J4" s="212"/>
      <c r="K4" s="212"/>
      <c r="L4" s="141">
        <v>14011111</v>
      </c>
    </row>
    <row r="5" spans="1:15" ht="15.95" customHeight="1" x14ac:dyDescent="0.25">
      <c r="A5" s="61" t="s">
        <v>52</v>
      </c>
      <c r="B5" s="56" t="s">
        <v>31</v>
      </c>
      <c r="C5" s="213" t="s">
        <v>99</v>
      </c>
      <c r="D5" s="213"/>
      <c r="E5" s="213"/>
      <c r="F5" s="35"/>
      <c r="G5" s="36" t="s">
        <v>39</v>
      </c>
      <c r="H5" s="211">
        <v>27</v>
      </c>
      <c r="I5" s="212"/>
      <c r="J5" s="212"/>
      <c r="K5" s="212"/>
      <c r="L5" s="141">
        <v>14011011</v>
      </c>
    </row>
    <row r="6" spans="1:15" ht="15.95" customHeight="1" x14ac:dyDescent="0.25">
      <c r="A6" s="61" t="s">
        <v>52</v>
      </c>
      <c r="B6" s="56" t="s">
        <v>32</v>
      </c>
      <c r="C6" s="213" t="s">
        <v>112</v>
      </c>
      <c r="D6" s="213"/>
      <c r="E6" s="213"/>
      <c r="F6" s="35"/>
      <c r="G6" s="183" t="s">
        <v>41</v>
      </c>
      <c r="H6" s="184"/>
      <c r="I6" s="184"/>
      <c r="J6" s="184"/>
      <c r="K6" s="184"/>
      <c r="L6" s="100">
        <f>diff(L5,L4)</f>
        <v>30</v>
      </c>
    </row>
    <row r="7" spans="1:15" ht="15.95" customHeight="1" x14ac:dyDescent="0.25">
      <c r="A7" s="61" t="s">
        <v>21</v>
      </c>
      <c r="B7" s="56" t="s">
        <v>33</v>
      </c>
      <c r="C7" s="213" t="s">
        <v>113</v>
      </c>
      <c r="D7" s="213"/>
      <c r="E7" s="213"/>
      <c r="F7" s="35"/>
      <c r="G7" s="183" t="s">
        <v>48</v>
      </c>
      <c r="H7" s="184"/>
      <c r="I7" s="184"/>
      <c r="J7" s="184"/>
      <c r="K7" s="184"/>
      <c r="L7" s="185"/>
    </row>
    <row r="8" spans="1:15" ht="15.95" customHeight="1" x14ac:dyDescent="0.25">
      <c r="A8" s="61" t="s">
        <v>101</v>
      </c>
      <c r="B8" s="62" t="s">
        <v>73</v>
      </c>
      <c r="C8" s="67">
        <v>24</v>
      </c>
      <c r="D8" s="62" t="s">
        <v>72</v>
      </c>
      <c r="E8" s="133">
        <v>200</v>
      </c>
      <c r="F8" s="35"/>
      <c r="G8" s="36" t="s">
        <v>42</v>
      </c>
      <c r="H8" s="37" t="str">
        <f>NextfaslDooreh($L$5,$L$4,$C$11,$C$12,ROW()-7,1)</f>
        <v>دي</v>
      </c>
      <c r="I8" s="37" t="s">
        <v>1</v>
      </c>
      <c r="J8" s="37">
        <f t="shared" ref="J8:J13" si="0">NextfaslDooreh($L$5,$L$4,$C$11,$C$12,ROW()-7,2)</f>
        <v>1401</v>
      </c>
      <c r="K8" s="37" t="s">
        <v>49</v>
      </c>
      <c r="L8" s="101">
        <f t="shared" ref="L8:L13" si="1">NextfaslDooreh($L$5,$L$4,$C$11,$C$12,ROW()-7,3)</f>
        <v>10</v>
      </c>
      <c r="M8" s="103"/>
      <c r="O8" s="34" t="s">
        <v>138</v>
      </c>
    </row>
    <row r="9" spans="1:15" ht="15.95" customHeight="1" x14ac:dyDescent="0.25">
      <c r="A9" s="61" t="s">
        <v>22</v>
      </c>
      <c r="B9" s="204" t="s">
        <v>34</v>
      </c>
      <c r="C9" s="204"/>
      <c r="D9" s="204"/>
      <c r="E9" s="134">
        <f>ROUND(C8 * 365 / 12,0) + E8</f>
        <v>930</v>
      </c>
      <c r="F9" s="35"/>
      <c r="G9" s="36" t="s">
        <v>43</v>
      </c>
      <c r="H9" s="37" t="str">
        <f t="shared" ref="H9:H13" si="2">NextfaslDooreh($L$5,$L$4,$C$11,$C$12,ROW()-7,1)</f>
        <v>نامجاز 1399 تير 1401 دي</v>
      </c>
      <c r="I9" s="37" t="s">
        <v>1</v>
      </c>
      <c r="J9" s="37">
        <f t="shared" si="0"/>
        <v>1401</v>
      </c>
      <c r="K9" s="37" t="s">
        <v>49</v>
      </c>
      <c r="L9" s="101">
        <f t="shared" si="1"/>
        <v>9</v>
      </c>
      <c r="M9" s="103"/>
    </row>
    <row r="10" spans="1:15" ht="16.149999999999999" customHeight="1" x14ac:dyDescent="0.25">
      <c r="A10" s="61" t="s">
        <v>23</v>
      </c>
      <c r="B10" s="56" t="s">
        <v>35</v>
      </c>
      <c r="C10" s="66">
        <v>1399</v>
      </c>
      <c r="D10" s="228" t="s">
        <v>5</v>
      </c>
      <c r="E10" s="229"/>
      <c r="F10" s="35"/>
      <c r="G10" s="106" t="s">
        <v>44</v>
      </c>
      <c r="H10" s="37" t="str">
        <f t="shared" si="2"/>
        <v>نامجاز 1399 تير 1401 دي</v>
      </c>
      <c r="I10" s="37" t="s">
        <v>1</v>
      </c>
      <c r="J10" s="37">
        <f t="shared" si="0"/>
        <v>1401</v>
      </c>
      <c r="K10" s="37" t="s">
        <v>49</v>
      </c>
      <c r="L10" s="101">
        <f t="shared" si="1"/>
        <v>11</v>
      </c>
      <c r="M10" s="103"/>
    </row>
    <row r="11" spans="1:15" ht="15.95" customHeight="1" x14ac:dyDescent="0.25">
      <c r="A11" s="61" t="s">
        <v>24</v>
      </c>
      <c r="B11" s="62" t="s">
        <v>36</v>
      </c>
      <c r="C11" s="63">
        <v>13990405</v>
      </c>
      <c r="D11" s="65" t="s">
        <v>70</v>
      </c>
      <c r="E11" s="135">
        <f>AddDay(C11,+ROUND(C8*365/12,0))</f>
        <v>14010404</v>
      </c>
      <c r="F11" s="35"/>
      <c r="G11" s="36" t="s">
        <v>45</v>
      </c>
      <c r="H11" s="37" t="str">
        <f t="shared" si="2"/>
        <v/>
      </c>
      <c r="I11" s="37" t="s">
        <v>1</v>
      </c>
      <c r="J11" s="37">
        <f t="shared" si="0"/>
        <v>0</v>
      </c>
      <c r="K11" s="37" t="s">
        <v>49</v>
      </c>
      <c r="L11" s="101">
        <f t="shared" si="1"/>
        <v>0</v>
      </c>
      <c r="M11" s="103"/>
    </row>
    <row r="12" spans="1:15" ht="15.95" customHeight="1" x14ac:dyDescent="0.25">
      <c r="A12" s="61" t="s">
        <v>60</v>
      </c>
      <c r="B12" s="62" t="s">
        <v>69</v>
      </c>
      <c r="C12" s="64">
        <f>AddDay(C11,+ROUND(E9,0))</f>
        <v>14011021</v>
      </c>
      <c r="D12" s="65" t="s">
        <v>71</v>
      </c>
      <c r="E12" s="136"/>
      <c r="F12" s="35"/>
      <c r="G12" s="36" t="s">
        <v>62</v>
      </c>
      <c r="H12" s="37" t="str">
        <f t="shared" si="2"/>
        <v/>
      </c>
      <c r="I12" s="37" t="s">
        <v>1</v>
      </c>
      <c r="J12" s="37">
        <f t="shared" si="0"/>
        <v>0</v>
      </c>
      <c r="K12" s="37" t="s">
        <v>49</v>
      </c>
      <c r="L12" s="101">
        <f t="shared" si="1"/>
        <v>0</v>
      </c>
      <c r="M12" s="103"/>
    </row>
    <row r="13" spans="1:15" ht="15.95" customHeight="1" thickBot="1" x14ac:dyDescent="0.3">
      <c r="A13" s="61" t="s">
        <v>61</v>
      </c>
      <c r="B13" s="139" t="s">
        <v>7</v>
      </c>
      <c r="C13" s="140">
        <v>0.95</v>
      </c>
      <c r="D13" s="137"/>
      <c r="E13" s="138"/>
      <c r="F13" s="35"/>
      <c r="G13" s="36" t="s">
        <v>63</v>
      </c>
      <c r="H13" s="37" t="str">
        <f t="shared" si="2"/>
        <v/>
      </c>
      <c r="I13" s="37" t="s">
        <v>1</v>
      </c>
      <c r="J13" s="37">
        <f t="shared" si="0"/>
        <v>0</v>
      </c>
      <c r="K13" s="37" t="s">
        <v>49</v>
      </c>
      <c r="L13" s="101">
        <f t="shared" si="1"/>
        <v>0</v>
      </c>
      <c r="M13" s="103"/>
    </row>
    <row r="14" spans="1:15" ht="15.95" customHeight="1" thickTop="1" thickBot="1" x14ac:dyDescent="0.3">
      <c r="A14" s="38"/>
      <c r="B14" s="39"/>
      <c r="C14" s="39"/>
      <c r="D14" s="39"/>
      <c r="E14" s="40"/>
      <c r="F14" s="35"/>
      <c r="G14" s="183" t="s">
        <v>47</v>
      </c>
      <c r="H14" s="184"/>
      <c r="I14" s="184"/>
      <c r="J14" s="184"/>
      <c r="K14" s="184"/>
      <c r="L14" s="185"/>
    </row>
    <row r="15" spans="1:15" ht="15.95" customHeight="1" thickTop="1" x14ac:dyDescent="0.25">
      <c r="A15" s="205" t="s">
        <v>25</v>
      </c>
      <c r="B15" s="206"/>
      <c r="C15" s="206"/>
      <c r="D15" s="206"/>
      <c r="E15" s="207"/>
      <c r="F15" s="35"/>
      <c r="G15" s="36" t="s">
        <v>46</v>
      </c>
      <c r="H15" s="37" t="str">
        <f t="shared" ref="H15:H20" si="3">CLEAN(H8)</f>
        <v>دي</v>
      </c>
      <c r="I15" s="37" t="s">
        <v>1</v>
      </c>
      <c r="J15" s="37">
        <f t="shared" ref="J15:J20" si="4">J8</f>
        <v>1401</v>
      </c>
      <c r="K15" s="37" t="s">
        <v>49</v>
      </c>
      <c r="L15" s="102">
        <f t="shared" ref="L15:L20" si="5">L8/$L$6</f>
        <v>0.33333333333333331</v>
      </c>
    </row>
    <row r="16" spans="1:15" ht="15.95" customHeight="1" x14ac:dyDescent="0.25">
      <c r="A16" s="218" t="s">
        <v>37</v>
      </c>
      <c r="B16" s="219"/>
      <c r="C16" s="219"/>
      <c r="D16" s="220" t="s">
        <v>38</v>
      </c>
      <c r="E16" s="221"/>
      <c r="F16" s="35"/>
      <c r="G16" s="36" t="s">
        <v>64</v>
      </c>
      <c r="H16" s="37" t="str">
        <f t="shared" si="3"/>
        <v>نامجاز 1399 تير 1401 دي</v>
      </c>
      <c r="I16" s="37" t="s">
        <v>1</v>
      </c>
      <c r="J16" s="37">
        <f t="shared" si="4"/>
        <v>1401</v>
      </c>
      <c r="K16" s="37" t="s">
        <v>49</v>
      </c>
      <c r="L16" s="102">
        <f t="shared" si="5"/>
        <v>0.3</v>
      </c>
    </row>
    <row r="17" spans="1:12" ht="15.95" customHeight="1" x14ac:dyDescent="0.25">
      <c r="A17" s="218" t="s">
        <v>114</v>
      </c>
      <c r="B17" s="219"/>
      <c r="C17" s="219"/>
      <c r="D17" s="216">
        <v>0</v>
      </c>
      <c r="E17" s="217"/>
      <c r="F17" s="35"/>
      <c r="G17" s="36" t="s">
        <v>65</v>
      </c>
      <c r="H17" s="37" t="str">
        <f t="shared" si="3"/>
        <v>نامجاز 1399 تير 1401 دي</v>
      </c>
      <c r="I17" s="37" t="s">
        <v>1</v>
      </c>
      <c r="J17" s="37">
        <f t="shared" si="4"/>
        <v>1401</v>
      </c>
      <c r="K17" s="37" t="s">
        <v>49</v>
      </c>
      <c r="L17" s="102">
        <f t="shared" si="5"/>
        <v>0.36666666666666664</v>
      </c>
    </row>
    <row r="18" spans="1:12" ht="15.95" customHeight="1" x14ac:dyDescent="0.25">
      <c r="A18" s="218" t="s">
        <v>9</v>
      </c>
      <c r="B18" s="219"/>
      <c r="C18" s="219"/>
      <c r="D18" s="216">
        <v>2702444694.164032</v>
      </c>
      <c r="E18" s="217"/>
      <c r="F18" s="35"/>
      <c r="G18" s="104" t="s">
        <v>66</v>
      </c>
      <c r="H18" s="37" t="str">
        <f t="shared" si="3"/>
        <v/>
      </c>
      <c r="I18" s="37" t="s">
        <v>1</v>
      </c>
      <c r="J18" s="37">
        <f t="shared" si="4"/>
        <v>0</v>
      </c>
      <c r="K18" s="37" t="s">
        <v>49</v>
      </c>
      <c r="L18" s="105">
        <f t="shared" si="5"/>
        <v>0</v>
      </c>
    </row>
    <row r="19" spans="1:12" ht="15.95" customHeight="1" x14ac:dyDescent="0.25">
      <c r="A19" s="218" t="s">
        <v>129</v>
      </c>
      <c r="B19" s="219"/>
      <c r="C19" s="219"/>
      <c r="D19" s="216">
        <v>0</v>
      </c>
      <c r="E19" s="217"/>
      <c r="F19" s="35"/>
      <c r="G19" s="104" t="s">
        <v>67</v>
      </c>
      <c r="H19" s="37" t="str">
        <f t="shared" si="3"/>
        <v/>
      </c>
      <c r="I19" s="37" t="s">
        <v>1</v>
      </c>
      <c r="J19" s="37">
        <f t="shared" si="4"/>
        <v>0</v>
      </c>
      <c r="K19" s="37" t="s">
        <v>49</v>
      </c>
      <c r="L19" s="105">
        <f t="shared" si="5"/>
        <v>0</v>
      </c>
    </row>
    <row r="20" spans="1:12" ht="15.95" customHeight="1" x14ac:dyDescent="0.25">
      <c r="A20" s="218" t="s">
        <v>9</v>
      </c>
      <c r="B20" s="219"/>
      <c r="C20" s="219"/>
      <c r="D20" s="216">
        <v>134558667.41780645</v>
      </c>
      <c r="E20" s="217"/>
      <c r="F20" s="35"/>
      <c r="G20" s="104" t="s">
        <v>68</v>
      </c>
      <c r="H20" s="37" t="str">
        <f t="shared" si="3"/>
        <v/>
      </c>
      <c r="I20" s="37" t="s">
        <v>1</v>
      </c>
      <c r="J20" s="37">
        <f t="shared" si="4"/>
        <v>0</v>
      </c>
      <c r="K20" s="37" t="s">
        <v>49</v>
      </c>
      <c r="L20" s="105">
        <f t="shared" si="5"/>
        <v>0</v>
      </c>
    </row>
    <row r="21" spans="1:12" ht="15.95" customHeight="1" thickBot="1" x14ac:dyDescent="0.3">
      <c r="A21" s="218"/>
      <c r="B21" s="219"/>
      <c r="C21" s="219"/>
      <c r="D21" s="216">
        <v>0</v>
      </c>
      <c r="E21" s="217"/>
      <c r="F21" s="35"/>
      <c r="G21" s="39"/>
      <c r="H21" s="39"/>
      <c r="I21" s="39"/>
      <c r="J21" s="39"/>
      <c r="K21" s="39"/>
      <c r="L21" s="39"/>
    </row>
    <row r="22" spans="1:12" ht="15.95" customHeight="1" thickTop="1" x14ac:dyDescent="0.25">
      <c r="A22" s="218"/>
      <c r="B22" s="219"/>
      <c r="C22" s="219"/>
      <c r="D22" s="216">
        <v>0</v>
      </c>
      <c r="E22" s="217"/>
      <c r="F22" s="35"/>
      <c r="G22" s="194" t="s">
        <v>50</v>
      </c>
      <c r="H22" s="195"/>
      <c r="I22" s="195"/>
      <c r="J22" s="195"/>
      <c r="K22" s="195" t="s">
        <v>26</v>
      </c>
      <c r="L22" s="196"/>
    </row>
    <row r="23" spans="1:12" ht="15.95" customHeight="1" x14ac:dyDescent="0.25">
      <c r="A23" s="218"/>
      <c r="B23" s="219"/>
      <c r="C23" s="219"/>
      <c r="D23" s="216">
        <v>0</v>
      </c>
      <c r="E23" s="217"/>
      <c r="F23" s="35"/>
      <c r="G23" s="192" t="s">
        <v>27</v>
      </c>
      <c r="H23" s="193"/>
      <c r="I23" s="193"/>
      <c r="J23" s="193"/>
      <c r="K23" s="197">
        <v>64728758920</v>
      </c>
      <c r="L23" s="198"/>
    </row>
    <row r="24" spans="1:12" ht="15.95" customHeight="1" x14ac:dyDescent="0.25">
      <c r="A24" s="218"/>
      <c r="B24" s="219"/>
      <c r="C24" s="219"/>
      <c r="D24" s="216">
        <v>0</v>
      </c>
      <c r="E24" s="217"/>
      <c r="F24" s="35"/>
      <c r="G24" s="190" t="s">
        <v>51</v>
      </c>
      <c r="H24" s="191"/>
      <c r="I24" s="191"/>
      <c r="J24" s="191"/>
      <c r="K24" s="199">
        <f>D26</f>
        <v>2837003361.5818386</v>
      </c>
      <c r="L24" s="200"/>
    </row>
    <row r="25" spans="1:12" ht="15.95" customHeight="1" x14ac:dyDescent="0.25">
      <c r="A25" s="218"/>
      <c r="B25" s="219"/>
      <c r="C25" s="219"/>
      <c r="D25" s="216">
        <v>0</v>
      </c>
      <c r="E25" s="217"/>
      <c r="F25" s="35"/>
      <c r="G25" s="190"/>
      <c r="H25" s="191"/>
      <c r="I25" s="191"/>
      <c r="J25" s="191"/>
      <c r="K25" s="199"/>
      <c r="L25" s="200"/>
    </row>
    <row r="26" spans="1:12" ht="15.95" customHeight="1" thickBot="1" x14ac:dyDescent="0.3">
      <c r="A26" s="225" t="s">
        <v>9</v>
      </c>
      <c r="B26" s="226"/>
      <c r="C26" s="227"/>
      <c r="D26" s="223">
        <f>SUM(D17:E25)</f>
        <v>2837003361.5818386</v>
      </c>
      <c r="E26" s="224"/>
      <c r="F26" s="35"/>
      <c r="G26" s="188" t="s">
        <v>28</v>
      </c>
      <c r="H26" s="189"/>
      <c r="I26" s="189"/>
      <c r="J26" s="189"/>
      <c r="K26" s="186">
        <f>ROUND(K24+K23,0)</f>
        <v>67565762282</v>
      </c>
      <c r="L26" s="187"/>
    </row>
    <row r="27" spans="1:12" ht="15.95" customHeight="1" thickTop="1" x14ac:dyDescent="0.25"/>
    <row r="31" spans="1:12" ht="15.95" customHeight="1" x14ac:dyDescent="0.25">
      <c r="E31" s="222"/>
      <c r="F31" s="222"/>
    </row>
    <row r="32" spans="1:12" ht="15.95" customHeight="1" x14ac:dyDescent="0.25">
      <c r="E32" s="174"/>
    </row>
  </sheetData>
  <sheetProtection formatCells="0" formatColumns="0" formatRows="0" insertColumns="0" insertRows="0" insertHyperlinks="0" deleteColumns="0" deleteRows="0" sort="0" autoFilter="0" pivotTables="0"/>
  <mergeCells count="48">
    <mergeCell ref="E31:F31"/>
    <mergeCell ref="D26:E26"/>
    <mergeCell ref="A26:C26"/>
    <mergeCell ref="D10:E10"/>
    <mergeCell ref="A23:C23"/>
    <mergeCell ref="D23:E23"/>
    <mergeCell ref="A24:C24"/>
    <mergeCell ref="D24:E24"/>
    <mergeCell ref="A25:C25"/>
    <mergeCell ref="D25:E25"/>
    <mergeCell ref="A20:C20"/>
    <mergeCell ref="D20:E20"/>
    <mergeCell ref="A21:C21"/>
    <mergeCell ref="D21:E21"/>
    <mergeCell ref="A22:C22"/>
    <mergeCell ref="D22:E22"/>
    <mergeCell ref="D17:E17"/>
    <mergeCell ref="A19:C19"/>
    <mergeCell ref="D19:E19"/>
    <mergeCell ref="C6:E6"/>
    <mergeCell ref="C7:E7"/>
    <mergeCell ref="A15:E15"/>
    <mergeCell ref="A16:C16"/>
    <mergeCell ref="D16:E16"/>
    <mergeCell ref="A17:C17"/>
    <mergeCell ref="A18:C18"/>
    <mergeCell ref="D18:E18"/>
    <mergeCell ref="A1:F1"/>
    <mergeCell ref="G1:L1"/>
    <mergeCell ref="B9:D9"/>
    <mergeCell ref="A3:E3"/>
    <mergeCell ref="G3:L3"/>
    <mergeCell ref="H4:K4"/>
    <mergeCell ref="H5:K5"/>
    <mergeCell ref="G6:K6"/>
    <mergeCell ref="C4:E4"/>
    <mergeCell ref="C5:E5"/>
    <mergeCell ref="G7:L7"/>
    <mergeCell ref="A2:E2"/>
    <mergeCell ref="G14:L14"/>
    <mergeCell ref="K26:L26"/>
    <mergeCell ref="G26:J26"/>
    <mergeCell ref="G24:J25"/>
    <mergeCell ref="G23:J23"/>
    <mergeCell ref="G22:J22"/>
    <mergeCell ref="K22:L22"/>
    <mergeCell ref="K23:L23"/>
    <mergeCell ref="K24:L25"/>
  </mergeCells>
  <pageMargins left="0.25" right="0.25" top="0.75" bottom="0.75" header="0.3" footer="0.3"/>
  <pageSetup paperSize="9" scale="88" orientation="landscape" r:id="rId1"/>
  <ignoredErrors>
    <ignoredError sqref="L6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Q980"/>
  <sheetViews>
    <sheetView rightToLeft="1" view="pageBreakPreview" topLeftCell="I1" zoomScaleNormal="90" zoomScaleSheetLayoutView="100" workbookViewId="0">
      <selection activeCell="N5" sqref="N5"/>
    </sheetView>
  </sheetViews>
  <sheetFormatPr defaultColWidth="9" defaultRowHeight="19.899999999999999" customHeight="1" x14ac:dyDescent="0.25"/>
  <cols>
    <col min="1" max="1" width="15.5703125" style="70" customWidth="1"/>
    <col min="2" max="3" width="7.42578125" style="70" customWidth="1"/>
    <col min="4" max="4" width="6.85546875" style="70" customWidth="1"/>
    <col min="5" max="5" width="34" style="107" customWidth="1"/>
    <col min="6" max="6" width="5.28515625" style="79" customWidth="1"/>
    <col min="7" max="7" width="17.42578125" style="71" customWidth="1"/>
    <col min="8" max="8" width="18" style="71" customWidth="1"/>
    <col min="9" max="9" width="16.42578125" style="71" customWidth="1"/>
    <col min="10" max="10" width="4.85546875" style="71" customWidth="1"/>
    <col min="11" max="11" width="5.28515625" style="71" customWidth="1"/>
    <col min="12" max="12" width="17.28515625" style="71" customWidth="1"/>
    <col min="13" max="13" width="13.28515625" style="80" customWidth="1"/>
    <col min="14" max="14" width="13.42578125" style="80" customWidth="1"/>
    <col min="15" max="15" width="7.28515625" style="81" customWidth="1"/>
    <col min="16" max="16" width="11.140625" style="81" customWidth="1"/>
    <col min="17" max="17" width="21.140625" style="71" customWidth="1"/>
    <col min="18" max="18" width="9" style="70" customWidth="1"/>
    <col min="19" max="16384" width="9" style="70"/>
  </cols>
  <sheetData>
    <row r="1" spans="1:17" s="69" customFormat="1" ht="19.899999999999999" customHeight="1" x14ac:dyDescent="0.25">
      <c r="A1" s="233" t="s">
        <v>8</v>
      </c>
      <c r="B1" s="233" t="s">
        <v>74</v>
      </c>
      <c r="C1" s="233"/>
      <c r="D1" s="233" t="s">
        <v>75</v>
      </c>
      <c r="E1" s="233"/>
      <c r="F1" s="234" t="s">
        <v>76</v>
      </c>
      <c r="G1" s="231" t="s">
        <v>77</v>
      </c>
      <c r="H1" s="231" t="s">
        <v>0</v>
      </c>
      <c r="I1" s="231" t="s">
        <v>78</v>
      </c>
      <c r="J1" s="231" t="s">
        <v>79</v>
      </c>
      <c r="K1" s="231"/>
      <c r="L1" s="231" t="s">
        <v>80</v>
      </c>
      <c r="M1" s="232" t="s">
        <v>81</v>
      </c>
      <c r="N1" s="232" t="s">
        <v>82</v>
      </c>
      <c r="O1" s="230" t="s">
        <v>7</v>
      </c>
      <c r="P1" s="230" t="s">
        <v>83</v>
      </c>
      <c r="Q1" s="231" t="s">
        <v>84</v>
      </c>
    </row>
    <row r="2" spans="1:17" s="69" customFormat="1" ht="19.899999999999999" customHeight="1" x14ac:dyDescent="0.25">
      <c r="A2" s="233"/>
      <c r="B2" s="73" t="s">
        <v>1</v>
      </c>
      <c r="C2" s="73" t="s">
        <v>85</v>
      </c>
      <c r="D2" s="73" t="s">
        <v>1</v>
      </c>
      <c r="E2" s="73" t="s">
        <v>85</v>
      </c>
      <c r="F2" s="234"/>
      <c r="G2" s="231"/>
      <c r="H2" s="231"/>
      <c r="I2" s="231"/>
      <c r="J2" s="72" t="s">
        <v>86</v>
      </c>
      <c r="K2" s="72" t="s">
        <v>87</v>
      </c>
      <c r="L2" s="231"/>
      <c r="M2" s="232"/>
      <c r="N2" s="232"/>
      <c r="O2" s="230"/>
      <c r="P2" s="230"/>
      <c r="Q2" s="231"/>
    </row>
    <row r="3" spans="1:17" ht="19.899999999999999" customHeight="1" x14ac:dyDescent="0.25">
      <c r="A3" s="74"/>
      <c r="B3" s="74"/>
      <c r="C3" s="74"/>
      <c r="D3" s="74"/>
      <c r="E3" s="69"/>
      <c r="F3" s="75"/>
      <c r="G3" s="76"/>
      <c r="H3" s="76"/>
      <c r="I3" s="76"/>
      <c r="J3" s="76"/>
      <c r="K3" s="76"/>
      <c r="L3" s="76"/>
      <c r="M3" s="77"/>
      <c r="N3" s="77"/>
      <c r="O3" s="78"/>
      <c r="P3" s="78"/>
      <c r="Q3" s="76">
        <f>SUM(Q2:Q2)</f>
        <v>0</v>
      </c>
    </row>
    <row r="4" spans="1:17" ht="19.899999999999999" customHeight="1" x14ac:dyDescent="0.25">
      <c r="A4" s="74" t="s">
        <v>9</v>
      </c>
      <c r="B4" s="74">
        <v>1399</v>
      </c>
      <c r="C4" s="74" t="s">
        <v>5</v>
      </c>
      <c r="D4" s="74">
        <v>1401</v>
      </c>
      <c r="E4" s="69" t="s">
        <v>115</v>
      </c>
      <c r="F4" s="75">
        <v>2</v>
      </c>
      <c r="G4" s="76">
        <v>2643890418</v>
      </c>
      <c r="H4" s="76">
        <v>2643890418</v>
      </c>
      <c r="I4" s="76">
        <f>G4-H4</f>
        <v>0</v>
      </c>
      <c r="J4" s="76">
        <v>31</v>
      </c>
      <c r="K4" s="76">
        <v>13</v>
      </c>
      <c r="L4" s="76">
        <f>I4*(K4/J4)</f>
        <v>0</v>
      </c>
      <c r="M4" s="77">
        <f>Shakhes( A4, B4, C4, F4 )</f>
        <v>2327</v>
      </c>
      <c r="N4" s="77">
        <f>Shakhes( A4, D4, E4, F4 )</f>
        <v>5027.6000000000004</v>
      </c>
      <c r="O4" s="78">
        <f>خلاصه!C13</f>
        <v>0.95</v>
      </c>
      <c r="P4" s="78">
        <f>ROUND((((N4/M4)-1)*O4),3)</f>
        <v>1.103</v>
      </c>
      <c r="Q4" s="76">
        <f>IFERROR(P4*L4,0)</f>
        <v>0</v>
      </c>
    </row>
    <row r="5" spans="1:17" ht="19.899999999999999" customHeight="1" x14ac:dyDescent="0.25">
      <c r="A5" s="74" t="s">
        <v>9</v>
      </c>
      <c r="B5" s="74">
        <v>1399</v>
      </c>
      <c r="C5" s="74" t="s">
        <v>5</v>
      </c>
      <c r="D5" s="74">
        <v>1403</v>
      </c>
      <c r="E5" s="69" t="s">
        <v>138</v>
      </c>
      <c r="F5" s="75">
        <v>2</v>
      </c>
      <c r="G5" s="76">
        <v>2643890418</v>
      </c>
      <c r="H5" s="76">
        <v>2643890418</v>
      </c>
      <c r="I5" s="76">
        <f>G5-H5</f>
        <v>0</v>
      </c>
      <c r="J5" s="76">
        <v>31</v>
      </c>
      <c r="K5" s="76">
        <v>18</v>
      </c>
      <c r="L5" s="76">
        <f>I5*(K5/J5)</f>
        <v>0</v>
      </c>
      <c r="M5" s="77">
        <f>Shakhes( A5, B5, C5, F5 )</f>
        <v>2327</v>
      </c>
      <c r="N5" s="77">
        <f>Shakhes( A5, D5, E5, F5 )</f>
        <v>3523.8636363636369</v>
      </c>
      <c r="O5" s="78">
        <f>خلاصه!C13</f>
        <v>0.95</v>
      </c>
      <c r="P5" s="78">
        <f>ROUND((((N5/M5)-1)*O5),3)</f>
        <v>0.48899999999999999</v>
      </c>
      <c r="Q5" s="76">
        <f>IFERROR(P5*L5,0)</f>
        <v>0</v>
      </c>
    </row>
    <row r="6" spans="1:17" ht="19.899999999999999" customHeight="1" x14ac:dyDescent="0.25">
      <c r="A6" s="74"/>
      <c r="B6" s="74"/>
      <c r="C6" s="74"/>
      <c r="D6" s="74"/>
      <c r="E6" s="69"/>
      <c r="F6" s="75"/>
      <c r="G6" s="76"/>
      <c r="H6" s="76"/>
      <c r="I6" s="76"/>
      <c r="J6" s="76"/>
      <c r="K6" s="76"/>
      <c r="L6" s="76"/>
      <c r="M6" s="77"/>
      <c r="N6" s="77"/>
      <c r="O6" s="78"/>
      <c r="P6" s="78"/>
      <c r="Q6" s="76"/>
    </row>
    <row r="7" spans="1:17" ht="19.899999999999999" customHeight="1" x14ac:dyDescent="0.25">
      <c r="A7" s="74"/>
      <c r="B7" s="74"/>
      <c r="C7" s="74"/>
      <c r="D7" s="74"/>
      <c r="E7" s="69"/>
      <c r="F7" s="75"/>
      <c r="G7" s="76"/>
      <c r="H7" s="76"/>
      <c r="I7" s="76"/>
      <c r="J7" s="76"/>
      <c r="K7" s="76"/>
      <c r="L7" s="76"/>
      <c r="M7" s="77"/>
      <c r="N7" s="77"/>
      <c r="O7" s="78"/>
      <c r="P7" s="78"/>
      <c r="Q7" s="76"/>
    </row>
    <row r="8" spans="1:17" ht="19.899999999999999" customHeight="1" x14ac:dyDescent="0.25">
      <c r="A8" s="74"/>
      <c r="B8" s="74"/>
      <c r="C8" s="74"/>
      <c r="D8" s="74"/>
      <c r="E8" s="69"/>
      <c r="F8" s="75"/>
      <c r="G8" s="76"/>
      <c r="H8" s="76"/>
      <c r="I8" s="76"/>
      <c r="J8" s="76"/>
      <c r="K8" s="76"/>
      <c r="L8" s="76"/>
      <c r="M8" s="182">
        <v>2467.9</v>
      </c>
      <c r="N8" s="77"/>
      <c r="O8" s="78"/>
      <c r="P8" s="78"/>
      <c r="Q8" s="76"/>
    </row>
    <row r="9" spans="1:17" ht="19.899999999999999" customHeight="1" x14ac:dyDescent="0.25">
      <c r="A9" s="74"/>
      <c r="B9" s="74"/>
      <c r="C9" s="74"/>
      <c r="D9" s="74"/>
      <c r="E9" s="69"/>
      <c r="F9" s="75"/>
      <c r="G9" s="76"/>
      <c r="H9" s="76"/>
      <c r="I9" s="76"/>
      <c r="J9" s="76"/>
      <c r="K9" s="76"/>
      <c r="L9" s="76"/>
      <c r="M9" s="77"/>
      <c r="N9" s="77"/>
      <c r="O9" s="78"/>
      <c r="P9" s="78"/>
      <c r="Q9" s="76"/>
    </row>
    <row r="10" spans="1:17" ht="19.899999999999999" customHeight="1" x14ac:dyDescent="0.25">
      <c r="A10" s="74"/>
      <c r="B10" s="74"/>
      <c r="C10" s="74"/>
      <c r="D10" s="74"/>
      <c r="E10" s="69"/>
      <c r="F10" s="75"/>
      <c r="G10" s="76"/>
      <c r="H10" s="76"/>
      <c r="I10" s="76"/>
      <c r="J10" s="76"/>
      <c r="K10" s="76"/>
      <c r="L10" s="76"/>
      <c r="M10" s="77"/>
      <c r="N10" s="77"/>
      <c r="O10" s="78"/>
      <c r="P10" s="78"/>
      <c r="Q10" s="76"/>
    </row>
    <row r="11" spans="1:17" ht="19.899999999999999" customHeight="1" x14ac:dyDescent="0.25">
      <c r="A11" s="74"/>
      <c r="B11" s="74"/>
      <c r="C11" s="74"/>
      <c r="D11" s="74"/>
      <c r="E11" s="69"/>
      <c r="F11" s="75"/>
      <c r="G11" s="76"/>
      <c r="H11" s="76"/>
      <c r="I11" s="76"/>
      <c r="J11" s="76"/>
      <c r="K11" s="76"/>
      <c r="L11" s="76"/>
      <c r="M11" s="77"/>
      <c r="N11" s="77"/>
      <c r="O11" s="78"/>
      <c r="P11" s="78"/>
      <c r="Q11" s="76"/>
    </row>
    <row r="12" spans="1:17" ht="19.899999999999999" customHeight="1" x14ac:dyDescent="0.25">
      <c r="A12" s="74"/>
      <c r="B12" s="74"/>
      <c r="C12" s="74"/>
      <c r="D12" s="74"/>
      <c r="E12" s="69"/>
      <c r="F12" s="75"/>
      <c r="G12" s="76"/>
      <c r="H12" s="76"/>
      <c r="I12" s="76"/>
      <c r="J12" s="76"/>
      <c r="K12" s="76"/>
      <c r="L12" s="76"/>
      <c r="M12" s="77"/>
      <c r="N12" s="77"/>
      <c r="O12" s="78"/>
      <c r="P12" s="78"/>
      <c r="Q12" s="76"/>
    </row>
    <row r="13" spans="1:17" ht="19.899999999999999" customHeight="1" x14ac:dyDescent="0.25">
      <c r="A13" s="74"/>
      <c r="B13" s="74"/>
      <c r="C13" s="74"/>
      <c r="D13" s="74"/>
      <c r="E13" s="69"/>
      <c r="F13" s="75"/>
      <c r="G13" s="76"/>
      <c r="H13" s="76"/>
      <c r="I13" s="76"/>
      <c r="J13" s="76"/>
      <c r="K13" s="76"/>
      <c r="L13" s="76"/>
      <c r="M13" s="77"/>
      <c r="N13" s="77"/>
      <c r="O13" s="78"/>
      <c r="P13" s="78"/>
      <c r="Q13" s="76"/>
    </row>
    <row r="14" spans="1:17" ht="19.899999999999999" customHeight="1" x14ac:dyDescent="0.25">
      <c r="A14" s="74"/>
      <c r="B14" s="74"/>
      <c r="C14" s="74"/>
      <c r="D14" s="74"/>
      <c r="E14" s="69"/>
      <c r="F14" s="75"/>
      <c r="G14" s="76"/>
      <c r="H14" s="76"/>
      <c r="I14" s="76"/>
      <c r="J14" s="76"/>
      <c r="K14" s="76"/>
      <c r="L14" s="76"/>
      <c r="M14" s="77"/>
      <c r="N14" s="77"/>
      <c r="O14" s="78"/>
      <c r="P14" s="78"/>
      <c r="Q14" s="76"/>
    </row>
    <row r="15" spans="1:17" ht="19.899999999999999" customHeight="1" x14ac:dyDescent="0.25">
      <c r="A15" s="74"/>
      <c r="B15" s="74"/>
      <c r="C15" s="74"/>
      <c r="D15" s="74"/>
      <c r="E15" s="69"/>
      <c r="F15" s="75"/>
      <c r="G15" s="76"/>
      <c r="H15" s="76"/>
      <c r="I15" s="76"/>
      <c r="J15" s="76"/>
      <c r="K15" s="76"/>
      <c r="L15" s="76"/>
      <c r="M15" s="77"/>
      <c r="N15" s="77"/>
      <c r="O15" s="78"/>
      <c r="P15" s="78"/>
      <c r="Q15" s="76"/>
    </row>
    <row r="16" spans="1:17" ht="19.899999999999999" customHeight="1" x14ac:dyDescent="0.25">
      <c r="A16" s="74"/>
      <c r="B16" s="74"/>
      <c r="C16" s="74"/>
      <c r="D16" s="74"/>
      <c r="E16" s="69"/>
      <c r="F16" s="75"/>
      <c r="G16" s="76"/>
      <c r="H16" s="76"/>
      <c r="I16" s="76"/>
      <c r="J16" s="76"/>
      <c r="K16" s="76"/>
      <c r="L16" s="76"/>
      <c r="M16" s="77"/>
      <c r="N16" s="77"/>
      <c r="O16" s="78"/>
      <c r="P16" s="78"/>
      <c r="Q16" s="76"/>
    </row>
    <row r="17" spans="1:17" ht="19.899999999999999" customHeight="1" x14ac:dyDescent="0.25">
      <c r="A17" s="74"/>
      <c r="B17" s="74"/>
      <c r="C17" s="74"/>
      <c r="D17" s="74"/>
      <c r="E17" s="69"/>
      <c r="F17" s="75"/>
      <c r="G17" s="76"/>
      <c r="H17" s="76"/>
      <c r="I17" s="76"/>
      <c r="J17" s="76"/>
      <c r="K17" s="76"/>
      <c r="L17" s="76"/>
      <c r="M17" s="77"/>
      <c r="N17" s="77"/>
      <c r="O17" s="78"/>
      <c r="P17" s="78"/>
      <c r="Q17" s="76"/>
    </row>
    <row r="18" spans="1:17" ht="19.899999999999999" customHeight="1" x14ac:dyDescent="0.25">
      <c r="A18" s="74"/>
      <c r="B18" s="74"/>
      <c r="C18" s="74"/>
      <c r="D18" s="74"/>
      <c r="E18" s="69"/>
      <c r="F18" s="75"/>
      <c r="G18" s="76"/>
      <c r="H18" s="76"/>
      <c r="I18" s="76"/>
      <c r="J18" s="76"/>
      <c r="K18" s="76"/>
      <c r="L18" s="76"/>
      <c r="M18" s="77"/>
      <c r="N18" s="77"/>
      <c r="O18" s="78"/>
      <c r="P18" s="78"/>
      <c r="Q18" s="76"/>
    </row>
    <row r="19" spans="1:17" ht="19.899999999999999" customHeight="1" x14ac:dyDescent="0.25">
      <c r="A19" s="74"/>
      <c r="B19" s="74"/>
      <c r="C19" s="74"/>
      <c r="D19" s="74"/>
      <c r="E19" s="69"/>
      <c r="F19" s="75"/>
      <c r="G19" s="76"/>
      <c r="H19" s="76"/>
      <c r="I19" s="76"/>
      <c r="J19" s="76"/>
      <c r="K19" s="76"/>
      <c r="L19" s="76"/>
      <c r="M19" s="77"/>
      <c r="N19" s="77"/>
      <c r="O19" s="78"/>
      <c r="P19" s="78"/>
      <c r="Q19" s="76"/>
    </row>
    <row r="20" spans="1:17" ht="19.899999999999999" customHeight="1" x14ac:dyDescent="0.25">
      <c r="A20" s="74"/>
      <c r="B20" s="74"/>
      <c r="C20" s="74"/>
      <c r="D20" s="74"/>
      <c r="E20" s="69"/>
      <c r="F20" s="75"/>
      <c r="G20" s="76"/>
      <c r="H20" s="76"/>
      <c r="I20" s="76"/>
      <c r="J20" s="76"/>
      <c r="K20" s="76"/>
      <c r="L20" s="76"/>
      <c r="M20" s="77"/>
      <c r="N20" s="77"/>
      <c r="O20" s="78"/>
      <c r="P20" s="78"/>
      <c r="Q20" s="76"/>
    </row>
    <row r="21" spans="1:17" ht="19.899999999999999" customHeight="1" x14ac:dyDescent="0.25">
      <c r="A21" s="74"/>
      <c r="B21" s="74"/>
      <c r="C21" s="74"/>
      <c r="D21" s="74"/>
      <c r="E21" s="69"/>
      <c r="F21" s="75"/>
      <c r="G21" s="76"/>
      <c r="H21" s="76"/>
      <c r="I21" s="76"/>
      <c r="J21" s="76"/>
      <c r="K21" s="76"/>
      <c r="L21" s="76"/>
      <c r="M21" s="77"/>
      <c r="N21" s="77"/>
      <c r="O21" s="78"/>
      <c r="P21" s="78"/>
      <c r="Q21" s="76"/>
    </row>
    <row r="22" spans="1:17" ht="19.899999999999999" customHeight="1" x14ac:dyDescent="0.25">
      <c r="A22" s="74"/>
      <c r="B22" s="74"/>
      <c r="C22" s="74"/>
      <c r="D22" s="74"/>
      <c r="E22" s="69"/>
      <c r="F22" s="75"/>
      <c r="G22" s="76"/>
      <c r="H22" s="76"/>
      <c r="I22" s="76"/>
      <c r="J22" s="76"/>
      <c r="K22" s="76"/>
      <c r="L22" s="76"/>
      <c r="M22" s="77"/>
      <c r="N22" s="77"/>
      <c r="O22" s="78"/>
      <c r="P22" s="78"/>
      <c r="Q22" s="76"/>
    </row>
    <row r="23" spans="1:17" ht="19.899999999999999" customHeight="1" x14ac:dyDescent="0.25">
      <c r="A23" s="74"/>
      <c r="B23" s="74"/>
      <c r="C23" s="74"/>
      <c r="D23" s="74"/>
      <c r="E23" s="69"/>
      <c r="F23" s="75"/>
      <c r="G23" s="76"/>
      <c r="H23" s="76"/>
      <c r="I23" s="76"/>
      <c r="J23" s="76"/>
      <c r="K23" s="76"/>
      <c r="L23" s="76"/>
      <c r="M23" s="77"/>
      <c r="N23" s="77"/>
      <c r="O23" s="78"/>
      <c r="P23" s="78"/>
      <c r="Q23" s="76"/>
    </row>
    <row r="24" spans="1:17" ht="19.899999999999999" customHeight="1" x14ac:dyDescent="0.25">
      <c r="A24" s="74"/>
      <c r="B24" s="74"/>
      <c r="C24" s="74"/>
      <c r="D24" s="74"/>
      <c r="E24" s="69"/>
      <c r="F24" s="75"/>
      <c r="G24" s="76"/>
      <c r="H24" s="76"/>
      <c r="I24" s="76"/>
      <c r="J24" s="76"/>
      <c r="K24" s="76"/>
      <c r="L24" s="76"/>
      <c r="M24" s="77"/>
      <c r="N24" s="77"/>
      <c r="O24" s="78"/>
      <c r="P24" s="78"/>
      <c r="Q24" s="76"/>
    </row>
    <row r="25" spans="1:17" ht="19.899999999999999" customHeight="1" x14ac:dyDescent="0.25">
      <c r="A25" s="74"/>
      <c r="B25" s="74"/>
      <c r="C25" s="74"/>
      <c r="D25" s="74"/>
      <c r="E25" s="69"/>
      <c r="F25" s="75"/>
      <c r="G25" s="76"/>
      <c r="H25" s="76"/>
      <c r="I25" s="76"/>
      <c r="J25" s="76"/>
      <c r="K25" s="76"/>
      <c r="L25" s="76"/>
      <c r="M25" s="77"/>
      <c r="N25" s="77"/>
      <c r="O25" s="78"/>
      <c r="P25" s="78"/>
      <c r="Q25" s="76"/>
    </row>
    <row r="26" spans="1:17" ht="19.899999999999999" customHeight="1" x14ac:dyDescent="0.25">
      <c r="A26" s="74"/>
      <c r="B26" s="74"/>
      <c r="C26" s="74"/>
      <c r="D26" s="74"/>
      <c r="E26" s="69"/>
      <c r="F26" s="75"/>
      <c r="G26" s="76"/>
      <c r="H26" s="76"/>
      <c r="I26" s="76"/>
      <c r="J26" s="76"/>
      <c r="K26" s="76"/>
      <c r="L26" s="76"/>
      <c r="M26" s="77"/>
      <c r="N26" s="77"/>
      <c r="O26" s="78"/>
      <c r="P26" s="78"/>
      <c r="Q26" s="76"/>
    </row>
    <row r="27" spans="1:17" ht="19.899999999999999" customHeight="1" x14ac:dyDescent="0.25">
      <c r="A27" s="74"/>
      <c r="B27" s="74"/>
      <c r="C27" s="74"/>
      <c r="D27" s="74"/>
      <c r="E27" s="69"/>
      <c r="F27" s="75"/>
      <c r="G27" s="76"/>
      <c r="H27" s="76"/>
      <c r="I27" s="76"/>
      <c r="J27" s="76"/>
      <c r="K27" s="76"/>
      <c r="L27" s="76"/>
      <c r="M27" s="77"/>
      <c r="N27" s="77"/>
      <c r="O27" s="78"/>
      <c r="P27" s="78"/>
      <c r="Q27" s="76"/>
    </row>
    <row r="28" spans="1:17" ht="19.899999999999999" customHeight="1" x14ac:dyDescent="0.25">
      <c r="A28" s="74"/>
      <c r="B28" s="74"/>
      <c r="C28" s="74"/>
      <c r="D28" s="74"/>
      <c r="E28" s="69"/>
      <c r="F28" s="75"/>
      <c r="G28" s="76"/>
      <c r="H28" s="76"/>
      <c r="I28" s="76"/>
      <c r="J28" s="76"/>
      <c r="K28" s="76"/>
      <c r="L28" s="76"/>
      <c r="M28" s="77"/>
      <c r="N28" s="77"/>
      <c r="O28" s="78"/>
      <c r="P28" s="78"/>
      <c r="Q28" s="76"/>
    </row>
    <row r="29" spans="1:17" ht="19.899999999999999" customHeight="1" x14ac:dyDescent="0.25">
      <c r="A29" s="74"/>
      <c r="B29" s="74"/>
      <c r="C29" s="74"/>
      <c r="D29" s="74"/>
      <c r="E29" s="69"/>
      <c r="F29" s="75"/>
      <c r="G29" s="76"/>
      <c r="H29" s="76"/>
      <c r="I29" s="76"/>
      <c r="J29" s="76"/>
      <c r="K29" s="76"/>
      <c r="L29" s="76"/>
      <c r="M29" s="77"/>
      <c r="N29" s="77"/>
      <c r="O29" s="78"/>
      <c r="P29" s="78"/>
      <c r="Q29" s="76"/>
    </row>
    <row r="30" spans="1:17" ht="19.899999999999999" customHeight="1" x14ac:dyDescent="0.25">
      <c r="A30" s="74"/>
      <c r="B30" s="74"/>
      <c r="C30" s="74"/>
      <c r="D30" s="74"/>
      <c r="E30" s="69"/>
      <c r="F30" s="75"/>
      <c r="G30" s="76"/>
      <c r="H30" s="76"/>
      <c r="I30" s="76"/>
      <c r="J30" s="76"/>
      <c r="K30" s="76"/>
      <c r="L30" s="76"/>
      <c r="M30" s="77"/>
      <c r="N30" s="77"/>
      <c r="O30" s="78"/>
      <c r="P30" s="78"/>
      <c r="Q30" s="76"/>
    </row>
    <row r="31" spans="1:17" ht="19.899999999999999" customHeight="1" x14ac:dyDescent="0.25">
      <c r="A31" s="74"/>
      <c r="B31" s="74"/>
      <c r="C31" s="74"/>
      <c r="D31" s="74"/>
      <c r="E31" s="69"/>
      <c r="F31" s="75"/>
      <c r="G31" s="76"/>
      <c r="H31" s="76"/>
      <c r="I31" s="76"/>
      <c r="J31" s="76"/>
      <c r="K31" s="76"/>
      <c r="L31" s="76"/>
      <c r="M31" s="77"/>
      <c r="N31" s="77"/>
      <c r="O31" s="78"/>
      <c r="P31" s="78"/>
      <c r="Q31" s="76"/>
    </row>
    <row r="32" spans="1:17" ht="19.899999999999999" customHeight="1" x14ac:dyDescent="0.25">
      <c r="A32" s="74"/>
      <c r="B32" s="74"/>
      <c r="C32" s="74"/>
      <c r="D32" s="74"/>
      <c r="E32" s="69"/>
      <c r="F32" s="75"/>
      <c r="G32" s="76"/>
      <c r="H32" s="76"/>
      <c r="I32" s="76"/>
      <c r="J32" s="76"/>
      <c r="K32" s="76"/>
      <c r="L32" s="76"/>
      <c r="M32" s="77"/>
      <c r="N32" s="77"/>
      <c r="O32" s="78"/>
      <c r="P32" s="78"/>
      <c r="Q32" s="76"/>
    </row>
    <row r="33" spans="1:17" ht="19.899999999999999" customHeight="1" x14ac:dyDescent="0.25">
      <c r="A33" s="74"/>
      <c r="B33" s="74"/>
      <c r="C33" s="74"/>
      <c r="D33" s="74"/>
      <c r="E33" s="69"/>
      <c r="F33" s="75"/>
      <c r="G33" s="76"/>
      <c r="H33" s="76"/>
      <c r="I33" s="76"/>
      <c r="J33" s="76"/>
      <c r="K33" s="76"/>
      <c r="L33" s="76"/>
      <c r="M33" s="77"/>
      <c r="N33" s="77"/>
      <c r="O33" s="78"/>
      <c r="P33" s="78"/>
      <c r="Q33" s="76"/>
    </row>
    <row r="34" spans="1:17" ht="19.899999999999999" customHeight="1" x14ac:dyDescent="0.25">
      <c r="A34" s="74"/>
      <c r="B34" s="74"/>
      <c r="C34" s="74"/>
      <c r="D34" s="74"/>
      <c r="E34" s="69"/>
      <c r="F34" s="75"/>
      <c r="G34" s="76"/>
      <c r="H34" s="76"/>
      <c r="I34" s="76"/>
      <c r="J34" s="76"/>
      <c r="K34" s="76"/>
      <c r="L34" s="76"/>
      <c r="M34" s="77"/>
      <c r="N34" s="77"/>
      <c r="O34" s="78"/>
      <c r="P34" s="78"/>
      <c r="Q34" s="76"/>
    </row>
    <row r="35" spans="1:17" ht="19.899999999999999" customHeight="1" x14ac:dyDescent="0.25">
      <c r="A35" s="74"/>
      <c r="B35" s="74"/>
      <c r="C35" s="74"/>
      <c r="D35" s="74"/>
      <c r="E35" s="69"/>
      <c r="F35" s="75"/>
      <c r="G35" s="76"/>
      <c r="H35" s="76"/>
      <c r="I35" s="76"/>
      <c r="J35" s="76"/>
      <c r="K35" s="76"/>
      <c r="L35" s="76"/>
      <c r="M35" s="77"/>
      <c r="N35" s="77"/>
      <c r="O35" s="78"/>
      <c r="P35" s="78"/>
      <c r="Q35" s="76"/>
    </row>
    <row r="36" spans="1:17" ht="19.899999999999999" customHeight="1" x14ac:dyDescent="0.25">
      <c r="A36" s="74"/>
      <c r="B36" s="74"/>
      <c r="C36" s="74"/>
      <c r="D36" s="74"/>
      <c r="E36" s="69"/>
      <c r="F36" s="75"/>
      <c r="G36" s="76"/>
      <c r="H36" s="76"/>
      <c r="I36" s="76"/>
      <c r="J36" s="76"/>
      <c r="K36" s="76"/>
      <c r="L36" s="76"/>
      <c r="M36" s="77"/>
      <c r="N36" s="77"/>
      <c r="O36" s="78"/>
      <c r="P36" s="78"/>
      <c r="Q36" s="76"/>
    </row>
    <row r="37" spans="1:17" ht="19.899999999999999" customHeight="1" x14ac:dyDescent="0.25">
      <c r="A37" s="74"/>
      <c r="B37" s="74"/>
      <c r="C37" s="74"/>
      <c r="D37" s="74"/>
      <c r="E37" s="69"/>
      <c r="F37" s="75"/>
      <c r="G37" s="76"/>
      <c r="H37" s="76"/>
      <c r="I37" s="76"/>
      <c r="J37" s="76"/>
      <c r="K37" s="76"/>
      <c r="L37" s="76"/>
      <c r="M37" s="77"/>
      <c r="N37" s="77"/>
      <c r="O37" s="78"/>
      <c r="P37" s="78"/>
      <c r="Q37" s="76"/>
    </row>
    <row r="38" spans="1:17" ht="19.899999999999999" customHeight="1" x14ac:dyDescent="0.25">
      <c r="A38" s="74"/>
      <c r="B38" s="74"/>
      <c r="C38" s="74"/>
      <c r="D38" s="74"/>
      <c r="E38" s="69"/>
      <c r="F38" s="75"/>
      <c r="G38" s="76"/>
      <c r="H38" s="76"/>
      <c r="I38" s="76"/>
      <c r="J38" s="76"/>
      <c r="K38" s="76"/>
      <c r="L38" s="76"/>
      <c r="M38" s="77"/>
      <c r="N38" s="77"/>
      <c r="O38" s="78"/>
      <c r="P38" s="78"/>
      <c r="Q38" s="76"/>
    </row>
    <row r="39" spans="1:17" ht="19.899999999999999" customHeight="1" x14ac:dyDescent="0.25">
      <c r="A39" s="74"/>
      <c r="B39" s="74"/>
      <c r="C39" s="74"/>
      <c r="D39" s="74"/>
      <c r="E39" s="69"/>
      <c r="F39" s="75"/>
      <c r="G39" s="76"/>
      <c r="H39" s="76"/>
      <c r="I39" s="76"/>
      <c r="J39" s="76"/>
      <c r="K39" s="76"/>
      <c r="L39" s="76"/>
      <c r="M39" s="77"/>
      <c r="N39" s="77"/>
      <c r="O39" s="78"/>
      <c r="P39" s="78"/>
      <c r="Q39" s="76"/>
    </row>
    <row r="40" spans="1:17" ht="19.899999999999999" customHeight="1" x14ac:dyDescent="0.25">
      <c r="A40" s="74"/>
      <c r="B40" s="74"/>
      <c r="C40" s="74"/>
      <c r="D40" s="74"/>
      <c r="E40" s="69"/>
      <c r="F40" s="75"/>
      <c r="G40" s="76"/>
      <c r="H40" s="76"/>
      <c r="I40" s="76"/>
      <c r="J40" s="76"/>
      <c r="K40" s="76"/>
      <c r="L40" s="76"/>
      <c r="M40" s="77"/>
      <c r="N40" s="77"/>
      <c r="O40" s="78"/>
      <c r="P40" s="78"/>
      <c r="Q40" s="76"/>
    </row>
    <row r="41" spans="1:17" ht="19.899999999999999" customHeight="1" x14ac:dyDescent="0.25">
      <c r="A41" s="74"/>
      <c r="B41" s="74"/>
      <c r="C41" s="74"/>
      <c r="D41" s="74"/>
      <c r="E41" s="69"/>
      <c r="F41" s="75"/>
      <c r="G41" s="76"/>
      <c r="H41" s="76"/>
      <c r="I41" s="76"/>
      <c r="J41" s="76"/>
      <c r="K41" s="76"/>
      <c r="L41" s="76"/>
      <c r="M41" s="77"/>
      <c r="N41" s="77"/>
      <c r="O41" s="78"/>
      <c r="P41" s="78"/>
      <c r="Q41" s="76"/>
    </row>
    <row r="42" spans="1:17" ht="19.899999999999999" customHeight="1" x14ac:dyDescent="0.25">
      <c r="A42" s="74"/>
      <c r="B42" s="74"/>
      <c r="C42" s="74"/>
      <c r="D42" s="74"/>
      <c r="E42" s="69"/>
      <c r="F42" s="75"/>
      <c r="G42" s="76"/>
      <c r="H42" s="76"/>
      <c r="I42" s="76"/>
      <c r="J42" s="76"/>
      <c r="K42" s="76"/>
      <c r="L42" s="76"/>
      <c r="M42" s="77"/>
      <c r="N42" s="77"/>
      <c r="O42" s="78"/>
      <c r="P42" s="78"/>
      <c r="Q42" s="76"/>
    </row>
    <row r="43" spans="1:17" ht="19.899999999999999" customHeight="1" x14ac:dyDescent="0.25">
      <c r="A43" s="74"/>
      <c r="B43" s="74"/>
      <c r="C43" s="74"/>
      <c r="D43" s="74"/>
      <c r="E43" s="69"/>
      <c r="F43" s="75"/>
      <c r="G43" s="76"/>
      <c r="H43" s="76"/>
      <c r="I43" s="76"/>
      <c r="J43" s="76"/>
      <c r="K43" s="76"/>
      <c r="L43" s="76"/>
      <c r="M43" s="77"/>
      <c r="N43" s="77"/>
      <c r="O43" s="78"/>
      <c r="P43" s="78"/>
      <c r="Q43" s="76"/>
    </row>
    <row r="44" spans="1:17" ht="19.899999999999999" customHeight="1" x14ac:dyDescent="0.25">
      <c r="A44" s="74"/>
      <c r="B44" s="74"/>
      <c r="C44" s="74"/>
      <c r="D44" s="74"/>
      <c r="E44" s="69"/>
      <c r="F44" s="75"/>
      <c r="G44" s="76"/>
      <c r="H44" s="76"/>
      <c r="I44" s="76"/>
      <c r="J44" s="76"/>
      <c r="K44" s="76"/>
      <c r="L44" s="76"/>
      <c r="M44" s="77"/>
      <c r="N44" s="77"/>
      <c r="O44" s="78"/>
      <c r="P44" s="78"/>
      <c r="Q44" s="76"/>
    </row>
    <row r="45" spans="1:17" ht="19.899999999999999" customHeight="1" x14ac:dyDescent="0.25">
      <c r="A45" s="74"/>
      <c r="B45" s="74"/>
      <c r="C45" s="74"/>
      <c r="D45" s="74"/>
      <c r="E45" s="69"/>
      <c r="F45" s="75"/>
      <c r="G45" s="76"/>
      <c r="H45" s="76"/>
      <c r="I45" s="76"/>
      <c r="J45" s="76"/>
      <c r="K45" s="76"/>
      <c r="L45" s="76"/>
      <c r="M45" s="77"/>
      <c r="N45" s="77"/>
      <c r="O45" s="78"/>
      <c r="P45" s="78"/>
      <c r="Q45" s="76"/>
    </row>
    <row r="46" spans="1:17" ht="19.899999999999999" customHeight="1" x14ac:dyDescent="0.25">
      <c r="A46" s="74"/>
      <c r="B46" s="74"/>
      <c r="C46" s="74"/>
      <c r="D46" s="74"/>
      <c r="E46" s="69"/>
      <c r="F46" s="75"/>
      <c r="G46" s="76"/>
      <c r="H46" s="76"/>
      <c r="I46" s="76"/>
      <c r="J46" s="76"/>
      <c r="K46" s="76"/>
      <c r="L46" s="76"/>
      <c r="M46" s="77"/>
      <c r="N46" s="77"/>
      <c r="O46" s="78"/>
      <c r="P46" s="78"/>
      <c r="Q46" s="76"/>
    </row>
    <row r="47" spans="1:17" ht="19.899999999999999" customHeight="1" x14ac:dyDescent="0.25">
      <c r="A47" s="74"/>
      <c r="B47" s="74"/>
      <c r="C47" s="74"/>
      <c r="D47" s="74"/>
      <c r="E47" s="69"/>
      <c r="F47" s="75"/>
      <c r="G47" s="76"/>
      <c r="H47" s="76"/>
      <c r="I47" s="76"/>
      <c r="J47" s="76"/>
      <c r="K47" s="76"/>
      <c r="L47" s="76"/>
      <c r="M47" s="77"/>
      <c r="N47" s="77"/>
      <c r="O47" s="78"/>
      <c r="P47" s="78"/>
      <c r="Q47" s="76"/>
    </row>
    <row r="48" spans="1:17" ht="19.899999999999999" customHeight="1" x14ac:dyDescent="0.25">
      <c r="A48" s="74"/>
      <c r="B48" s="74"/>
      <c r="C48" s="74"/>
      <c r="D48" s="74"/>
      <c r="E48" s="69"/>
      <c r="F48" s="75"/>
      <c r="G48" s="76"/>
      <c r="H48" s="76"/>
      <c r="I48" s="76"/>
      <c r="J48" s="76"/>
      <c r="K48" s="76"/>
      <c r="L48" s="76"/>
      <c r="M48" s="77"/>
      <c r="N48" s="77"/>
      <c r="O48" s="78"/>
      <c r="P48" s="78"/>
      <c r="Q48" s="76"/>
    </row>
    <row r="49" spans="1:17" ht="19.899999999999999" customHeight="1" x14ac:dyDescent="0.25">
      <c r="A49" s="74"/>
      <c r="B49" s="74"/>
      <c r="C49" s="74"/>
      <c r="D49" s="74"/>
      <c r="E49" s="69"/>
      <c r="F49" s="75"/>
      <c r="G49" s="76"/>
      <c r="H49" s="76"/>
      <c r="I49" s="76"/>
      <c r="J49" s="76"/>
      <c r="K49" s="76"/>
      <c r="L49" s="76"/>
      <c r="M49" s="77"/>
      <c r="N49" s="77"/>
      <c r="O49" s="78"/>
      <c r="P49" s="78"/>
      <c r="Q49" s="76"/>
    </row>
    <row r="50" spans="1:17" ht="19.899999999999999" customHeight="1" x14ac:dyDescent="0.25">
      <c r="A50" s="74"/>
      <c r="B50" s="74"/>
      <c r="C50" s="74"/>
      <c r="D50" s="74"/>
      <c r="E50" s="69"/>
      <c r="F50" s="75"/>
      <c r="G50" s="76"/>
      <c r="H50" s="76"/>
      <c r="I50" s="76"/>
      <c r="J50" s="76"/>
      <c r="K50" s="76"/>
      <c r="L50" s="76"/>
      <c r="M50" s="77"/>
      <c r="N50" s="77"/>
      <c r="O50" s="78"/>
      <c r="P50" s="78"/>
      <c r="Q50" s="76"/>
    </row>
    <row r="51" spans="1:17" ht="19.899999999999999" customHeight="1" x14ac:dyDescent="0.25">
      <c r="A51" s="74"/>
      <c r="B51" s="74"/>
      <c r="C51" s="74"/>
      <c r="D51" s="74"/>
      <c r="E51" s="69"/>
      <c r="F51" s="75"/>
      <c r="G51" s="76"/>
      <c r="H51" s="76"/>
      <c r="I51" s="76"/>
      <c r="J51" s="76"/>
      <c r="K51" s="76"/>
      <c r="L51" s="76"/>
      <c r="M51" s="77"/>
      <c r="N51" s="77"/>
      <c r="O51" s="78"/>
      <c r="P51" s="78"/>
      <c r="Q51" s="76"/>
    </row>
    <row r="52" spans="1:17" ht="19.899999999999999" customHeight="1" x14ac:dyDescent="0.25">
      <c r="A52" s="74"/>
      <c r="B52" s="74"/>
      <c r="C52" s="74"/>
      <c r="D52" s="74"/>
      <c r="E52" s="69"/>
      <c r="F52" s="75"/>
      <c r="G52" s="76"/>
      <c r="H52" s="76"/>
      <c r="I52" s="76"/>
      <c r="J52" s="76"/>
      <c r="K52" s="76"/>
      <c r="L52" s="76"/>
      <c r="M52" s="77"/>
      <c r="N52" s="77"/>
      <c r="O52" s="78"/>
      <c r="P52" s="78"/>
      <c r="Q52" s="76"/>
    </row>
    <row r="53" spans="1:17" ht="19.899999999999999" customHeight="1" x14ac:dyDescent="0.25">
      <c r="A53" s="74"/>
      <c r="B53" s="74"/>
      <c r="C53" s="74"/>
      <c r="D53" s="74"/>
      <c r="E53" s="69"/>
      <c r="F53" s="75"/>
      <c r="G53" s="76"/>
      <c r="H53" s="76"/>
      <c r="I53" s="76"/>
      <c r="J53" s="76"/>
      <c r="K53" s="76"/>
      <c r="L53" s="76"/>
      <c r="M53" s="77"/>
      <c r="N53" s="77"/>
      <c r="O53" s="78"/>
      <c r="P53" s="78"/>
      <c r="Q53" s="76"/>
    </row>
    <row r="54" spans="1:17" ht="19.899999999999999" customHeight="1" x14ac:dyDescent="0.25">
      <c r="A54" s="74"/>
      <c r="B54" s="74"/>
      <c r="C54" s="74"/>
      <c r="D54" s="74"/>
      <c r="E54" s="69"/>
      <c r="F54" s="75"/>
      <c r="G54" s="76"/>
      <c r="H54" s="76"/>
      <c r="I54" s="76"/>
      <c r="J54" s="76"/>
      <c r="K54" s="76"/>
      <c r="L54" s="76"/>
      <c r="M54" s="77"/>
      <c r="N54" s="77"/>
      <c r="O54" s="78"/>
      <c r="P54" s="78"/>
      <c r="Q54" s="76"/>
    </row>
    <row r="55" spans="1:17" ht="19.899999999999999" customHeight="1" x14ac:dyDescent="0.25">
      <c r="A55" s="74"/>
      <c r="B55" s="74"/>
      <c r="C55" s="74"/>
      <c r="D55" s="74"/>
      <c r="E55" s="69"/>
      <c r="F55" s="75"/>
      <c r="G55" s="76"/>
      <c r="H55" s="76"/>
      <c r="I55" s="76"/>
      <c r="J55" s="76"/>
      <c r="K55" s="76"/>
      <c r="L55" s="76"/>
      <c r="M55" s="77"/>
      <c r="N55" s="77"/>
      <c r="O55" s="78"/>
      <c r="P55" s="78"/>
      <c r="Q55" s="76"/>
    </row>
    <row r="56" spans="1:17" ht="19.899999999999999" customHeight="1" x14ac:dyDescent="0.25">
      <c r="A56" s="74"/>
      <c r="B56" s="74"/>
      <c r="C56" s="74"/>
      <c r="D56" s="74"/>
      <c r="E56" s="69"/>
      <c r="F56" s="75"/>
      <c r="G56" s="76"/>
      <c r="H56" s="76"/>
      <c r="I56" s="76"/>
      <c r="J56" s="76"/>
      <c r="K56" s="76"/>
      <c r="L56" s="76"/>
      <c r="M56" s="77"/>
      <c r="N56" s="77"/>
      <c r="O56" s="78"/>
      <c r="P56" s="78"/>
      <c r="Q56" s="76"/>
    </row>
    <row r="57" spans="1:17" ht="19.899999999999999" customHeight="1" x14ac:dyDescent="0.25">
      <c r="A57" s="74"/>
      <c r="B57" s="74"/>
      <c r="C57" s="74"/>
      <c r="D57" s="74"/>
      <c r="E57" s="69"/>
      <c r="F57" s="75"/>
      <c r="G57" s="76"/>
      <c r="H57" s="76"/>
      <c r="I57" s="76"/>
      <c r="J57" s="76"/>
      <c r="K57" s="76"/>
      <c r="L57" s="76"/>
      <c r="M57" s="77"/>
      <c r="N57" s="77"/>
      <c r="O57" s="78"/>
      <c r="P57" s="78"/>
      <c r="Q57" s="76"/>
    </row>
    <row r="58" spans="1:17" ht="19.899999999999999" customHeight="1" x14ac:dyDescent="0.25">
      <c r="A58" s="74"/>
      <c r="B58" s="74"/>
      <c r="C58" s="74"/>
      <c r="D58" s="74"/>
      <c r="E58" s="69"/>
      <c r="F58" s="75"/>
      <c r="G58" s="76"/>
      <c r="H58" s="76"/>
      <c r="I58" s="76"/>
      <c r="J58" s="76"/>
      <c r="K58" s="76"/>
      <c r="L58" s="76"/>
      <c r="M58" s="77"/>
      <c r="N58" s="77"/>
      <c r="O58" s="78"/>
      <c r="P58" s="78"/>
      <c r="Q58" s="76"/>
    </row>
    <row r="59" spans="1:17" ht="19.899999999999999" customHeight="1" x14ac:dyDescent="0.25">
      <c r="A59" s="74"/>
      <c r="B59" s="74"/>
      <c r="C59" s="74"/>
      <c r="D59" s="74"/>
      <c r="E59" s="69"/>
      <c r="F59" s="75"/>
      <c r="G59" s="76"/>
      <c r="H59" s="76"/>
      <c r="I59" s="76"/>
      <c r="J59" s="76"/>
      <c r="K59" s="76"/>
      <c r="L59" s="76"/>
      <c r="M59" s="77"/>
      <c r="N59" s="77"/>
      <c r="O59" s="78"/>
      <c r="P59" s="78"/>
      <c r="Q59" s="76"/>
    </row>
    <row r="60" spans="1:17" ht="19.899999999999999" customHeight="1" x14ac:dyDescent="0.25">
      <c r="A60" s="74"/>
      <c r="B60" s="74"/>
      <c r="C60" s="74"/>
      <c r="D60" s="74"/>
      <c r="E60" s="69"/>
      <c r="F60" s="75"/>
      <c r="G60" s="76"/>
      <c r="H60" s="76"/>
      <c r="I60" s="76"/>
      <c r="J60" s="76"/>
      <c r="K60" s="76"/>
      <c r="L60" s="76"/>
      <c r="M60" s="77"/>
      <c r="N60" s="77"/>
      <c r="O60" s="78"/>
      <c r="P60" s="78"/>
      <c r="Q60" s="76"/>
    </row>
    <row r="61" spans="1:17" ht="19.899999999999999" customHeight="1" x14ac:dyDescent="0.25">
      <c r="A61" s="74"/>
      <c r="B61" s="74"/>
      <c r="C61" s="74"/>
      <c r="D61" s="74"/>
      <c r="E61" s="69"/>
      <c r="F61" s="75"/>
      <c r="G61" s="76"/>
      <c r="H61" s="76"/>
      <c r="I61" s="76"/>
      <c r="J61" s="76"/>
      <c r="K61" s="76"/>
      <c r="L61" s="76"/>
      <c r="M61" s="77"/>
      <c r="N61" s="77"/>
      <c r="O61" s="78"/>
      <c r="P61" s="78"/>
      <c r="Q61" s="76"/>
    </row>
    <row r="62" spans="1:17" ht="19.899999999999999" customHeight="1" x14ac:dyDescent="0.25">
      <c r="A62" s="74"/>
      <c r="B62" s="74"/>
      <c r="C62" s="74"/>
      <c r="D62" s="74"/>
      <c r="E62" s="69"/>
      <c r="F62" s="75"/>
      <c r="G62" s="76"/>
      <c r="H62" s="76"/>
      <c r="I62" s="76"/>
      <c r="J62" s="76"/>
      <c r="K62" s="76"/>
      <c r="L62" s="76"/>
      <c r="M62" s="77"/>
      <c r="N62" s="77"/>
      <c r="O62" s="78"/>
      <c r="P62" s="78"/>
      <c r="Q62" s="76"/>
    </row>
    <row r="63" spans="1:17" ht="19.899999999999999" customHeight="1" x14ac:dyDescent="0.25">
      <c r="A63" s="74"/>
      <c r="B63" s="74"/>
      <c r="C63" s="74"/>
      <c r="D63" s="74"/>
      <c r="E63" s="69"/>
      <c r="F63" s="75"/>
      <c r="G63" s="76"/>
      <c r="H63" s="76"/>
      <c r="I63" s="76"/>
      <c r="J63" s="76"/>
      <c r="K63" s="76"/>
      <c r="L63" s="76"/>
      <c r="M63" s="77"/>
      <c r="N63" s="77"/>
      <c r="O63" s="78"/>
      <c r="P63" s="78"/>
      <c r="Q63" s="76"/>
    </row>
    <row r="64" spans="1:17" ht="19.899999999999999" customHeight="1" x14ac:dyDescent="0.25">
      <c r="A64" s="74"/>
      <c r="B64" s="74"/>
      <c r="C64" s="74"/>
      <c r="D64" s="74"/>
      <c r="E64" s="69"/>
      <c r="F64" s="75"/>
      <c r="G64" s="76"/>
      <c r="H64" s="76"/>
      <c r="I64" s="76"/>
      <c r="J64" s="76"/>
      <c r="K64" s="76"/>
      <c r="L64" s="76"/>
      <c r="M64" s="77"/>
      <c r="N64" s="77"/>
      <c r="O64" s="78"/>
      <c r="P64" s="78"/>
      <c r="Q64" s="76"/>
    </row>
    <row r="65" spans="1:17" ht="19.899999999999999" customHeight="1" x14ac:dyDescent="0.25">
      <c r="A65" s="74"/>
      <c r="B65" s="74"/>
      <c r="C65" s="74"/>
      <c r="D65" s="74"/>
      <c r="E65" s="69"/>
      <c r="F65" s="75"/>
      <c r="G65" s="76"/>
      <c r="H65" s="76"/>
      <c r="I65" s="76"/>
      <c r="J65" s="76"/>
      <c r="K65" s="76"/>
      <c r="L65" s="76"/>
      <c r="M65" s="77"/>
      <c r="N65" s="77"/>
      <c r="O65" s="78"/>
      <c r="P65" s="78"/>
      <c r="Q65" s="76"/>
    </row>
    <row r="66" spans="1:17" ht="19.899999999999999" customHeight="1" x14ac:dyDescent="0.25">
      <c r="A66" s="74"/>
      <c r="B66" s="74"/>
      <c r="C66" s="74"/>
      <c r="D66" s="74"/>
      <c r="E66" s="69"/>
      <c r="F66" s="75"/>
      <c r="G66" s="76"/>
      <c r="H66" s="76"/>
      <c r="I66" s="76"/>
      <c r="J66" s="76"/>
      <c r="K66" s="76"/>
      <c r="L66" s="76"/>
      <c r="M66" s="77"/>
      <c r="N66" s="77"/>
      <c r="O66" s="78"/>
      <c r="P66" s="78"/>
      <c r="Q66" s="76"/>
    </row>
    <row r="67" spans="1:17" ht="19.899999999999999" customHeight="1" x14ac:dyDescent="0.25">
      <c r="A67" s="74"/>
      <c r="B67" s="74"/>
      <c r="C67" s="74"/>
      <c r="D67" s="74"/>
      <c r="E67" s="69"/>
      <c r="F67" s="75"/>
      <c r="G67" s="76"/>
      <c r="H67" s="76"/>
      <c r="I67" s="76"/>
      <c r="J67" s="76"/>
      <c r="K67" s="76"/>
      <c r="L67" s="76"/>
      <c r="M67" s="77"/>
      <c r="N67" s="77"/>
      <c r="O67" s="78"/>
      <c r="P67" s="78"/>
      <c r="Q67" s="76"/>
    </row>
    <row r="68" spans="1:17" ht="19.899999999999999" customHeight="1" x14ac:dyDescent="0.25">
      <c r="A68" s="74"/>
      <c r="B68" s="74"/>
      <c r="C68" s="74"/>
      <c r="D68" s="74"/>
      <c r="E68" s="69"/>
      <c r="F68" s="75"/>
      <c r="G68" s="76"/>
      <c r="H68" s="76"/>
      <c r="I68" s="76"/>
      <c r="J68" s="76"/>
      <c r="K68" s="76"/>
      <c r="L68" s="76"/>
      <c r="M68" s="77"/>
      <c r="N68" s="77"/>
      <c r="O68" s="78"/>
      <c r="P68" s="78"/>
      <c r="Q68" s="76"/>
    </row>
    <row r="69" spans="1:17" ht="19.899999999999999" customHeight="1" x14ac:dyDescent="0.25">
      <c r="A69" s="74"/>
      <c r="B69" s="74"/>
      <c r="C69" s="74"/>
      <c r="D69" s="74"/>
      <c r="E69" s="69"/>
      <c r="F69" s="75"/>
      <c r="G69" s="76"/>
      <c r="H69" s="76"/>
      <c r="I69" s="76"/>
      <c r="J69" s="76"/>
      <c r="K69" s="76"/>
      <c r="L69" s="76"/>
      <c r="M69" s="77"/>
      <c r="N69" s="77"/>
      <c r="O69" s="78"/>
      <c r="P69" s="78"/>
      <c r="Q69" s="76"/>
    </row>
    <row r="70" spans="1:17" ht="19.899999999999999" customHeight="1" x14ac:dyDescent="0.25">
      <c r="A70" s="74"/>
      <c r="B70" s="74"/>
      <c r="C70" s="74"/>
      <c r="D70" s="74"/>
      <c r="E70" s="69"/>
      <c r="F70" s="75"/>
      <c r="G70" s="76"/>
      <c r="H70" s="76"/>
      <c r="I70" s="76"/>
      <c r="J70" s="76"/>
      <c r="K70" s="76"/>
      <c r="L70" s="76"/>
      <c r="M70" s="77"/>
      <c r="N70" s="77"/>
      <c r="O70" s="78"/>
      <c r="P70" s="78"/>
      <c r="Q70" s="76"/>
    </row>
    <row r="71" spans="1:17" ht="19.899999999999999" customHeight="1" x14ac:dyDescent="0.25">
      <c r="A71" s="74"/>
      <c r="B71" s="74"/>
      <c r="C71" s="74"/>
      <c r="D71" s="74"/>
      <c r="E71" s="69"/>
      <c r="F71" s="75"/>
      <c r="G71" s="76"/>
      <c r="H71" s="76"/>
      <c r="I71" s="76"/>
      <c r="J71" s="76"/>
      <c r="K71" s="76"/>
      <c r="L71" s="76"/>
      <c r="M71" s="77"/>
      <c r="N71" s="77"/>
      <c r="O71" s="78"/>
      <c r="P71" s="78"/>
      <c r="Q71" s="76"/>
    </row>
    <row r="72" spans="1:17" ht="19.899999999999999" customHeight="1" x14ac:dyDescent="0.25">
      <c r="A72" s="74"/>
      <c r="B72" s="74"/>
      <c r="C72" s="74"/>
      <c r="D72" s="74"/>
      <c r="E72" s="69"/>
      <c r="F72" s="75"/>
      <c r="G72" s="76"/>
      <c r="H72" s="76"/>
      <c r="I72" s="76"/>
      <c r="J72" s="76"/>
      <c r="K72" s="76"/>
      <c r="L72" s="76"/>
      <c r="M72" s="77"/>
      <c r="N72" s="77"/>
      <c r="O72" s="78"/>
      <c r="P72" s="78"/>
      <c r="Q72" s="76"/>
    </row>
    <row r="73" spans="1:17" ht="19.899999999999999" customHeight="1" x14ac:dyDescent="0.25">
      <c r="A73" s="74"/>
      <c r="B73" s="74"/>
      <c r="C73" s="74"/>
      <c r="D73" s="74"/>
      <c r="E73" s="69"/>
      <c r="F73" s="75"/>
      <c r="G73" s="76"/>
      <c r="H73" s="76"/>
      <c r="I73" s="76"/>
      <c r="J73" s="76"/>
      <c r="K73" s="76"/>
      <c r="L73" s="76"/>
      <c r="M73" s="77"/>
      <c r="N73" s="77"/>
      <c r="O73" s="78"/>
      <c r="P73" s="78"/>
      <c r="Q73" s="76"/>
    </row>
    <row r="74" spans="1:17" ht="19.899999999999999" customHeight="1" x14ac:dyDescent="0.25">
      <c r="A74" s="74"/>
      <c r="B74" s="74"/>
      <c r="C74" s="74"/>
      <c r="D74" s="74"/>
      <c r="E74" s="69"/>
      <c r="F74" s="75"/>
      <c r="G74" s="76"/>
      <c r="H74" s="76"/>
      <c r="I74" s="76"/>
      <c r="J74" s="76"/>
      <c r="K74" s="76"/>
      <c r="L74" s="76"/>
      <c r="M74" s="77"/>
      <c r="N74" s="77"/>
      <c r="O74" s="78"/>
      <c r="P74" s="78"/>
      <c r="Q74" s="76"/>
    </row>
    <row r="75" spans="1:17" ht="19.899999999999999" customHeight="1" x14ac:dyDescent="0.25">
      <c r="A75" s="74"/>
      <c r="B75" s="74"/>
      <c r="C75" s="74"/>
      <c r="D75" s="74"/>
      <c r="E75" s="69"/>
      <c r="F75" s="75"/>
      <c r="G75" s="76"/>
      <c r="H75" s="76"/>
      <c r="I75" s="76"/>
      <c r="J75" s="76"/>
      <c r="K75" s="76"/>
      <c r="L75" s="76"/>
      <c r="M75" s="77"/>
      <c r="N75" s="77"/>
      <c r="O75" s="78"/>
      <c r="P75" s="78"/>
      <c r="Q75" s="76"/>
    </row>
    <row r="76" spans="1:17" ht="19.899999999999999" customHeight="1" x14ac:dyDescent="0.25">
      <c r="A76" s="74"/>
      <c r="B76" s="74"/>
      <c r="C76" s="74"/>
      <c r="D76" s="74"/>
      <c r="E76" s="69"/>
      <c r="F76" s="75"/>
      <c r="G76" s="76"/>
      <c r="H76" s="76"/>
      <c r="I76" s="76"/>
      <c r="J76" s="76"/>
      <c r="K76" s="76"/>
      <c r="L76" s="76"/>
      <c r="M76" s="77"/>
      <c r="N76" s="77"/>
      <c r="O76" s="78"/>
      <c r="P76" s="78"/>
      <c r="Q76" s="76"/>
    </row>
    <row r="77" spans="1:17" ht="19.899999999999999" customHeight="1" x14ac:dyDescent="0.25">
      <c r="A77" s="74"/>
      <c r="B77" s="74"/>
      <c r="C77" s="74"/>
      <c r="D77" s="74"/>
      <c r="E77" s="69"/>
      <c r="F77" s="75"/>
      <c r="G77" s="76"/>
      <c r="H77" s="76"/>
      <c r="I77" s="76"/>
      <c r="J77" s="76"/>
      <c r="K77" s="76"/>
      <c r="L77" s="76"/>
      <c r="M77" s="77"/>
      <c r="N77" s="77"/>
      <c r="O77" s="78"/>
      <c r="P77" s="78"/>
      <c r="Q77" s="76"/>
    </row>
    <row r="78" spans="1:17" ht="19.899999999999999" customHeight="1" x14ac:dyDescent="0.25">
      <c r="A78" s="74"/>
      <c r="B78" s="74"/>
      <c r="C78" s="74"/>
      <c r="D78" s="74"/>
      <c r="E78" s="69"/>
      <c r="F78" s="75"/>
      <c r="G78" s="76"/>
      <c r="H78" s="76"/>
      <c r="I78" s="76"/>
      <c r="J78" s="76"/>
      <c r="K78" s="76"/>
      <c r="L78" s="76"/>
      <c r="M78" s="77"/>
      <c r="N78" s="77"/>
      <c r="O78" s="78"/>
      <c r="P78" s="78"/>
      <c r="Q78" s="76"/>
    </row>
    <row r="79" spans="1:17" ht="19.899999999999999" customHeight="1" x14ac:dyDescent="0.25">
      <c r="A79" s="74"/>
      <c r="B79" s="74"/>
      <c r="C79" s="74"/>
      <c r="D79" s="74"/>
      <c r="E79" s="69"/>
      <c r="F79" s="75"/>
      <c r="G79" s="76"/>
      <c r="H79" s="76"/>
      <c r="I79" s="76"/>
      <c r="J79" s="76"/>
      <c r="K79" s="76"/>
      <c r="L79" s="76"/>
      <c r="M79" s="77"/>
      <c r="N79" s="77"/>
      <c r="O79" s="78"/>
      <c r="P79" s="78"/>
      <c r="Q79" s="76"/>
    </row>
    <row r="80" spans="1:17" ht="19.899999999999999" customHeight="1" x14ac:dyDescent="0.25">
      <c r="A80" s="74"/>
      <c r="B80" s="74"/>
      <c r="C80" s="74"/>
      <c r="D80" s="74"/>
      <c r="E80" s="69"/>
      <c r="F80" s="75"/>
      <c r="G80" s="76"/>
      <c r="H80" s="76"/>
      <c r="I80" s="76"/>
      <c r="J80" s="76"/>
      <c r="K80" s="76"/>
      <c r="L80" s="76"/>
      <c r="M80" s="77"/>
      <c r="N80" s="77"/>
      <c r="O80" s="78"/>
      <c r="P80" s="78"/>
      <c r="Q80" s="76"/>
    </row>
    <row r="81" spans="1:17" ht="19.899999999999999" customHeight="1" x14ac:dyDescent="0.25">
      <c r="A81" s="74"/>
      <c r="B81" s="74"/>
      <c r="C81" s="74"/>
      <c r="D81" s="74"/>
      <c r="E81" s="69"/>
      <c r="F81" s="75"/>
      <c r="G81" s="76"/>
      <c r="H81" s="76"/>
      <c r="I81" s="76"/>
      <c r="J81" s="76"/>
      <c r="K81" s="76"/>
      <c r="L81" s="76"/>
      <c r="M81" s="77"/>
      <c r="N81" s="77"/>
      <c r="O81" s="78"/>
      <c r="P81" s="78"/>
      <c r="Q81" s="76"/>
    </row>
    <row r="82" spans="1:17" ht="19.899999999999999" customHeight="1" x14ac:dyDescent="0.25">
      <c r="A82" s="74"/>
      <c r="B82" s="74"/>
      <c r="C82" s="74"/>
      <c r="D82" s="74"/>
      <c r="E82" s="69"/>
      <c r="F82" s="75"/>
      <c r="G82" s="76"/>
      <c r="H82" s="76"/>
      <c r="I82" s="76"/>
      <c r="J82" s="76"/>
      <c r="K82" s="76"/>
      <c r="L82" s="76"/>
      <c r="M82" s="77"/>
      <c r="N82" s="77"/>
      <c r="O82" s="78"/>
      <c r="P82" s="78"/>
      <c r="Q82" s="76"/>
    </row>
    <row r="83" spans="1:17" ht="19.899999999999999" customHeight="1" x14ac:dyDescent="0.25">
      <c r="A83" s="74"/>
      <c r="B83" s="74"/>
      <c r="C83" s="74"/>
      <c r="D83" s="74"/>
      <c r="E83" s="69"/>
      <c r="F83" s="75"/>
      <c r="G83" s="76"/>
      <c r="H83" s="76"/>
      <c r="I83" s="76"/>
      <c r="J83" s="76"/>
      <c r="K83" s="76"/>
      <c r="L83" s="76"/>
      <c r="M83" s="77"/>
      <c r="N83" s="77"/>
      <c r="O83" s="78"/>
      <c r="P83" s="78"/>
      <c r="Q83" s="76"/>
    </row>
    <row r="84" spans="1:17" ht="19.899999999999999" customHeight="1" x14ac:dyDescent="0.25">
      <c r="A84" s="74"/>
      <c r="B84" s="74"/>
      <c r="C84" s="74"/>
      <c r="D84" s="74"/>
      <c r="E84" s="69"/>
      <c r="F84" s="75"/>
      <c r="G84" s="76"/>
      <c r="H84" s="76"/>
      <c r="I84" s="76"/>
      <c r="J84" s="76"/>
      <c r="K84" s="76"/>
      <c r="L84" s="76"/>
      <c r="M84" s="77"/>
      <c r="N84" s="77"/>
      <c r="O84" s="78"/>
      <c r="P84" s="78"/>
      <c r="Q84" s="76"/>
    </row>
    <row r="85" spans="1:17" ht="19.899999999999999" customHeight="1" x14ac:dyDescent="0.25">
      <c r="A85" s="74"/>
      <c r="B85" s="74"/>
      <c r="C85" s="74"/>
      <c r="D85" s="74"/>
      <c r="E85" s="69"/>
      <c r="F85" s="75"/>
      <c r="G85" s="76"/>
      <c r="H85" s="76"/>
      <c r="I85" s="76"/>
      <c r="J85" s="76"/>
      <c r="K85" s="76"/>
      <c r="L85" s="76"/>
      <c r="M85" s="77"/>
      <c r="N85" s="77"/>
      <c r="O85" s="78"/>
      <c r="P85" s="78"/>
      <c r="Q85" s="76"/>
    </row>
    <row r="86" spans="1:17" ht="19.899999999999999" customHeight="1" x14ac:dyDescent="0.25">
      <c r="A86" s="74"/>
      <c r="B86" s="74"/>
      <c r="C86" s="74"/>
      <c r="D86" s="74"/>
      <c r="E86" s="69"/>
      <c r="F86" s="75"/>
      <c r="G86" s="76"/>
      <c r="H86" s="76"/>
      <c r="I86" s="76"/>
      <c r="J86" s="76"/>
      <c r="K86" s="76"/>
      <c r="L86" s="76"/>
      <c r="M86" s="77"/>
      <c r="N86" s="77"/>
      <c r="O86" s="78"/>
      <c r="P86" s="78"/>
      <c r="Q86" s="76"/>
    </row>
    <row r="87" spans="1:17" ht="19.899999999999999" customHeight="1" x14ac:dyDescent="0.25">
      <c r="A87" s="74"/>
      <c r="B87" s="74"/>
      <c r="C87" s="74"/>
      <c r="D87" s="74"/>
      <c r="E87" s="69"/>
      <c r="F87" s="75"/>
      <c r="G87" s="76"/>
      <c r="H87" s="76"/>
      <c r="I87" s="76"/>
      <c r="J87" s="76"/>
      <c r="K87" s="76"/>
      <c r="L87" s="76"/>
      <c r="M87" s="77"/>
      <c r="N87" s="77"/>
      <c r="O87" s="78"/>
      <c r="P87" s="78"/>
      <c r="Q87" s="76"/>
    </row>
    <row r="88" spans="1:17" ht="19.899999999999999" customHeight="1" x14ac:dyDescent="0.25">
      <c r="A88" s="74"/>
      <c r="B88" s="74"/>
      <c r="C88" s="74"/>
      <c r="D88" s="74"/>
      <c r="E88" s="69"/>
      <c r="F88" s="75"/>
      <c r="G88" s="76"/>
      <c r="H88" s="76"/>
      <c r="I88" s="76"/>
      <c r="J88" s="76"/>
      <c r="K88" s="76"/>
      <c r="L88" s="76"/>
      <c r="M88" s="77"/>
      <c r="N88" s="77"/>
      <c r="O88" s="78"/>
      <c r="P88" s="78"/>
      <c r="Q88" s="76"/>
    </row>
    <row r="89" spans="1:17" ht="19.899999999999999" customHeight="1" x14ac:dyDescent="0.25">
      <c r="A89" s="74"/>
      <c r="B89" s="74"/>
      <c r="C89" s="74"/>
      <c r="D89" s="74"/>
      <c r="E89" s="69"/>
      <c r="F89" s="75"/>
      <c r="G89" s="76"/>
      <c r="H89" s="76"/>
      <c r="I89" s="76"/>
      <c r="J89" s="76"/>
      <c r="K89" s="76"/>
      <c r="L89" s="76"/>
      <c r="M89" s="77"/>
      <c r="N89" s="77"/>
      <c r="O89" s="78"/>
      <c r="P89" s="78"/>
      <c r="Q89" s="76"/>
    </row>
    <row r="90" spans="1:17" ht="19.899999999999999" customHeight="1" x14ac:dyDescent="0.25">
      <c r="A90" s="74"/>
      <c r="B90" s="74"/>
      <c r="C90" s="74"/>
      <c r="D90" s="74"/>
      <c r="E90" s="69"/>
      <c r="F90" s="75"/>
      <c r="G90" s="76"/>
      <c r="H90" s="76"/>
      <c r="I90" s="76"/>
      <c r="J90" s="76"/>
      <c r="K90" s="76"/>
      <c r="L90" s="76"/>
      <c r="M90" s="77"/>
      <c r="N90" s="77"/>
      <c r="O90" s="78"/>
      <c r="P90" s="78"/>
      <c r="Q90" s="76"/>
    </row>
    <row r="91" spans="1:17" ht="19.899999999999999" customHeight="1" x14ac:dyDescent="0.25">
      <c r="A91" s="74"/>
      <c r="B91" s="74"/>
      <c r="C91" s="74"/>
      <c r="D91" s="74"/>
      <c r="E91" s="69"/>
      <c r="F91" s="75"/>
      <c r="G91" s="76"/>
      <c r="H91" s="76"/>
      <c r="I91" s="76"/>
      <c r="J91" s="76"/>
      <c r="K91" s="76"/>
      <c r="L91" s="76"/>
      <c r="M91" s="77"/>
      <c r="N91" s="77"/>
      <c r="O91" s="78"/>
      <c r="P91" s="78"/>
      <c r="Q91" s="76"/>
    </row>
    <row r="92" spans="1:17" ht="19.899999999999999" customHeight="1" x14ac:dyDescent="0.25">
      <c r="A92" s="74"/>
      <c r="B92" s="74"/>
      <c r="C92" s="74"/>
      <c r="D92" s="74"/>
      <c r="E92" s="69"/>
      <c r="F92" s="75"/>
      <c r="G92" s="76"/>
      <c r="H92" s="76"/>
      <c r="I92" s="76"/>
      <c r="J92" s="76"/>
      <c r="K92" s="76"/>
      <c r="L92" s="76"/>
      <c r="M92" s="77"/>
      <c r="N92" s="77"/>
      <c r="O92" s="78"/>
      <c r="P92" s="78"/>
      <c r="Q92" s="76"/>
    </row>
    <row r="93" spans="1:17" ht="19.899999999999999" customHeight="1" x14ac:dyDescent="0.25">
      <c r="A93" s="74"/>
      <c r="B93" s="74"/>
      <c r="C93" s="74"/>
      <c r="D93" s="74"/>
      <c r="E93" s="69"/>
      <c r="F93" s="75"/>
      <c r="G93" s="76"/>
      <c r="H93" s="76"/>
      <c r="I93" s="76"/>
      <c r="J93" s="76"/>
      <c r="K93" s="76"/>
      <c r="L93" s="76"/>
      <c r="M93" s="77"/>
      <c r="N93" s="77"/>
      <c r="O93" s="78"/>
      <c r="P93" s="78"/>
      <c r="Q93" s="76"/>
    </row>
    <row r="94" spans="1:17" ht="19.899999999999999" customHeight="1" x14ac:dyDescent="0.25">
      <c r="A94" s="74"/>
      <c r="B94" s="74"/>
      <c r="C94" s="74"/>
      <c r="D94" s="74"/>
      <c r="E94" s="69"/>
      <c r="F94" s="75"/>
      <c r="G94" s="76"/>
      <c r="H94" s="76"/>
      <c r="I94" s="76"/>
      <c r="J94" s="76"/>
      <c r="K94" s="76"/>
      <c r="L94" s="76"/>
      <c r="M94" s="77"/>
      <c r="N94" s="77"/>
      <c r="O94" s="78"/>
      <c r="P94" s="78"/>
      <c r="Q94" s="76"/>
    </row>
    <row r="95" spans="1:17" ht="19.899999999999999" customHeight="1" x14ac:dyDescent="0.25">
      <c r="A95" s="74"/>
      <c r="B95" s="74"/>
      <c r="C95" s="74"/>
      <c r="D95" s="74"/>
      <c r="E95" s="69"/>
      <c r="F95" s="75"/>
      <c r="G95" s="76"/>
      <c r="H95" s="76"/>
      <c r="I95" s="76"/>
      <c r="J95" s="76"/>
      <c r="K95" s="76"/>
      <c r="L95" s="76"/>
      <c r="M95" s="77"/>
      <c r="N95" s="77"/>
      <c r="O95" s="78"/>
      <c r="P95" s="78"/>
      <c r="Q95" s="76"/>
    </row>
    <row r="96" spans="1:17" ht="19.899999999999999" customHeight="1" x14ac:dyDescent="0.25">
      <c r="A96" s="74"/>
      <c r="B96" s="74"/>
      <c r="C96" s="74"/>
      <c r="D96" s="74"/>
      <c r="E96" s="69"/>
      <c r="F96" s="75"/>
      <c r="G96" s="76"/>
      <c r="H96" s="76"/>
      <c r="I96" s="76"/>
      <c r="J96" s="76"/>
      <c r="K96" s="76"/>
      <c r="L96" s="76"/>
      <c r="M96" s="77"/>
      <c r="N96" s="77"/>
      <c r="O96" s="78"/>
      <c r="P96" s="78"/>
      <c r="Q96" s="76"/>
    </row>
    <row r="97" spans="1:17" ht="19.899999999999999" customHeight="1" x14ac:dyDescent="0.25">
      <c r="A97" s="74"/>
      <c r="B97" s="74"/>
      <c r="C97" s="74"/>
      <c r="D97" s="74"/>
      <c r="E97" s="69"/>
      <c r="F97" s="75"/>
      <c r="G97" s="76"/>
      <c r="H97" s="76"/>
      <c r="I97" s="76"/>
      <c r="J97" s="76"/>
      <c r="K97" s="76"/>
      <c r="L97" s="76"/>
      <c r="M97" s="77"/>
      <c r="N97" s="77"/>
      <c r="O97" s="78"/>
      <c r="P97" s="78"/>
      <c r="Q97" s="76"/>
    </row>
    <row r="98" spans="1:17" ht="19.899999999999999" customHeight="1" x14ac:dyDescent="0.25">
      <c r="A98" s="74"/>
      <c r="B98" s="74"/>
      <c r="C98" s="74"/>
      <c r="D98" s="74"/>
      <c r="E98" s="69"/>
      <c r="F98" s="75"/>
      <c r="G98" s="76"/>
      <c r="H98" s="76"/>
      <c r="I98" s="76"/>
      <c r="J98" s="76"/>
      <c r="K98" s="76"/>
      <c r="L98" s="76"/>
      <c r="M98" s="77"/>
      <c r="N98" s="77"/>
      <c r="O98" s="78"/>
      <c r="P98" s="78"/>
      <c r="Q98" s="76"/>
    </row>
    <row r="99" spans="1:17" ht="19.899999999999999" customHeight="1" x14ac:dyDescent="0.25">
      <c r="A99" s="74"/>
      <c r="B99" s="74"/>
      <c r="C99" s="74"/>
      <c r="D99" s="74"/>
      <c r="E99" s="69"/>
      <c r="F99" s="75"/>
      <c r="G99" s="76"/>
      <c r="H99" s="76"/>
      <c r="I99" s="76"/>
      <c r="J99" s="76"/>
      <c r="K99" s="76"/>
      <c r="L99" s="76"/>
      <c r="M99" s="77"/>
      <c r="N99" s="77"/>
      <c r="O99" s="78"/>
      <c r="P99" s="78"/>
      <c r="Q99" s="76"/>
    </row>
    <row r="100" spans="1:17" ht="19.899999999999999" customHeight="1" x14ac:dyDescent="0.25">
      <c r="A100" s="74"/>
      <c r="B100" s="74"/>
      <c r="C100" s="74"/>
      <c r="D100" s="74"/>
      <c r="E100" s="69"/>
      <c r="F100" s="75"/>
      <c r="G100" s="76"/>
      <c r="H100" s="76"/>
      <c r="I100" s="76"/>
      <c r="J100" s="76"/>
      <c r="K100" s="76"/>
      <c r="L100" s="76"/>
      <c r="M100" s="77"/>
      <c r="N100" s="77"/>
      <c r="O100" s="78"/>
      <c r="P100" s="78"/>
      <c r="Q100" s="76"/>
    </row>
    <row r="101" spans="1:17" ht="19.899999999999999" customHeight="1" x14ac:dyDescent="0.25">
      <c r="A101" s="74"/>
      <c r="B101" s="74"/>
      <c r="C101" s="74"/>
      <c r="D101" s="74"/>
      <c r="E101" s="69"/>
      <c r="F101" s="75"/>
      <c r="G101" s="76"/>
      <c r="H101" s="76"/>
      <c r="I101" s="76"/>
      <c r="J101" s="76"/>
      <c r="K101" s="76"/>
      <c r="L101" s="76"/>
      <c r="M101" s="77"/>
      <c r="N101" s="77"/>
      <c r="O101" s="78"/>
      <c r="P101" s="78"/>
      <c r="Q101" s="76"/>
    </row>
    <row r="102" spans="1:17" ht="19.899999999999999" customHeight="1" x14ac:dyDescent="0.25">
      <c r="A102" s="74"/>
      <c r="B102" s="74"/>
      <c r="C102" s="74"/>
      <c r="D102" s="74"/>
      <c r="E102" s="69"/>
      <c r="F102" s="75"/>
      <c r="G102" s="76"/>
      <c r="H102" s="76"/>
      <c r="I102" s="76"/>
      <c r="J102" s="76"/>
      <c r="K102" s="76"/>
      <c r="L102" s="76"/>
      <c r="M102" s="77"/>
      <c r="N102" s="77"/>
      <c r="O102" s="78"/>
      <c r="P102" s="78"/>
      <c r="Q102" s="76"/>
    </row>
    <row r="103" spans="1:17" ht="19.899999999999999" customHeight="1" x14ac:dyDescent="0.25">
      <c r="A103" s="74"/>
      <c r="B103" s="74"/>
      <c r="C103" s="74"/>
      <c r="D103" s="74"/>
      <c r="E103" s="69"/>
      <c r="F103" s="75"/>
      <c r="G103" s="76"/>
      <c r="H103" s="76"/>
      <c r="I103" s="76"/>
      <c r="J103" s="76"/>
      <c r="K103" s="76"/>
      <c r="L103" s="76"/>
      <c r="M103" s="77"/>
      <c r="N103" s="77"/>
      <c r="O103" s="78"/>
      <c r="P103" s="78"/>
      <c r="Q103" s="76"/>
    </row>
    <row r="104" spans="1:17" ht="19.899999999999999" customHeight="1" x14ac:dyDescent="0.25">
      <c r="A104" s="74"/>
      <c r="B104" s="74"/>
      <c r="C104" s="74"/>
      <c r="D104" s="74"/>
      <c r="E104" s="69"/>
      <c r="F104" s="75"/>
      <c r="G104" s="76"/>
      <c r="H104" s="76"/>
      <c r="I104" s="76"/>
      <c r="J104" s="76"/>
      <c r="K104" s="76"/>
      <c r="L104" s="76"/>
      <c r="M104" s="77"/>
      <c r="N104" s="77"/>
      <c r="O104" s="78"/>
      <c r="P104" s="78"/>
      <c r="Q104" s="76"/>
    </row>
    <row r="105" spans="1:17" ht="19.899999999999999" customHeight="1" x14ac:dyDescent="0.25">
      <c r="A105" s="74"/>
      <c r="B105" s="74"/>
      <c r="C105" s="74"/>
      <c r="D105" s="74"/>
      <c r="E105" s="69"/>
      <c r="F105" s="75"/>
      <c r="G105" s="76"/>
      <c r="H105" s="76"/>
      <c r="I105" s="76"/>
      <c r="J105" s="76"/>
      <c r="K105" s="76"/>
      <c r="L105" s="76"/>
      <c r="M105" s="77"/>
      <c r="N105" s="77"/>
      <c r="O105" s="78"/>
      <c r="P105" s="78"/>
      <c r="Q105" s="76"/>
    </row>
    <row r="106" spans="1:17" ht="19.899999999999999" customHeight="1" x14ac:dyDescent="0.25">
      <c r="A106" s="74"/>
      <c r="B106" s="74"/>
      <c r="C106" s="74"/>
      <c r="D106" s="74"/>
      <c r="E106" s="69"/>
      <c r="F106" s="75"/>
      <c r="G106" s="76"/>
      <c r="H106" s="76"/>
      <c r="I106" s="76"/>
      <c r="J106" s="76"/>
      <c r="K106" s="76"/>
      <c r="L106" s="76"/>
      <c r="M106" s="77"/>
      <c r="N106" s="77"/>
      <c r="O106" s="78"/>
      <c r="P106" s="78"/>
      <c r="Q106" s="76"/>
    </row>
    <row r="107" spans="1:17" ht="19.899999999999999" customHeight="1" x14ac:dyDescent="0.25">
      <c r="A107" s="74"/>
      <c r="B107" s="74"/>
      <c r="C107" s="74"/>
      <c r="D107" s="74"/>
      <c r="E107" s="69"/>
      <c r="F107" s="75"/>
      <c r="G107" s="76"/>
      <c r="H107" s="76"/>
      <c r="I107" s="76"/>
      <c r="J107" s="76"/>
      <c r="K107" s="76"/>
      <c r="L107" s="76"/>
      <c r="M107" s="77"/>
      <c r="N107" s="77"/>
      <c r="O107" s="78"/>
      <c r="P107" s="78"/>
      <c r="Q107" s="76"/>
    </row>
    <row r="108" spans="1:17" ht="19.899999999999999" customHeight="1" x14ac:dyDescent="0.25">
      <c r="A108" s="74"/>
      <c r="B108" s="74"/>
      <c r="C108" s="74"/>
      <c r="D108" s="74"/>
      <c r="E108" s="69"/>
      <c r="F108" s="75"/>
      <c r="G108" s="76"/>
      <c r="H108" s="76"/>
      <c r="I108" s="76"/>
      <c r="J108" s="76"/>
      <c r="K108" s="76"/>
      <c r="L108" s="76"/>
      <c r="M108" s="77"/>
      <c r="N108" s="77"/>
      <c r="O108" s="78"/>
      <c r="P108" s="78"/>
      <c r="Q108" s="76"/>
    </row>
    <row r="109" spans="1:17" ht="19.899999999999999" customHeight="1" x14ac:dyDescent="0.25">
      <c r="A109" s="74"/>
      <c r="B109" s="74"/>
      <c r="C109" s="74"/>
      <c r="D109" s="74"/>
      <c r="E109" s="69"/>
      <c r="F109" s="75"/>
      <c r="G109" s="76"/>
      <c r="H109" s="76"/>
      <c r="I109" s="76"/>
      <c r="J109" s="76"/>
      <c r="K109" s="76"/>
      <c r="L109" s="76"/>
      <c r="M109" s="77"/>
      <c r="N109" s="77"/>
      <c r="O109" s="78"/>
      <c r="P109" s="78"/>
      <c r="Q109" s="76"/>
    </row>
    <row r="110" spans="1:17" ht="19.899999999999999" customHeight="1" x14ac:dyDescent="0.25">
      <c r="A110" s="74"/>
      <c r="B110" s="74"/>
      <c r="C110" s="74"/>
      <c r="D110" s="74"/>
      <c r="E110" s="69"/>
      <c r="F110" s="75"/>
      <c r="G110" s="76"/>
      <c r="H110" s="76"/>
      <c r="I110" s="76"/>
      <c r="J110" s="76"/>
      <c r="K110" s="76"/>
      <c r="L110" s="76"/>
      <c r="M110" s="77"/>
      <c r="N110" s="77"/>
      <c r="O110" s="78"/>
      <c r="P110" s="78"/>
      <c r="Q110" s="76"/>
    </row>
    <row r="111" spans="1:17" ht="19.899999999999999" customHeight="1" x14ac:dyDescent="0.25">
      <c r="A111" s="74"/>
      <c r="B111" s="74"/>
      <c r="C111" s="74"/>
      <c r="D111" s="74"/>
      <c r="E111" s="69"/>
      <c r="F111" s="75"/>
      <c r="G111" s="76"/>
      <c r="H111" s="76"/>
      <c r="I111" s="76"/>
      <c r="J111" s="76"/>
      <c r="K111" s="76"/>
      <c r="L111" s="76"/>
      <c r="M111" s="77"/>
      <c r="N111" s="77"/>
      <c r="O111" s="78"/>
      <c r="P111" s="78"/>
      <c r="Q111" s="76"/>
    </row>
    <row r="112" spans="1:17" ht="19.899999999999999" customHeight="1" x14ac:dyDescent="0.25">
      <c r="A112" s="74"/>
      <c r="B112" s="74"/>
      <c r="C112" s="74"/>
      <c r="D112" s="74"/>
      <c r="E112" s="69"/>
      <c r="F112" s="75"/>
      <c r="G112" s="76"/>
      <c r="H112" s="76"/>
      <c r="I112" s="76"/>
      <c r="J112" s="76"/>
      <c r="K112" s="76"/>
      <c r="L112" s="76"/>
      <c r="M112" s="77"/>
      <c r="N112" s="77"/>
      <c r="O112" s="78"/>
      <c r="P112" s="78"/>
      <c r="Q112" s="76"/>
    </row>
    <row r="113" spans="1:17" ht="19.899999999999999" customHeight="1" x14ac:dyDescent="0.25">
      <c r="A113" s="74"/>
      <c r="B113" s="74"/>
      <c r="C113" s="74"/>
      <c r="D113" s="74"/>
      <c r="E113" s="69"/>
      <c r="F113" s="75"/>
      <c r="G113" s="76"/>
      <c r="H113" s="76"/>
      <c r="I113" s="76"/>
      <c r="J113" s="76"/>
      <c r="K113" s="76"/>
      <c r="L113" s="76"/>
      <c r="M113" s="77"/>
      <c r="N113" s="77"/>
      <c r="O113" s="78"/>
      <c r="P113" s="78"/>
      <c r="Q113" s="76"/>
    </row>
    <row r="114" spans="1:17" ht="19.899999999999999" customHeight="1" x14ac:dyDescent="0.25">
      <c r="A114" s="74"/>
      <c r="B114" s="74"/>
      <c r="C114" s="74"/>
      <c r="D114" s="74"/>
      <c r="E114" s="69"/>
      <c r="F114" s="75"/>
      <c r="G114" s="76"/>
      <c r="H114" s="76"/>
      <c r="I114" s="76"/>
      <c r="J114" s="76"/>
      <c r="K114" s="76"/>
      <c r="L114" s="76"/>
      <c r="M114" s="77"/>
      <c r="N114" s="77"/>
      <c r="O114" s="78"/>
      <c r="P114" s="78"/>
      <c r="Q114" s="76"/>
    </row>
    <row r="115" spans="1:17" ht="19.899999999999999" customHeight="1" x14ac:dyDescent="0.25">
      <c r="A115" s="74"/>
      <c r="B115" s="74"/>
      <c r="C115" s="74"/>
      <c r="D115" s="74"/>
      <c r="E115" s="69"/>
      <c r="F115" s="75"/>
      <c r="G115" s="76"/>
      <c r="H115" s="76"/>
      <c r="I115" s="76"/>
      <c r="J115" s="76"/>
      <c r="K115" s="76"/>
      <c r="L115" s="76"/>
      <c r="M115" s="77"/>
      <c r="N115" s="77"/>
      <c r="O115" s="78"/>
      <c r="P115" s="78"/>
      <c r="Q115" s="76"/>
    </row>
    <row r="116" spans="1:17" ht="19.899999999999999" customHeight="1" x14ac:dyDescent="0.25">
      <c r="A116" s="74"/>
      <c r="B116" s="74"/>
      <c r="C116" s="74"/>
      <c r="D116" s="74"/>
      <c r="E116" s="69"/>
      <c r="F116" s="75"/>
      <c r="G116" s="76"/>
      <c r="H116" s="76"/>
      <c r="I116" s="76"/>
      <c r="J116" s="76"/>
      <c r="K116" s="76"/>
      <c r="L116" s="76"/>
      <c r="M116" s="77"/>
      <c r="N116" s="77"/>
      <c r="O116" s="78"/>
      <c r="P116" s="78"/>
      <c r="Q116" s="76"/>
    </row>
    <row r="117" spans="1:17" ht="19.899999999999999" customHeight="1" x14ac:dyDescent="0.25">
      <c r="A117" s="74"/>
      <c r="B117" s="74"/>
      <c r="C117" s="74"/>
      <c r="D117" s="74"/>
      <c r="E117" s="69"/>
      <c r="F117" s="75"/>
      <c r="G117" s="76"/>
      <c r="H117" s="76"/>
      <c r="I117" s="76"/>
      <c r="J117" s="76"/>
      <c r="K117" s="76"/>
      <c r="L117" s="76"/>
      <c r="M117" s="77"/>
      <c r="N117" s="77"/>
      <c r="O117" s="78"/>
      <c r="P117" s="78"/>
      <c r="Q117" s="76"/>
    </row>
    <row r="118" spans="1:17" ht="19.899999999999999" customHeight="1" x14ac:dyDescent="0.25">
      <c r="A118" s="74"/>
      <c r="B118" s="74"/>
      <c r="C118" s="74"/>
      <c r="D118" s="74"/>
      <c r="E118" s="69"/>
      <c r="F118" s="75"/>
      <c r="G118" s="76"/>
      <c r="H118" s="76"/>
      <c r="I118" s="76"/>
      <c r="J118" s="76"/>
      <c r="K118" s="76"/>
      <c r="L118" s="76"/>
      <c r="M118" s="77"/>
      <c r="N118" s="77"/>
      <c r="O118" s="78"/>
      <c r="P118" s="78"/>
      <c r="Q118" s="76"/>
    </row>
    <row r="119" spans="1:17" ht="19.899999999999999" customHeight="1" x14ac:dyDescent="0.25">
      <c r="A119" s="74"/>
      <c r="B119" s="74"/>
      <c r="C119" s="74"/>
      <c r="D119" s="74"/>
      <c r="E119" s="69"/>
      <c r="F119" s="75"/>
      <c r="G119" s="76"/>
      <c r="H119" s="76"/>
      <c r="I119" s="76"/>
      <c r="J119" s="76"/>
      <c r="K119" s="76"/>
      <c r="L119" s="76"/>
      <c r="M119" s="77"/>
      <c r="N119" s="77"/>
      <c r="O119" s="78"/>
      <c r="P119" s="78"/>
      <c r="Q119" s="76"/>
    </row>
    <row r="120" spans="1:17" ht="19.899999999999999" customHeight="1" x14ac:dyDescent="0.25">
      <c r="A120" s="74"/>
      <c r="B120" s="74"/>
      <c r="C120" s="74"/>
      <c r="D120" s="74"/>
      <c r="E120" s="69"/>
      <c r="F120" s="75"/>
      <c r="G120" s="76"/>
      <c r="H120" s="76"/>
      <c r="I120" s="76"/>
      <c r="J120" s="76"/>
      <c r="K120" s="76"/>
      <c r="L120" s="76"/>
      <c r="M120" s="77"/>
      <c r="N120" s="77"/>
      <c r="O120" s="78"/>
      <c r="P120" s="78"/>
      <c r="Q120" s="76"/>
    </row>
    <row r="121" spans="1:17" ht="19.899999999999999" customHeight="1" x14ac:dyDescent="0.25">
      <c r="A121" s="74"/>
      <c r="B121" s="74"/>
      <c r="C121" s="74"/>
      <c r="D121" s="74"/>
      <c r="E121" s="69"/>
      <c r="F121" s="75"/>
      <c r="G121" s="76"/>
      <c r="H121" s="76"/>
      <c r="I121" s="76"/>
      <c r="J121" s="76"/>
      <c r="K121" s="76"/>
      <c r="L121" s="76"/>
      <c r="M121" s="77"/>
      <c r="N121" s="77"/>
      <c r="O121" s="78"/>
      <c r="P121" s="78"/>
      <c r="Q121" s="76"/>
    </row>
    <row r="122" spans="1:17" ht="19.899999999999999" customHeight="1" x14ac:dyDescent="0.25">
      <c r="A122" s="74"/>
      <c r="B122" s="74"/>
      <c r="C122" s="74"/>
      <c r="D122" s="74"/>
      <c r="E122" s="69"/>
      <c r="F122" s="75"/>
      <c r="G122" s="76"/>
      <c r="H122" s="76"/>
      <c r="I122" s="76"/>
      <c r="J122" s="76"/>
      <c r="K122" s="76"/>
      <c r="L122" s="76"/>
      <c r="M122" s="77"/>
      <c r="N122" s="77"/>
      <c r="O122" s="78"/>
      <c r="P122" s="78"/>
      <c r="Q122" s="76"/>
    </row>
    <row r="123" spans="1:17" ht="19.899999999999999" customHeight="1" x14ac:dyDescent="0.25">
      <c r="A123" s="74"/>
      <c r="B123" s="74"/>
      <c r="C123" s="74"/>
      <c r="D123" s="74"/>
      <c r="E123" s="69"/>
      <c r="F123" s="75"/>
      <c r="G123" s="76"/>
      <c r="H123" s="76"/>
      <c r="I123" s="76"/>
      <c r="J123" s="76"/>
      <c r="K123" s="76"/>
      <c r="L123" s="76"/>
      <c r="M123" s="77"/>
      <c r="N123" s="77"/>
      <c r="O123" s="78"/>
      <c r="P123" s="78"/>
      <c r="Q123" s="76"/>
    </row>
    <row r="124" spans="1:17" ht="19.899999999999999" customHeight="1" x14ac:dyDescent="0.25">
      <c r="A124" s="74"/>
      <c r="B124" s="74"/>
      <c r="C124" s="74"/>
      <c r="D124" s="74"/>
      <c r="E124" s="69"/>
      <c r="F124" s="75"/>
      <c r="G124" s="76"/>
      <c r="H124" s="76"/>
      <c r="I124" s="76"/>
      <c r="J124" s="76"/>
      <c r="K124" s="76"/>
      <c r="L124" s="76"/>
      <c r="M124" s="77"/>
      <c r="N124" s="77"/>
      <c r="O124" s="78"/>
      <c r="P124" s="78"/>
      <c r="Q124" s="76"/>
    </row>
    <row r="125" spans="1:17" ht="19.899999999999999" customHeight="1" x14ac:dyDescent="0.25">
      <c r="A125" s="74"/>
      <c r="B125" s="74"/>
      <c r="C125" s="74"/>
      <c r="D125" s="74"/>
      <c r="E125" s="69"/>
      <c r="F125" s="75"/>
      <c r="G125" s="76"/>
      <c r="H125" s="76"/>
      <c r="I125" s="76"/>
      <c r="J125" s="76"/>
      <c r="K125" s="76"/>
      <c r="L125" s="76"/>
      <c r="M125" s="77"/>
      <c r="N125" s="77"/>
      <c r="O125" s="78"/>
      <c r="P125" s="78"/>
      <c r="Q125" s="76"/>
    </row>
    <row r="126" spans="1:17" ht="19.899999999999999" customHeight="1" x14ac:dyDescent="0.25">
      <c r="A126" s="74"/>
      <c r="B126" s="74"/>
      <c r="C126" s="74"/>
      <c r="D126" s="74"/>
      <c r="E126" s="69"/>
      <c r="F126" s="75"/>
      <c r="G126" s="76"/>
      <c r="H126" s="76"/>
      <c r="I126" s="76"/>
      <c r="J126" s="76"/>
      <c r="K126" s="76"/>
      <c r="L126" s="76"/>
      <c r="M126" s="77"/>
      <c r="N126" s="77"/>
      <c r="O126" s="78"/>
      <c r="P126" s="78"/>
      <c r="Q126" s="76"/>
    </row>
    <row r="127" spans="1:17" ht="19.899999999999999" customHeight="1" x14ac:dyDescent="0.25">
      <c r="A127" s="74"/>
      <c r="B127" s="74"/>
      <c r="C127" s="74"/>
      <c r="D127" s="74"/>
      <c r="E127" s="69"/>
      <c r="F127" s="75"/>
      <c r="G127" s="76"/>
      <c r="H127" s="76"/>
      <c r="I127" s="76"/>
      <c r="J127" s="76"/>
      <c r="K127" s="76"/>
      <c r="L127" s="76"/>
      <c r="M127" s="77"/>
      <c r="N127" s="77"/>
      <c r="O127" s="78"/>
      <c r="P127" s="78"/>
      <c r="Q127" s="76"/>
    </row>
    <row r="128" spans="1:17" ht="19.899999999999999" customHeight="1" x14ac:dyDescent="0.25">
      <c r="A128" s="74"/>
      <c r="B128" s="74"/>
      <c r="C128" s="74"/>
      <c r="D128" s="74"/>
      <c r="E128" s="69"/>
      <c r="F128" s="75"/>
      <c r="G128" s="76"/>
      <c r="H128" s="76"/>
      <c r="I128" s="76"/>
      <c r="J128" s="76"/>
      <c r="K128" s="76"/>
      <c r="L128" s="76"/>
      <c r="M128" s="77"/>
      <c r="N128" s="77"/>
      <c r="O128" s="78"/>
      <c r="P128" s="78"/>
      <c r="Q128" s="76"/>
    </row>
    <row r="129" spans="1:17" ht="19.899999999999999" customHeight="1" x14ac:dyDescent="0.25">
      <c r="A129" s="74"/>
      <c r="B129" s="74"/>
      <c r="C129" s="74"/>
      <c r="D129" s="74"/>
      <c r="E129" s="69"/>
      <c r="F129" s="75"/>
      <c r="G129" s="76"/>
      <c r="H129" s="76"/>
      <c r="I129" s="76"/>
      <c r="J129" s="76"/>
      <c r="K129" s="76"/>
      <c r="L129" s="76"/>
      <c r="M129" s="77"/>
      <c r="N129" s="77"/>
      <c r="O129" s="78"/>
      <c r="P129" s="78"/>
      <c r="Q129" s="76"/>
    </row>
    <row r="130" spans="1:17" ht="19.899999999999999" customHeight="1" x14ac:dyDescent="0.25">
      <c r="A130" s="74"/>
      <c r="B130" s="74"/>
      <c r="C130" s="74"/>
      <c r="D130" s="74"/>
      <c r="E130" s="69"/>
      <c r="F130" s="75"/>
      <c r="G130" s="76"/>
      <c r="H130" s="76"/>
      <c r="I130" s="76"/>
      <c r="J130" s="76"/>
      <c r="K130" s="76"/>
      <c r="L130" s="76"/>
      <c r="M130" s="77"/>
      <c r="N130" s="77"/>
      <c r="O130" s="78"/>
      <c r="P130" s="78"/>
      <c r="Q130" s="76"/>
    </row>
    <row r="131" spans="1:17" ht="19.899999999999999" customHeight="1" x14ac:dyDescent="0.25">
      <c r="A131" s="74"/>
      <c r="B131" s="74"/>
      <c r="C131" s="74"/>
      <c r="D131" s="74"/>
      <c r="E131" s="69"/>
      <c r="F131" s="75"/>
      <c r="G131" s="76"/>
      <c r="H131" s="76"/>
      <c r="I131" s="76"/>
      <c r="J131" s="76"/>
      <c r="K131" s="76"/>
      <c r="L131" s="76"/>
      <c r="M131" s="77"/>
      <c r="N131" s="77"/>
      <c r="O131" s="78"/>
      <c r="P131" s="78"/>
      <c r="Q131" s="76"/>
    </row>
    <row r="132" spans="1:17" ht="19.899999999999999" customHeight="1" x14ac:dyDescent="0.25">
      <c r="A132" s="74"/>
      <c r="B132" s="74"/>
      <c r="C132" s="74"/>
      <c r="D132" s="74"/>
      <c r="E132" s="69"/>
      <c r="F132" s="75"/>
      <c r="G132" s="76"/>
      <c r="H132" s="76"/>
      <c r="I132" s="76"/>
      <c r="J132" s="76"/>
      <c r="K132" s="76"/>
      <c r="L132" s="76"/>
      <c r="M132" s="77"/>
      <c r="N132" s="77"/>
      <c r="O132" s="78"/>
      <c r="P132" s="78"/>
      <c r="Q132" s="76"/>
    </row>
    <row r="133" spans="1:17" ht="19.899999999999999" customHeight="1" x14ac:dyDescent="0.25">
      <c r="A133" s="74"/>
      <c r="B133" s="74"/>
      <c r="C133" s="74"/>
      <c r="D133" s="74"/>
      <c r="E133" s="69"/>
      <c r="F133" s="75"/>
      <c r="G133" s="76"/>
      <c r="H133" s="76"/>
      <c r="I133" s="76"/>
      <c r="J133" s="76"/>
      <c r="K133" s="76"/>
      <c r="L133" s="76"/>
      <c r="M133" s="77"/>
      <c r="N133" s="77"/>
      <c r="O133" s="78"/>
      <c r="P133" s="78"/>
      <c r="Q133" s="76"/>
    </row>
    <row r="134" spans="1:17" ht="19.899999999999999" customHeight="1" x14ac:dyDescent="0.25">
      <c r="A134" s="74"/>
      <c r="B134" s="74"/>
      <c r="C134" s="74"/>
      <c r="D134" s="74"/>
      <c r="E134" s="69"/>
      <c r="F134" s="75"/>
      <c r="G134" s="76"/>
      <c r="H134" s="76"/>
      <c r="I134" s="76"/>
      <c r="J134" s="76"/>
      <c r="K134" s="76"/>
      <c r="L134" s="76"/>
      <c r="M134" s="77"/>
      <c r="N134" s="77"/>
      <c r="O134" s="78"/>
      <c r="P134" s="78"/>
      <c r="Q134" s="76"/>
    </row>
    <row r="135" spans="1:17" ht="19.899999999999999" customHeight="1" x14ac:dyDescent="0.25">
      <c r="A135" s="74"/>
      <c r="B135" s="74"/>
      <c r="C135" s="74"/>
      <c r="D135" s="74"/>
      <c r="E135" s="69"/>
      <c r="F135" s="75"/>
      <c r="G135" s="76"/>
      <c r="H135" s="76"/>
      <c r="I135" s="76"/>
      <c r="J135" s="76"/>
      <c r="K135" s="76"/>
      <c r="L135" s="76"/>
      <c r="M135" s="77"/>
      <c r="N135" s="77"/>
      <c r="O135" s="78"/>
      <c r="P135" s="78"/>
      <c r="Q135" s="76"/>
    </row>
    <row r="136" spans="1:17" ht="19.899999999999999" customHeight="1" x14ac:dyDescent="0.25">
      <c r="A136" s="74"/>
      <c r="B136" s="74"/>
      <c r="C136" s="74"/>
      <c r="D136" s="74"/>
      <c r="E136" s="69"/>
      <c r="F136" s="75"/>
      <c r="G136" s="76"/>
      <c r="H136" s="76"/>
      <c r="I136" s="76"/>
      <c r="J136" s="76"/>
      <c r="K136" s="76"/>
      <c r="L136" s="76"/>
      <c r="M136" s="77"/>
      <c r="N136" s="77"/>
      <c r="O136" s="78"/>
      <c r="P136" s="78"/>
      <c r="Q136" s="76"/>
    </row>
    <row r="137" spans="1:17" ht="19.899999999999999" customHeight="1" x14ac:dyDescent="0.25">
      <c r="A137" s="74"/>
      <c r="B137" s="74"/>
      <c r="C137" s="74"/>
      <c r="D137" s="74"/>
      <c r="E137" s="69"/>
      <c r="F137" s="75"/>
      <c r="G137" s="76"/>
      <c r="H137" s="76"/>
      <c r="I137" s="76"/>
      <c r="J137" s="76"/>
      <c r="K137" s="76"/>
      <c r="L137" s="76"/>
      <c r="M137" s="77"/>
      <c r="N137" s="77"/>
      <c r="O137" s="78"/>
      <c r="P137" s="78"/>
      <c r="Q137" s="76"/>
    </row>
    <row r="138" spans="1:17" ht="19.899999999999999" customHeight="1" x14ac:dyDescent="0.25">
      <c r="A138" s="74"/>
      <c r="B138" s="74"/>
      <c r="C138" s="74"/>
      <c r="D138" s="74"/>
      <c r="E138" s="69"/>
      <c r="F138" s="75"/>
      <c r="G138" s="76"/>
      <c r="H138" s="76"/>
      <c r="I138" s="76"/>
      <c r="J138" s="76"/>
      <c r="K138" s="76"/>
      <c r="L138" s="76"/>
      <c r="M138" s="77"/>
      <c r="N138" s="77"/>
      <c r="O138" s="78"/>
      <c r="P138" s="78"/>
      <c r="Q138" s="76"/>
    </row>
    <row r="139" spans="1:17" ht="19.899999999999999" customHeight="1" x14ac:dyDescent="0.25">
      <c r="A139" s="74"/>
      <c r="B139" s="74"/>
      <c r="C139" s="74"/>
      <c r="D139" s="74"/>
      <c r="E139" s="69"/>
      <c r="F139" s="75"/>
      <c r="G139" s="76"/>
      <c r="H139" s="76"/>
      <c r="I139" s="76"/>
      <c r="J139" s="76"/>
      <c r="K139" s="76"/>
      <c r="L139" s="76"/>
      <c r="M139" s="77"/>
      <c r="N139" s="77"/>
      <c r="O139" s="78"/>
      <c r="P139" s="78"/>
      <c r="Q139" s="76"/>
    </row>
    <row r="140" spans="1:17" ht="19.899999999999999" customHeight="1" x14ac:dyDescent="0.25">
      <c r="A140" s="74"/>
      <c r="B140" s="74"/>
      <c r="C140" s="74"/>
      <c r="D140" s="74"/>
      <c r="E140" s="69"/>
      <c r="F140" s="75"/>
      <c r="G140" s="76"/>
      <c r="H140" s="76"/>
      <c r="I140" s="76"/>
      <c r="J140" s="76"/>
      <c r="K140" s="76"/>
      <c r="L140" s="76"/>
      <c r="M140" s="77"/>
      <c r="N140" s="77"/>
      <c r="O140" s="78"/>
      <c r="P140" s="78"/>
      <c r="Q140" s="76"/>
    </row>
    <row r="141" spans="1:17" ht="19.899999999999999" customHeight="1" x14ac:dyDescent="0.25">
      <c r="A141" s="74"/>
      <c r="B141" s="74"/>
      <c r="C141" s="74"/>
      <c r="D141" s="74"/>
      <c r="E141" s="69"/>
      <c r="F141" s="75"/>
      <c r="G141" s="76"/>
      <c r="H141" s="76"/>
      <c r="I141" s="76"/>
      <c r="J141" s="76"/>
      <c r="K141" s="76"/>
      <c r="L141" s="76"/>
      <c r="M141" s="77"/>
      <c r="N141" s="77"/>
      <c r="O141" s="78"/>
      <c r="P141" s="78"/>
      <c r="Q141" s="76"/>
    </row>
    <row r="142" spans="1:17" ht="19.899999999999999" customHeight="1" x14ac:dyDescent="0.25">
      <c r="A142" s="74"/>
      <c r="B142" s="74"/>
      <c r="C142" s="74"/>
      <c r="D142" s="74"/>
      <c r="E142" s="69"/>
      <c r="F142" s="75"/>
      <c r="G142" s="76"/>
      <c r="H142" s="76"/>
      <c r="I142" s="76"/>
      <c r="J142" s="76"/>
      <c r="K142" s="76"/>
      <c r="L142" s="76"/>
      <c r="M142" s="77"/>
      <c r="N142" s="77"/>
      <c r="O142" s="78"/>
      <c r="P142" s="78"/>
      <c r="Q142" s="76"/>
    </row>
    <row r="143" spans="1:17" ht="19.899999999999999" customHeight="1" x14ac:dyDescent="0.25">
      <c r="A143" s="74"/>
      <c r="B143" s="74"/>
      <c r="C143" s="74"/>
      <c r="D143" s="74"/>
      <c r="E143" s="69"/>
      <c r="F143" s="75"/>
      <c r="G143" s="76"/>
      <c r="H143" s="76"/>
      <c r="I143" s="76"/>
      <c r="J143" s="76"/>
      <c r="K143" s="76"/>
      <c r="L143" s="76"/>
      <c r="M143" s="77"/>
      <c r="N143" s="77"/>
      <c r="O143" s="78"/>
      <c r="P143" s="78"/>
      <c r="Q143" s="76"/>
    </row>
    <row r="144" spans="1:17" ht="19.899999999999999" customHeight="1" x14ac:dyDescent="0.25">
      <c r="A144" s="74"/>
      <c r="B144" s="74"/>
      <c r="C144" s="74"/>
      <c r="D144" s="74"/>
      <c r="E144" s="69"/>
      <c r="F144" s="75"/>
      <c r="G144" s="76"/>
      <c r="H144" s="76"/>
      <c r="I144" s="76"/>
      <c r="J144" s="76"/>
      <c r="K144" s="76"/>
      <c r="L144" s="76"/>
      <c r="M144" s="77"/>
      <c r="N144" s="77"/>
      <c r="O144" s="78"/>
      <c r="P144" s="78"/>
      <c r="Q144" s="76"/>
    </row>
    <row r="145" spans="1:17" ht="19.899999999999999" customHeight="1" x14ac:dyDescent="0.25">
      <c r="A145" s="74"/>
      <c r="B145" s="74"/>
      <c r="C145" s="74"/>
      <c r="D145" s="74"/>
      <c r="E145" s="69"/>
      <c r="F145" s="75"/>
      <c r="G145" s="76"/>
      <c r="H145" s="76"/>
      <c r="I145" s="76"/>
      <c r="J145" s="76"/>
      <c r="K145" s="76"/>
      <c r="L145" s="76"/>
      <c r="M145" s="77"/>
      <c r="N145" s="77"/>
      <c r="O145" s="78"/>
      <c r="P145" s="78"/>
      <c r="Q145" s="76"/>
    </row>
    <row r="146" spans="1:17" ht="19.899999999999999" customHeight="1" x14ac:dyDescent="0.25">
      <c r="A146" s="74"/>
      <c r="B146" s="74"/>
      <c r="C146" s="74"/>
      <c r="D146" s="74"/>
      <c r="E146" s="69"/>
      <c r="F146" s="75"/>
      <c r="G146" s="76"/>
      <c r="H146" s="76"/>
      <c r="I146" s="76"/>
      <c r="J146" s="76"/>
      <c r="K146" s="76"/>
      <c r="L146" s="76"/>
      <c r="M146" s="77"/>
      <c r="N146" s="77"/>
      <c r="O146" s="78"/>
      <c r="P146" s="78"/>
      <c r="Q146" s="76"/>
    </row>
    <row r="147" spans="1:17" ht="19.899999999999999" customHeight="1" x14ac:dyDescent="0.25">
      <c r="A147" s="74"/>
      <c r="B147" s="74"/>
      <c r="C147" s="74"/>
      <c r="D147" s="74"/>
      <c r="E147" s="69"/>
      <c r="F147" s="75"/>
      <c r="G147" s="76"/>
      <c r="H147" s="76"/>
      <c r="I147" s="76"/>
      <c r="J147" s="76"/>
      <c r="K147" s="76"/>
      <c r="L147" s="76"/>
      <c r="M147" s="77"/>
      <c r="N147" s="77"/>
      <c r="O147" s="78"/>
      <c r="P147" s="78"/>
      <c r="Q147" s="76"/>
    </row>
    <row r="148" spans="1:17" ht="19.899999999999999" customHeight="1" x14ac:dyDescent="0.25">
      <c r="A148" s="74"/>
      <c r="B148" s="74"/>
      <c r="C148" s="74"/>
      <c r="D148" s="74"/>
      <c r="E148" s="69"/>
      <c r="F148" s="75"/>
      <c r="G148" s="76"/>
      <c r="H148" s="76"/>
      <c r="I148" s="76"/>
      <c r="J148" s="76"/>
      <c r="K148" s="76"/>
      <c r="L148" s="76"/>
      <c r="M148" s="77"/>
      <c r="N148" s="77"/>
      <c r="O148" s="78"/>
      <c r="P148" s="78"/>
      <c r="Q148" s="76"/>
    </row>
    <row r="149" spans="1:17" ht="19.899999999999999" customHeight="1" x14ac:dyDescent="0.25">
      <c r="A149" s="74"/>
      <c r="B149" s="74"/>
      <c r="C149" s="74"/>
      <c r="D149" s="74"/>
      <c r="E149" s="69"/>
      <c r="F149" s="75"/>
      <c r="G149" s="76"/>
      <c r="H149" s="76"/>
      <c r="I149" s="76"/>
      <c r="J149" s="76"/>
      <c r="K149" s="76"/>
      <c r="L149" s="76"/>
      <c r="M149" s="77"/>
      <c r="N149" s="77"/>
      <c r="O149" s="78"/>
      <c r="P149" s="78"/>
      <c r="Q149" s="76"/>
    </row>
    <row r="150" spans="1:17" ht="19.899999999999999" customHeight="1" x14ac:dyDescent="0.25">
      <c r="A150" s="74"/>
      <c r="B150" s="74"/>
      <c r="C150" s="74"/>
      <c r="D150" s="74"/>
      <c r="E150" s="69"/>
      <c r="F150" s="75"/>
      <c r="G150" s="76"/>
      <c r="H150" s="76"/>
      <c r="I150" s="76"/>
      <c r="J150" s="76"/>
      <c r="K150" s="76"/>
      <c r="L150" s="76"/>
      <c r="M150" s="77"/>
      <c r="N150" s="77"/>
      <c r="O150" s="78"/>
      <c r="P150" s="78"/>
      <c r="Q150" s="76"/>
    </row>
    <row r="151" spans="1:17" ht="19.899999999999999" customHeight="1" x14ac:dyDescent="0.25">
      <c r="A151" s="74"/>
      <c r="B151" s="74"/>
      <c r="C151" s="74"/>
      <c r="D151" s="74"/>
      <c r="E151" s="69"/>
      <c r="F151" s="75"/>
      <c r="G151" s="76"/>
      <c r="H151" s="76"/>
      <c r="I151" s="76"/>
      <c r="J151" s="76"/>
      <c r="K151" s="76"/>
      <c r="L151" s="76"/>
      <c r="M151" s="77"/>
      <c r="N151" s="77"/>
      <c r="O151" s="78"/>
      <c r="P151" s="78"/>
      <c r="Q151" s="76"/>
    </row>
    <row r="152" spans="1:17" ht="19.899999999999999" customHeight="1" x14ac:dyDescent="0.25">
      <c r="A152" s="74"/>
      <c r="B152" s="74"/>
      <c r="C152" s="74"/>
      <c r="D152" s="74"/>
      <c r="E152" s="69"/>
      <c r="F152" s="75"/>
      <c r="G152" s="76"/>
      <c r="H152" s="76"/>
      <c r="I152" s="76"/>
      <c r="J152" s="76"/>
      <c r="K152" s="76"/>
      <c r="L152" s="76"/>
      <c r="M152" s="77"/>
      <c r="N152" s="77"/>
      <c r="O152" s="78"/>
      <c r="P152" s="78"/>
      <c r="Q152" s="76"/>
    </row>
    <row r="153" spans="1:17" ht="19.899999999999999" customHeight="1" x14ac:dyDescent="0.25">
      <c r="A153" s="74"/>
      <c r="B153" s="74"/>
      <c r="C153" s="74"/>
      <c r="D153" s="74"/>
      <c r="E153" s="69"/>
      <c r="F153" s="75"/>
      <c r="G153" s="76"/>
      <c r="H153" s="76"/>
      <c r="I153" s="76"/>
      <c r="J153" s="76"/>
      <c r="K153" s="76"/>
      <c r="L153" s="76"/>
      <c r="M153" s="77"/>
      <c r="N153" s="77"/>
      <c r="O153" s="78"/>
      <c r="P153" s="78"/>
      <c r="Q153" s="76"/>
    </row>
    <row r="154" spans="1:17" ht="19.899999999999999" customHeight="1" x14ac:dyDescent="0.25">
      <c r="A154" s="74"/>
      <c r="B154" s="74"/>
      <c r="C154" s="74"/>
      <c r="D154" s="74"/>
      <c r="E154" s="69"/>
      <c r="F154" s="75"/>
      <c r="G154" s="76"/>
      <c r="H154" s="76"/>
      <c r="I154" s="76"/>
      <c r="J154" s="76"/>
      <c r="K154" s="76"/>
      <c r="L154" s="76"/>
      <c r="M154" s="77"/>
      <c r="N154" s="77"/>
      <c r="O154" s="78"/>
      <c r="P154" s="78"/>
      <c r="Q154" s="76"/>
    </row>
    <row r="155" spans="1:17" ht="19.899999999999999" customHeight="1" x14ac:dyDescent="0.25">
      <c r="A155" s="74"/>
      <c r="B155" s="74"/>
      <c r="C155" s="74"/>
      <c r="D155" s="74"/>
      <c r="E155" s="69"/>
      <c r="F155" s="75"/>
      <c r="G155" s="76"/>
      <c r="H155" s="76"/>
      <c r="I155" s="76"/>
      <c r="J155" s="76"/>
      <c r="K155" s="76"/>
      <c r="L155" s="76"/>
      <c r="M155" s="77"/>
      <c r="N155" s="77"/>
      <c r="O155" s="78"/>
      <c r="P155" s="78"/>
      <c r="Q155" s="76"/>
    </row>
    <row r="156" spans="1:17" ht="19.899999999999999" customHeight="1" x14ac:dyDescent="0.25">
      <c r="A156" s="74"/>
      <c r="B156" s="74"/>
      <c r="C156" s="74"/>
      <c r="D156" s="74"/>
      <c r="E156" s="69"/>
      <c r="F156" s="75"/>
      <c r="G156" s="76"/>
      <c r="H156" s="76"/>
      <c r="I156" s="76"/>
      <c r="J156" s="76"/>
      <c r="K156" s="76"/>
      <c r="L156" s="76"/>
      <c r="M156" s="77"/>
      <c r="N156" s="77"/>
      <c r="O156" s="78"/>
      <c r="P156" s="78"/>
      <c r="Q156" s="76"/>
    </row>
    <row r="157" spans="1:17" ht="19.899999999999999" customHeight="1" x14ac:dyDescent="0.25">
      <c r="A157" s="74"/>
      <c r="B157" s="74"/>
      <c r="C157" s="74"/>
      <c r="D157" s="74"/>
      <c r="E157" s="69"/>
      <c r="F157" s="75"/>
      <c r="G157" s="76"/>
      <c r="H157" s="76"/>
      <c r="I157" s="76"/>
      <c r="J157" s="76"/>
      <c r="K157" s="76"/>
      <c r="L157" s="76"/>
      <c r="M157" s="77"/>
      <c r="N157" s="77"/>
      <c r="O157" s="78"/>
      <c r="P157" s="78"/>
      <c r="Q157" s="76"/>
    </row>
    <row r="158" spans="1:17" ht="19.899999999999999" customHeight="1" x14ac:dyDescent="0.25">
      <c r="A158" s="74"/>
      <c r="B158" s="74"/>
      <c r="C158" s="74"/>
      <c r="D158" s="74"/>
      <c r="E158" s="69"/>
      <c r="F158" s="75"/>
      <c r="G158" s="76"/>
      <c r="H158" s="76"/>
      <c r="I158" s="76"/>
      <c r="J158" s="76"/>
      <c r="K158" s="76"/>
      <c r="L158" s="76"/>
      <c r="M158" s="77"/>
      <c r="N158" s="77"/>
      <c r="O158" s="78"/>
      <c r="P158" s="78"/>
      <c r="Q158" s="76"/>
    </row>
    <row r="159" spans="1:17" ht="19.899999999999999" customHeight="1" x14ac:dyDescent="0.25">
      <c r="A159" s="74"/>
      <c r="B159" s="74"/>
      <c r="C159" s="74"/>
      <c r="D159" s="74"/>
      <c r="E159" s="69"/>
      <c r="F159" s="75"/>
      <c r="G159" s="76"/>
      <c r="H159" s="76"/>
      <c r="I159" s="76"/>
      <c r="J159" s="76"/>
      <c r="K159" s="76"/>
      <c r="L159" s="76"/>
      <c r="M159" s="77"/>
      <c r="N159" s="77"/>
      <c r="O159" s="78"/>
      <c r="P159" s="78"/>
      <c r="Q159" s="76"/>
    </row>
    <row r="160" spans="1:17" ht="19.899999999999999" customHeight="1" x14ac:dyDescent="0.25">
      <c r="A160" s="74"/>
      <c r="B160" s="74"/>
      <c r="C160" s="74"/>
      <c r="D160" s="74"/>
      <c r="E160" s="69"/>
      <c r="F160" s="75"/>
      <c r="G160" s="76"/>
      <c r="H160" s="76"/>
      <c r="I160" s="76"/>
      <c r="J160" s="76"/>
      <c r="K160" s="76"/>
      <c r="L160" s="76"/>
      <c r="M160" s="77"/>
      <c r="N160" s="77"/>
      <c r="O160" s="78"/>
      <c r="P160" s="78"/>
      <c r="Q160" s="76"/>
    </row>
    <row r="161" spans="1:17" ht="19.899999999999999" customHeight="1" x14ac:dyDescent="0.25">
      <c r="A161" s="74"/>
      <c r="B161" s="74"/>
      <c r="C161" s="74"/>
      <c r="D161" s="74"/>
      <c r="E161" s="69"/>
      <c r="F161" s="75"/>
      <c r="G161" s="76"/>
      <c r="H161" s="76"/>
      <c r="I161" s="76"/>
      <c r="J161" s="76"/>
      <c r="K161" s="76"/>
      <c r="L161" s="76"/>
      <c r="M161" s="77"/>
      <c r="N161" s="77"/>
      <c r="O161" s="78"/>
      <c r="P161" s="78"/>
      <c r="Q161" s="76"/>
    </row>
    <row r="162" spans="1:17" ht="19.899999999999999" customHeight="1" x14ac:dyDescent="0.25">
      <c r="A162" s="74"/>
      <c r="B162" s="74"/>
      <c r="C162" s="74"/>
      <c r="D162" s="74"/>
      <c r="E162" s="69"/>
      <c r="F162" s="75"/>
      <c r="G162" s="76"/>
      <c r="H162" s="76"/>
      <c r="I162" s="76"/>
      <c r="J162" s="76"/>
      <c r="K162" s="76"/>
      <c r="L162" s="76"/>
      <c r="M162" s="77"/>
      <c r="N162" s="77"/>
      <c r="O162" s="78"/>
      <c r="P162" s="78"/>
      <c r="Q162" s="76"/>
    </row>
    <row r="163" spans="1:17" ht="19.899999999999999" customHeight="1" x14ac:dyDescent="0.25">
      <c r="A163" s="74"/>
      <c r="B163" s="74"/>
      <c r="C163" s="74"/>
      <c r="D163" s="74"/>
      <c r="E163" s="69"/>
      <c r="F163" s="75"/>
      <c r="G163" s="76"/>
      <c r="H163" s="76"/>
      <c r="I163" s="76"/>
      <c r="J163" s="76"/>
      <c r="K163" s="76"/>
      <c r="L163" s="76"/>
      <c r="M163" s="77"/>
      <c r="N163" s="77"/>
      <c r="O163" s="78"/>
      <c r="P163" s="78"/>
      <c r="Q163" s="76"/>
    </row>
    <row r="164" spans="1:17" ht="19.899999999999999" customHeight="1" x14ac:dyDescent="0.25">
      <c r="A164" s="74"/>
      <c r="B164" s="74"/>
      <c r="C164" s="74"/>
      <c r="D164" s="74"/>
      <c r="E164" s="69"/>
      <c r="F164" s="75"/>
      <c r="G164" s="76"/>
      <c r="H164" s="76"/>
      <c r="I164" s="76"/>
      <c r="J164" s="76"/>
      <c r="K164" s="76"/>
      <c r="L164" s="76"/>
      <c r="M164" s="77"/>
      <c r="N164" s="77"/>
      <c r="O164" s="78"/>
      <c r="P164" s="78"/>
      <c r="Q164" s="76"/>
    </row>
    <row r="165" spans="1:17" ht="19.899999999999999" customHeight="1" x14ac:dyDescent="0.25">
      <c r="A165" s="74"/>
      <c r="B165" s="74"/>
      <c r="C165" s="74"/>
      <c r="D165" s="74"/>
      <c r="E165" s="69"/>
      <c r="F165" s="75"/>
      <c r="G165" s="76"/>
      <c r="H165" s="76"/>
      <c r="I165" s="76"/>
      <c r="J165" s="76"/>
      <c r="K165" s="76"/>
      <c r="L165" s="76"/>
      <c r="M165" s="77"/>
      <c r="N165" s="77"/>
      <c r="O165" s="78"/>
      <c r="P165" s="78"/>
      <c r="Q165" s="76"/>
    </row>
    <row r="166" spans="1:17" ht="19.899999999999999" customHeight="1" x14ac:dyDescent="0.25">
      <c r="A166" s="74"/>
      <c r="B166" s="74"/>
      <c r="C166" s="74"/>
      <c r="D166" s="74"/>
      <c r="E166" s="69"/>
      <c r="F166" s="75"/>
      <c r="G166" s="76"/>
      <c r="H166" s="76"/>
      <c r="I166" s="76"/>
      <c r="J166" s="76"/>
      <c r="K166" s="76"/>
      <c r="L166" s="76"/>
      <c r="M166" s="77"/>
      <c r="N166" s="77"/>
      <c r="O166" s="78"/>
      <c r="P166" s="78"/>
      <c r="Q166" s="76"/>
    </row>
    <row r="167" spans="1:17" ht="19.899999999999999" customHeight="1" x14ac:dyDescent="0.25">
      <c r="A167" s="74"/>
      <c r="B167" s="74"/>
      <c r="C167" s="74"/>
      <c r="D167" s="74"/>
      <c r="E167" s="69"/>
      <c r="F167" s="75"/>
      <c r="G167" s="76"/>
      <c r="H167" s="76"/>
      <c r="I167" s="76"/>
      <c r="J167" s="76"/>
      <c r="K167" s="76"/>
      <c r="L167" s="76"/>
      <c r="M167" s="77"/>
      <c r="N167" s="77"/>
      <c r="O167" s="78"/>
      <c r="P167" s="78"/>
      <c r="Q167" s="76"/>
    </row>
    <row r="168" spans="1:17" ht="19.899999999999999" customHeight="1" x14ac:dyDescent="0.25">
      <c r="A168" s="74"/>
      <c r="B168" s="74"/>
      <c r="C168" s="74"/>
      <c r="D168" s="74"/>
      <c r="E168" s="69"/>
      <c r="F168" s="75"/>
      <c r="G168" s="76"/>
      <c r="H168" s="76"/>
      <c r="I168" s="76"/>
      <c r="J168" s="76"/>
      <c r="K168" s="76"/>
      <c r="L168" s="76"/>
      <c r="M168" s="77"/>
      <c r="N168" s="77"/>
      <c r="O168" s="78"/>
      <c r="P168" s="78"/>
      <c r="Q168" s="76"/>
    </row>
    <row r="169" spans="1:17" ht="19.899999999999999" customHeight="1" x14ac:dyDescent="0.25">
      <c r="A169" s="74"/>
      <c r="B169" s="74"/>
      <c r="C169" s="74"/>
      <c r="D169" s="74"/>
      <c r="E169" s="69"/>
      <c r="F169" s="75"/>
      <c r="G169" s="76"/>
      <c r="H169" s="76"/>
      <c r="I169" s="76"/>
      <c r="J169" s="76"/>
      <c r="K169" s="76"/>
      <c r="L169" s="76"/>
      <c r="M169" s="77"/>
      <c r="N169" s="77"/>
      <c r="O169" s="78"/>
      <c r="P169" s="78"/>
      <c r="Q169" s="76"/>
    </row>
    <row r="170" spans="1:17" ht="19.899999999999999" customHeight="1" x14ac:dyDescent="0.25">
      <c r="A170" s="74"/>
      <c r="B170" s="74"/>
      <c r="C170" s="74"/>
      <c r="D170" s="74"/>
      <c r="E170" s="69"/>
      <c r="F170" s="75"/>
      <c r="G170" s="76"/>
      <c r="H170" s="76"/>
      <c r="I170" s="76"/>
      <c r="J170" s="76"/>
      <c r="K170" s="76"/>
      <c r="L170" s="76"/>
      <c r="M170" s="77"/>
      <c r="N170" s="77"/>
      <c r="O170" s="78"/>
      <c r="P170" s="78"/>
      <c r="Q170" s="76"/>
    </row>
    <row r="171" spans="1:17" ht="19.899999999999999" customHeight="1" x14ac:dyDescent="0.25">
      <c r="A171" s="74"/>
      <c r="B171" s="74"/>
      <c r="C171" s="74"/>
      <c r="D171" s="74"/>
      <c r="E171" s="69"/>
      <c r="F171" s="75"/>
      <c r="G171" s="76"/>
      <c r="H171" s="76"/>
      <c r="I171" s="76"/>
      <c r="J171" s="76"/>
      <c r="K171" s="76"/>
      <c r="L171" s="76"/>
      <c r="M171" s="77"/>
      <c r="N171" s="77"/>
      <c r="O171" s="78"/>
      <c r="P171" s="78"/>
      <c r="Q171" s="76"/>
    </row>
    <row r="172" spans="1:17" ht="19.899999999999999" customHeight="1" x14ac:dyDescent="0.25">
      <c r="A172" s="74"/>
      <c r="B172" s="74"/>
      <c r="C172" s="74"/>
      <c r="D172" s="74"/>
      <c r="E172" s="69"/>
      <c r="F172" s="75"/>
      <c r="G172" s="76"/>
      <c r="H172" s="76"/>
      <c r="I172" s="76"/>
      <c r="J172" s="76"/>
      <c r="K172" s="76"/>
      <c r="L172" s="76"/>
      <c r="M172" s="77"/>
      <c r="N172" s="77"/>
      <c r="O172" s="78"/>
      <c r="P172" s="78"/>
      <c r="Q172" s="76"/>
    </row>
    <row r="173" spans="1:17" ht="19.899999999999999" customHeight="1" x14ac:dyDescent="0.25">
      <c r="A173" s="74"/>
      <c r="B173" s="74"/>
      <c r="C173" s="74"/>
      <c r="D173" s="74"/>
      <c r="E173" s="69"/>
      <c r="F173" s="75"/>
      <c r="G173" s="76"/>
      <c r="H173" s="76"/>
      <c r="I173" s="76"/>
      <c r="J173" s="76"/>
      <c r="K173" s="76"/>
      <c r="L173" s="76"/>
      <c r="M173" s="77"/>
      <c r="N173" s="77"/>
      <c r="O173" s="78"/>
      <c r="P173" s="78"/>
      <c r="Q173" s="76"/>
    </row>
    <row r="174" spans="1:17" ht="19.899999999999999" customHeight="1" x14ac:dyDescent="0.25">
      <c r="A174" s="74"/>
      <c r="B174" s="74"/>
      <c r="C174" s="74"/>
      <c r="D174" s="74"/>
      <c r="E174" s="69"/>
      <c r="F174" s="75"/>
      <c r="G174" s="76"/>
      <c r="H174" s="76"/>
      <c r="I174" s="76"/>
      <c r="J174" s="76"/>
      <c r="K174" s="76"/>
      <c r="L174" s="76"/>
      <c r="M174" s="77"/>
      <c r="N174" s="77"/>
      <c r="O174" s="78"/>
      <c r="P174" s="78"/>
      <c r="Q174" s="76"/>
    </row>
    <row r="175" spans="1:17" ht="19.899999999999999" customHeight="1" x14ac:dyDescent="0.25">
      <c r="A175" s="74"/>
      <c r="B175" s="74"/>
      <c r="C175" s="74"/>
      <c r="D175" s="74"/>
      <c r="E175" s="69"/>
      <c r="F175" s="75"/>
      <c r="G175" s="76"/>
      <c r="H175" s="76"/>
      <c r="I175" s="76"/>
      <c r="J175" s="76"/>
      <c r="K175" s="76"/>
      <c r="L175" s="76"/>
      <c r="M175" s="77"/>
      <c r="N175" s="77"/>
      <c r="O175" s="78"/>
      <c r="P175" s="78"/>
      <c r="Q175" s="76"/>
    </row>
    <row r="176" spans="1:17" ht="19.899999999999999" customHeight="1" x14ac:dyDescent="0.25">
      <c r="A176" s="74"/>
      <c r="B176" s="74"/>
      <c r="C176" s="74"/>
      <c r="D176" s="74"/>
      <c r="E176" s="69"/>
      <c r="F176" s="75"/>
      <c r="G176" s="76"/>
      <c r="H176" s="76"/>
      <c r="I176" s="76"/>
      <c r="J176" s="76"/>
      <c r="K176" s="76"/>
      <c r="L176" s="76"/>
      <c r="M176" s="77"/>
      <c r="N176" s="77"/>
      <c r="O176" s="78"/>
      <c r="P176" s="78"/>
      <c r="Q176" s="76"/>
    </row>
    <row r="177" spans="1:17" ht="19.899999999999999" customHeight="1" x14ac:dyDescent="0.25">
      <c r="A177" s="74"/>
      <c r="B177" s="74"/>
      <c r="C177" s="74"/>
      <c r="D177" s="74"/>
      <c r="E177" s="69"/>
      <c r="F177" s="75"/>
      <c r="G177" s="76"/>
      <c r="H177" s="76"/>
      <c r="I177" s="76"/>
      <c r="J177" s="76"/>
      <c r="K177" s="76"/>
      <c r="L177" s="76"/>
      <c r="M177" s="77"/>
      <c r="N177" s="77"/>
      <c r="O177" s="78"/>
      <c r="P177" s="78"/>
      <c r="Q177" s="76"/>
    </row>
    <row r="178" spans="1:17" ht="19.899999999999999" customHeight="1" x14ac:dyDescent="0.25">
      <c r="A178" s="74"/>
      <c r="B178" s="74"/>
      <c r="C178" s="74"/>
      <c r="D178" s="74"/>
      <c r="E178" s="69"/>
      <c r="F178" s="75"/>
      <c r="G178" s="76"/>
      <c r="H178" s="76"/>
      <c r="I178" s="76"/>
      <c r="J178" s="76"/>
      <c r="K178" s="76"/>
      <c r="L178" s="76"/>
      <c r="M178" s="77"/>
      <c r="N178" s="77"/>
      <c r="O178" s="78"/>
      <c r="P178" s="78"/>
      <c r="Q178" s="76"/>
    </row>
    <row r="179" spans="1:17" ht="19.899999999999999" customHeight="1" x14ac:dyDescent="0.25">
      <c r="A179" s="74"/>
      <c r="B179" s="74"/>
      <c r="C179" s="74"/>
      <c r="D179" s="74"/>
      <c r="E179" s="69"/>
      <c r="F179" s="75"/>
      <c r="G179" s="76"/>
      <c r="H179" s="76"/>
      <c r="I179" s="76"/>
      <c r="J179" s="76"/>
      <c r="K179" s="76"/>
      <c r="L179" s="76"/>
      <c r="M179" s="77"/>
      <c r="N179" s="77"/>
      <c r="O179" s="78"/>
      <c r="P179" s="78"/>
      <c r="Q179" s="76"/>
    </row>
    <row r="180" spans="1:17" ht="19.899999999999999" customHeight="1" x14ac:dyDescent="0.25">
      <c r="A180" s="74"/>
      <c r="B180" s="74"/>
      <c r="C180" s="74"/>
      <c r="D180" s="74"/>
      <c r="E180" s="69"/>
      <c r="F180" s="75"/>
      <c r="G180" s="76"/>
      <c r="H180" s="76"/>
      <c r="I180" s="76"/>
      <c r="J180" s="76"/>
      <c r="K180" s="76"/>
      <c r="L180" s="76"/>
      <c r="M180" s="77"/>
      <c r="N180" s="77"/>
      <c r="O180" s="78"/>
      <c r="P180" s="78"/>
      <c r="Q180" s="76"/>
    </row>
    <row r="181" spans="1:17" ht="19.899999999999999" customHeight="1" x14ac:dyDescent="0.25">
      <c r="A181" s="74"/>
      <c r="B181" s="74"/>
      <c r="C181" s="74"/>
      <c r="D181" s="74"/>
      <c r="E181" s="69"/>
      <c r="F181" s="75"/>
      <c r="G181" s="76"/>
      <c r="H181" s="76"/>
      <c r="I181" s="76"/>
      <c r="J181" s="76"/>
      <c r="K181" s="76"/>
      <c r="L181" s="76"/>
      <c r="M181" s="77"/>
      <c r="N181" s="77"/>
      <c r="O181" s="78"/>
      <c r="P181" s="78"/>
      <c r="Q181" s="76"/>
    </row>
    <row r="182" spans="1:17" ht="19.899999999999999" customHeight="1" x14ac:dyDescent="0.25">
      <c r="A182" s="74"/>
      <c r="B182" s="74"/>
      <c r="C182" s="74"/>
      <c r="D182" s="74"/>
      <c r="E182" s="69"/>
      <c r="F182" s="75"/>
      <c r="G182" s="76"/>
      <c r="H182" s="76"/>
      <c r="I182" s="76"/>
      <c r="J182" s="76"/>
      <c r="K182" s="76"/>
      <c r="L182" s="76"/>
      <c r="M182" s="77"/>
      <c r="N182" s="77"/>
      <c r="O182" s="78"/>
      <c r="P182" s="78"/>
      <c r="Q182" s="76"/>
    </row>
    <row r="183" spans="1:17" ht="19.899999999999999" customHeight="1" x14ac:dyDescent="0.25">
      <c r="A183" s="74"/>
      <c r="B183" s="74"/>
      <c r="C183" s="74"/>
      <c r="D183" s="74"/>
      <c r="E183" s="69"/>
      <c r="F183" s="75"/>
      <c r="G183" s="76"/>
      <c r="H183" s="76"/>
      <c r="I183" s="76"/>
      <c r="J183" s="76"/>
      <c r="K183" s="76"/>
      <c r="L183" s="76"/>
      <c r="M183" s="77"/>
      <c r="N183" s="77"/>
      <c r="O183" s="78"/>
      <c r="P183" s="78"/>
      <c r="Q183" s="76"/>
    </row>
    <row r="184" spans="1:17" ht="19.899999999999999" customHeight="1" x14ac:dyDescent="0.25">
      <c r="A184" s="74"/>
      <c r="B184" s="74"/>
      <c r="C184" s="74"/>
      <c r="D184" s="74"/>
      <c r="E184" s="69"/>
      <c r="F184" s="75"/>
      <c r="G184" s="76"/>
      <c r="H184" s="76"/>
      <c r="I184" s="76"/>
      <c r="J184" s="76"/>
      <c r="K184" s="76"/>
      <c r="L184" s="76"/>
      <c r="M184" s="77"/>
      <c r="N184" s="77"/>
      <c r="O184" s="78"/>
      <c r="P184" s="78"/>
      <c r="Q184" s="76"/>
    </row>
    <row r="185" spans="1:17" ht="19.899999999999999" customHeight="1" x14ac:dyDescent="0.25">
      <c r="A185" s="74"/>
      <c r="B185" s="74"/>
      <c r="C185" s="74"/>
      <c r="D185" s="74"/>
      <c r="E185" s="69"/>
      <c r="F185" s="75"/>
      <c r="G185" s="76"/>
      <c r="H185" s="76"/>
      <c r="I185" s="76"/>
      <c r="J185" s="76"/>
      <c r="K185" s="76"/>
      <c r="L185" s="76"/>
      <c r="M185" s="77"/>
      <c r="N185" s="77"/>
      <c r="O185" s="78"/>
      <c r="P185" s="78"/>
      <c r="Q185" s="76"/>
    </row>
    <row r="186" spans="1:17" ht="19.899999999999999" customHeight="1" x14ac:dyDescent="0.25">
      <c r="A186" s="74"/>
      <c r="B186" s="74"/>
      <c r="C186" s="74"/>
      <c r="D186" s="74"/>
      <c r="E186" s="69"/>
      <c r="F186" s="75"/>
      <c r="G186" s="76"/>
      <c r="H186" s="76"/>
      <c r="I186" s="76"/>
      <c r="J186" s="76"/>
      <c r="K186" s="76"/>
      <c r="L186" s="76"/>
      <c r="M186" s="77"/>
      <c r="N186" s="77"/>
      <c r="O186" s="78"/>
      <c r="P186" s="78"/>
      <c r="Q186" s="76"/>
    </row>
    <row r="187" spans="1:17" ht="19.899999999999999" customHeight="1" x14ac:dyDescent="0.25">
      <c r="A187" s="74"/>
      <c r="B187" s="74"/>
      <c r="C187" s="74"/>
      <c r="D187" s="74"/>
      <c r="E187" s="69"/>
      <c r="F187" s="75"/>
      <c r="G187" s="76"/>
      <c r="H187" s="76"/>
      <c r="I187" s="76"/>
      <c r="J187" s="76"/>
      <c r="K187" s="76"/>
      <c r="L187" s="76"/>
      <c r="M187" s="77"/>
      <c r="N187" s="77"/>
      <c r="O187" s="78"/>
      <c r="P187" s="78"/>
      <c r="Q187" s="76"/>
    </row>
    <row r="188" spans="1:17" ht="19.899999999999999" customHeight="1" x14ac:dyDescent="0.25">
      <c r="A188" s="74"/>
      <c r="B188" s="74"/>
      <c r="C188" s="74"/>
      <c r="D188" s="74"/>
      <c r="E188" s="69"/>
      <c r="F188" s="75"/>
      <c r="G188" s="76"/>
      <c r="H188" s="76"/>
      <c r="I188" s="76"/>
      <c r="J188" s="76"/>
      <c r="K188" s="76"/>
      <c r="L188" s="76"/>
      <c r="M188" s="77"/>
      <c r="N188" s="77"/>
      <c r="O188" s="78"/>
      <c r="P188" s="78"/>
      <c r="Q188" s="76"/>
    </row>
    <row r="189" spans="1:17" ht="19.899999999999999" customHeight="1" x14ac:dyDescent="0.25">
      <c r="A189" s="74"/>
      <c r="B189" s="74"/>
      <c r="C189" s="74"/>
      <c r="D189" s="74"/>
      <c r="E189" s="69"/>
      <c r="F189" s="75"/>
      <c r="G189" s="76"/>
      <c r="H189" s="76"/>
      <c r="I189" s="76"/>
      <c r="J189" s="76"/>
      <c r="K189" s="76"/>
      <c r="L189" s="76"/>
      <c r="M189" s="77"/>
      <c r="N189" s="77"/>
      <c r="O189" s="78"/>
      <c r="P189" s="78"/>
      <c r="Q189" s="76"/>
    </row>
    <row r="190" spans="1:17" ht="19.899999999999999" customHeight="1" x14ac:dyDescent="0.25">
      <c r="A190" s="74"/>
      <c r="B190" s="74"/>
      <c r="C190" s="74"/>
      <c r="D190" s="74"/>
      <c r="E190" s="69"/>
      <c r="F190" s="75"/>
      <c r="G190" s="76"/>
      <c r="H190" s="76"/>
      <c r="I190" s="76"/>
      <c r="J190" s="76"/>
      <c r="K190" s="76"/>
      <c r="L190" s="76"/>
      <c r="M190" s="77"/>
      <c r="N190" s="77"/>
      <c r="O190" s="78"/>
      <c r="P190" s="78"/>
      <c r="Q190" s="76"/>
    </row>
    <row r="191" spans="1:17" ht="19.899999999999999" customHeight="1" x14ac:dyDescent="0.25">
      <c r="A191" s="74"/>
      <c r="B191" s="74"/>
      <c r="C191" s="74"/>
      <c r="D191" s="74"/>
      <c r="E191" s="69"/>
      <c r="F191" s="75"/>
      <c r="G191" s="76"/>
      <c r="H191" s="76"/>
      <c r="I191" s="76"/>
      <c r="J191" s="76"/>
      <c r="K191" s="76"/>
      <c r="L191" s="76"/>
      <c r="M191" s="77"/>
      <c r="N191" s="77"/>
      <c r="O191" s="78"/>
      <c r="P191" s="78"/>
      <c r="Q191" s="76"/>
    </row>
    <row r="192" spans="1:17" ht="19.899999999999999" customHeight="1" x14ac:dyDescent="0.25">
      <c r="A192" s="74"/>
      <c r="B192" s="74"/>
      <c r="C192" s="74"/>
      <c r="D192" s="74"/>
      <c r="E192" s="69"/>
      <c r="F192" s="75"/>
      <c r="G192" s="76"/>
      <c r="H192" s="76"/>
      <c r="I192" s="76"/>
      <c r="J192" s="76"/>
      <c r="K192" s="76"/>
      <c r="L192" s="76"/>
      <c r="M192" s="77"/>
      <c r="N192" s="77"/>
      <c r="O192" s="78"/>
      <c r="P192" s="78"/>
      <c r="Q192" s="76"/>
    </row>
    <row r="193" spans="1:17" ht="19.899999999999999" customHeight="1" x14ac:dyDescent="0.25">
      <c r="A193" s="74"/>
      <c r="B193" s="74"/>
      <c r="C193" s="74"/>
      <c r="D193" s="74"/>
      <c r="E193" s="69"/>
      <c r="F193" s="75"/>
      <c r="G193" s="76"/>
      <c r="H193" s="76"/>
      <c r="I193" s="76"/>
      <c r="J193" s="76"/>
      <c r="K193" s="76"/>
      <c r="L193" s="76"/>
      <c r="M193" s="77"/>
      <c r="N193" s="77"/>
      <c r="O193" s="78"/>
      <c r="P193" s="78"/>
      <c r="Q193" s="76"/>
    </row>
    <row r="194" spans="1:17" ht="19.899999999999999" customHeight="1" x14ac:dyDescent="0.25">
      <c r="A194" s="74"/>
      <c r="B194" s="74"/>
      <c r="C194" s="74"/>
      <c r="D194" s="74"/>
      <c r="E194" s="69"/>
      <c r="F194" s="75"/>
      <c r="G194" s="76"/>
      <c r="H194" s="76"/>
      <c r="I194" s="76"/>
      <c r="J194" s="76"/>
      <c r="K194" s="76"/>
      <c r="L194" s="76"/>
      <c r="M194" s="77"/>
      <c r="N194" s="77"/>
      <c r="O194" s="78"/>
      <c r="P194" s="78"/>
      <c r="Q194" s="76"/>
    </row>
    <row r="195" spans="1:17" ht="19.899999999999999" customHeight="1" x14ac:dyDescent="0.25">
      <c r="A195" s="74"/>
      <c r="B195" s="74"/>
      <c r="C195" s="74"/>
      <c r="D195" s="74"/>
      <c r="E195" s="69"/>
      <c r="F195" s="75"/>
      <c r="G195" s="76"/>
      <c r="H195" s="76"/>
      <c r="I195" s="76"/>
      <c r="J195" s="76"/>
      <c r="K195" s="76"/>
      <c r="L195" s="76"/>
      <c r="M195" s="77"/>
      <c r="N195" s="77"/>
      <c r="O195" s="78"/>
      <c r="P195" s="78"/>
      <c r="Q195" s="76"/>
    </row>
    <row r="196" spans="1:17" ht="19.899999999999999" customHeight="1" x14ac:dyDescent="0.25">
      <c r="A196" s="74"/>
      <c r="B196" s="74"/>
      <c r="C196" s="74"/>
      <c r="D196" s="74"/>
      <c r="E196" s="69"/>
      <c r="F196" s="75"/>
      <c r="G196" s="76"/>
      <c r="H196" s="76"/>
      <c r="I196" s="76"/>
      <c r="J196" s="76"/>
      <c r="K196" s="76"/>
      <c r="L196" s="76"/>
      <c r="M196" s="77"/>
      <c r="N196" s="77"/>
      <c r="O196" s="78"/>
      <c r="P196" s="78"/>
      <c r="Q196" s="76"/>
    </row>
    <row r="197" spans="1:17" ht="19.899999999999999" customHeight="1" x14ac:dyDescent="0.25">
      <c r="A197" s="74"/>
      <c r="B197" s="74"/>
      <c r="C197" s="74"/>
      <c r="D197" s="74"/>
      <c r="E197" s="69"/>
      <c r="F197" s="75"/>
      <c r="G197" s="76"/>
      <c r="H197" s="76"/>
      <c r="I197" s="76"/>
      <c r="J197" s="76"/>
      <c r="K197" s="76"/>
      <c r="L197" s="76"/>
      <c r="M197" s="77"/>
      <c r="N197" s="77"/>
      <c r="O197" s="78"/>
      <c r="P197" s="78"/>
      <c r="Q197" s="76"/>
    </row>
    <row r="198" spans="1:17" ht="19.899999999999999" customHeight="1" x14ac:dyDescent="0.25">
      <c r="A198" s="74"/>
      <c r="B198" s="74"/>
      <c r="C198" s="74"/>
      <c r="D198" s="74"/>
      <c r="E198" s="69"/>
      <c r="F198" s="75"/>
      <c r="G198" s="76"/>
      <c r="H198" s="76"/>
      <c r="I198" s="76"/>
      <c r="J198" s="76"/>
      <c r="K198" s="76"/>
      <c r="L198" s="76"/>
      <c r="M198" s="77"/>
      <c r="N198" s="77"/>
      <c r="O198" s="78"/>
      <c r="P198" s="78"/>
      <c r="Q198" s="76"/>
    </row>
    <row r="199" spans="1:17" ht="19.899999999999999" customHeight="1" x14ac:dyDescent="0.25">
      <c r="A199" s="74"/>
      <c r="B199" s="74"/>
      <c r="C199" s="74"/>
      <c r="D199" s="74"/>
      <c r="E199" s="69"/>
      <c r="F199" s="75"/>
      <c r="G199" s="76"/>
      <c r="H199" s="76"/>
      <c r="I199" s="76"/>
      <c r="J199" s="76"/>
      <c r="K199" s="76"/>
      <c r="L199" s="76"/>
      <c r="M199" s="77"/>
      <c r="N199" s="77"/>
      <c r="O199" s="78"/>
      <c r="P199" s="78"/>
      <c r="Q199" s="76"/>
    </row>
    <row r="200" spans="1:17" ht="19.899999999999999" customHeight="1" x14ac:dyDescent="0.25">
      <c r="A200" s="74"/>
      <c r="B200" s="74"/>
      <c r="C200" s="74"/>
      <c r="D200" s="74"/>
      <c r="E200" s="69"/>
      <c r="F200" s="75"/>
      <c r="G200" s="76"/>
      <c r="H200" s="76"/>
      <c r="I200" s="76"/>
      <c r="J200" s="76"/>
      <c r="K200" s="76"/>
      <c r="L200" s="76"/>
      <c r="M200" s="77"/>
      <c r="N200" s="77"/>
      <c r="O200" s="78"/>
      <c r="P200" s="78"/>
      <c r="Q200" s="76"/>
    </row>
    <row r="201" spans="1:17" ht="19.899999999999999" customHeight="1" x14ac:dyDescent="0.25">
      <c r="A201" s="74"/>
      <c r="B201" s="74"/>
      <c r="C201" s="74"/>
      <c r="D201" s="74"/>
      <c r="E201" s="69"/>
      <c r="F201" s="75"/>
      <c r="G201" s="76"/>
      <c r="H201" s="76"/>
      <c r="I201" s="76"/>
      <c r="J201" s="76"/>
      <c r="K201" s="76"/>
      <c r="L201" s="76"/>
      <c r="M201" s="77"/>
      <c r="N201" s="77"/>
      <c r="O201" s="78"/>
      <c r="P201" s="78"/>
      <c r="Q201" s="76"/>
    </row>
    <row r="202" spans="1:17" ht="19.899999999999999" customHeight="1" x14ac:dyDescent="0.25">
      <c r="A202" s="74"/>
      <c r="B202" s="74"/>
      <c r="C202" s="74"/>
      <c r="D202" s="74"/>
      <c r="E202" s="69"/>
      <c r="F202" s="75"/>
      <c r="G202" s="76"/>
      <c r="H202" s="76"/>
      <c r="I202" s="76"/>
      <c r="J202" s="76"/>
      <c r="K202" s="76"/>
      <c r="L202" s="76"/>
      <c r="M202" s="77"/>
      <c r="N202" s="77"/>
      <c r="O202" s="78"/>
      <c r="P202" s="78"/>
      <c r="Q202" s="76"/>
    </row>
    <row r="203" spans="1:17" ht="19.899999999999999" customHeight="1" x14ac:dyDescent="0.25">
      <c r="A203" s="74"/>
      <c r="B203" s="74"/>
      <c r="C203" s="74"/>
      <c r="D203" s="74"/>
      <c r="E203" s="69"/>
      <c r="F203" s="75"/>
      <c r="G203" s="76"/>
      <c r="H203" s="76"/>
      <c r="I203" s="76"/>
      <c r="J203" s="76"/>
      <c r="K203" s="76"/>
      <c r="L203" s="76"/>
      <c r="M203" s="77"/>
      <c r="N203" s="77"/>
      <c r="O203" s="78"/>
      <c r="P203" s="78"/>
      <c r="Q203" s="76"/>
    </row>
    <row r="204" spans="1:17" ht="19.899999999999999" customHeight="1" x14ac:dyDescent="0.25">
      <c r="A204" s="74"/>
      <c r="B204" s="74"/>
      <c r="C204" s="74"/>
      <c r="D204" s="74"/>
      <c r="E204" s="69"/>
      <c r="F204" s="75"/>
      <c r="G204" s="76"/>
      <c r="H204" s="76"/>
      <c r="I204" s="76"/>
      <c r="J204" s="76"/>
      <c r="K204" s="76"/>
      <c r="L204" s="76"/>
      <c r="M204" s="77"/>
      <c r="N204" s="77"/>
      <c r="O204" s="78"/>
      <c r="P204" s="78"/>
      <c r="Q204" s="76"/>
    </row>
    <row r="205" spans="1:17" ht="19.899999999999999" customHeight="1" x14ac:dyDescent="0.25">
      <c r="A205" s="74"/>
      <c r="B205" s="74"/>
      <c r="C205" s="74"/>
      <c r="D205" s="74"/>
      <c r="E205" s="69"/>
      <c r="F205" s="75"/>
      <c r="G205" s="76"/>
      <c r="H205" s="76"/>
      <c r="I205" s="76"/>
      <c r="J205" s="76"/>
      <c r="K205" s="76"/>
      <c r="L205" s="76"/>
      <c r="M205" s="77"/>
      <c r="N205" s="77"/>
      <c r="O205" s="78"/>
      <c r="P205" s="78"/>
      <c r="Q205" s="76"/>
    </row>
    <row r="206" spans="1:17" ht="19.899999999999999" customHeight="1" x14ac:dyDescent="0.25">
      <c r="A206" s="74"/>
      <c r="B206" s="74"/>
      <c r="C206" s="74"/>
      <c r="D206" s="74"/>
      <c r="E206" s="69"/>
      <c r="F206" s="75"/>
      <c r="G206" s="76"/>
      <c r="H206" s="76"/>
      <c r="I206" s="76"/>
      <c r="J206" s="76"/>
      <c r="K206" s="76"/>
      <c r="L206" s="76"/>
      <c r="M206" s="77"/>
      <c r="N206" s="77"/>
      <c r="O206" s="78"/>
      <c r="P206" s="78"/>
      <c r="Q206" s="76"/>
    </row>
    <row r="207" spans="1:17" ht="19.899999999999999" customHeight="1" x14ac:dyDescent="0.25">
      <c r="A207" s="74"/>
      <c r="B207" s="74"/>
      <c r="C207" s="74"/>
      <c r="D207" s="74"/>
      <c r="E207" s="69"/>
      <c r="F207" s="75"/>
      <c r="G207" s="76"/>
      <c r="H207" s="76"/>
      <c r="I207" s="76"/>
      <c r="J207" s="76"/>
      <c r="K207" s="76"/>
      <c r="L207" s="76"/>
      <c r="M207" s="77"/>
      <c r="N207" s="77"/>
      <c r="O207" s="78"/>
      <c r="P207" s="78"/>
      <c r="Q207" s="76"/>
    </row>
    <row r="208" spans="1:17" ht="19.899999999999999" customHeight="1" x14ac:dyDescent="0.25">
      <c r="A208" s="74"/>
      <c r="B208" s="74"/>
      <c r="C208" s="74"/>
      <c r="D208" s="74"/>
      <c r="E208" s="69"/>
      <c r="F208" s="75"/>
      <c r="G208" s="76"/>
      <c r="H208" s="76"/>
      <c r="I208" s="76"/>
      <c r="J208" s="76"/>
      <c r="K208" s="76"/>
      <c r="L208" s="76"/>
      <c r="M208" s="77"/>
      <c r="N208" s="77"/>
      <c r="O208" s="78"/>
      <c r="P208" s="78"/>
      <c r="Q208" s="76"/>
    </row>
    <row r="209" spans="1:17" ht="19.899999999999999" customHeight="1" x14ac:dyDescent="0.25">
      <c r="A209" s="74"/>
      <c r="B209" s="74"/>
      <c r="C209" s="74"/>
      <c r="D209" s="74"/>
      <c r="E209" s="69"/>
      <c r="F209" s="75"/>
      <c r="G209" s="76"/>
      <c r="H209" s="76"/>
      <c r="I209" s="76"/>
      <c r="J209" s="76"/>
      <c r="K209" s="76"/>
      <c r="L209" s="76"/>
      <c r="M209" s="77"/>
      <c r="N209" s="77"/>
      <c r="O209" s="78"/>
      <c r="P209" s="78"/>
      <c r="Q209" s="76"/>
    </row>
    <row r="210" spans="1:17" ht="19.899999999999999" customHeight="1" x14ac:dyDescent="0.25">
      <c r="A210" s="74"/>
      <c r="B210" s="74"/>
      <c r="C210" s="74"/>
      <c r="D210" s="74"/>
      <c r="E210" s="69"/>
      <c r="F210" s="75"/>
      <c r="G210" s="76"/>
      <c r="H210" s="76"/>
      <c r="I210" s="76"/>
      <c r="J210" s="76"/>
      <c r="K210" s="76"/>
      <c r="L210" s="76"/>
      <c r="M210" s="77"/>
      <c r="N210" s="77"/>
      <c r="O210" s="78"/>
      <c r="P210" s="78"/>
      <c r="Q210" s="76"/>
    </row>
    <row r="211" spans="1:17" ht="19.899999999999999" customHeight="1" x14ac:dyDescent="0.25">
      <c r="A211" s="74"/>
      <c r="B211" s="74"/>
      <c r="C211" s="74"/>
      <c r="D211" s="74"/>
      <c r="E211" s="69"/>
      <c r="F211" s="75"/>
      <c r="G211" s="76"/>
      <c r="H211" s="76"/>
      <c r="I211" s="76"/>
      <c r="J211" s="76"/>
      <c r="K211" s="76"/>
      <c r="L211" s="76"/>
      <c r="M211" s="77"/>
      <c r="N211" s="77"/>
      <c r="O211" s="78"/>
      <c r="P211" s="78"/>
      <c r="Q211" s="76"/>
    </row>
    <row r="212" spans="1:17" ht="19.899999999999999" customHeight="1" x14ac:dyDescent="0.25">
      <c r="A212" s="74"/>
      <c r="B212" s="74"/>
      <c r="C212" s="74"/>
      <c r="D212" s="74"/>
      <c r="E212" s="69"/>
      <c r="F212" s="75"/>
      <c r="G212" s="76"/>
      <c r="H212" s="76"/>
      <c r="I212" s="76"/>
      <c r="J212" s="76"/>
      <c r="K212" s="76"/>
      <c r="L212" s="76"/>
      <c r="M212" s="77"/>
      <c r="N212" s="77"/>
      <c r="O212" s="78"/>
      <c r="P212" s="78"/>
      <c r="Q212" s="76"/>
    </row>
    <row r="213" spans="1:17" ht="19.899999999999999" customHeight="1" x14ac:dyDescent="0.25">
      <c r="A213" s="74"/>
      <c r="B213" s="74"/>
      <c r="C213" s="74"/>
      <c r="D213" s="74"/>
      <c r="E213" s="69"/>
      <c r="F213" s="75"/>
      <c r="G213" s="76"/>
      <c r="H213" s="76"/>
      <c r="I213" s="76"/>
      <c r="J213" s="76"/>
      <c r="K213" s="76"/>
      <c r="L213" s="76"/>
      <c r="M213" s="77"/>
      <c r="N213" s="77"/>
      <c r="O213" s="78"/>
      <c r="P213" s="78"/>
      <c r="Q213" s="76"/>
    </row>
    <row r="214" spans="1:17" ht="19.899999999999999" customHeight="1" x14ac:dyDescent="0.25">
      <c r="A214" s="74"/>
      <c r="B214" s="74"/>
      <c r="C214" s="74"/>
      <c r="D214" s="74"/>
      <c r="E214" s="69"/>
      <c r="F214" s="75"/>
      <c r="G214" s="76"/>
      <c r="H214" s="76"/>
      <c r="I214" s="76"/>
      <c r="J214" s="76"/>
      <c r="K214" s="76"/>
      <c r="L214" s="76"/>
      <c r="M214" s="77"/>
      <c r="N214" s="77"/>
      <c r="O214" s="78"/>
      <c r="P214" s="78"/>
      <c r="Q214" s="76"/>
    </row>
    <row r="215" spans="1:17" ht="19.899999999999999" customHeight="1" x14ac:dyDescent="0.25">
      <c r="A215" s="74"/>
      <c r="B215" s="74"/>
      <c r="C215" s="74"/>
      <c r="D215" s="74"/>
      <c r="E215" s="69"/>
      <c r="F215" s="75"/>
      <c r="G215" s="76"/>
      <c r="H215" s="76"/>
      <c r="I215" s="76"/>
      <c r="J215" s="76"/>
      <c r="K215" s="76"/>
      <c r="L215" s="76"/>
      <c r="M215" s="77"/>
      <c r="N215" s="77"/>
      <c r="O215" s="78"/>
      <c r="P215" s="78"/>
      <c r="Q215" s="76"/>
    </row>
    <row r="216" spans="1:17" ht="19.899999999999999" customHeight="1" x14ac:dyDescent="0.25">
      <c r="A216" s="74"/>
      <c r="B216" s="74"/>
      <c r="C216" s="74"/>
      <c r="D216" s="74"/>
      <c r="E216" s="69"/>
      <c r="F216" s="75"/>
      <c r="G216" s="76"/>
      <c r="H216" s="76"/>
      <c r="I216" s="76"/>
      <c r="J216" s="76"/>
      <c r="K216" s="76"/>
      <c r="L216" s="76"/>
      <c r="M216" s="77"/>
      <c r="N216" s="77"/>
      <c r="O216" s="78"/>
      <c r="P216" s="78"/>
      <c r="Q216" s="76"/>
    </row>
    <row r="217" spans="1:17" ht="19.899999999999999" customHeight="1" x14ac:dyDescent="0.25">
      <c r="A217" s="74"/>
      <c r="B217" s="74"/>
      <c r="C217" s="74"/>
      <c r="D217" s="74"/>
      <c r="E217" s="69"/>
      <c r="F217" s="75"/>
      <c r="G217" s="76"/>
      <c r="H217" s="76"/>
      <c r="I217" s="76"/>
      <c r="J217" s="76"/>
      <c r="K217" s="76"/>
      <c r="L217" s="76"/>
      <c r="M217" s="77"/>
      <c r="N217" s="77"/>
      <c r="O217" s="78"/>
      <c r="P217" s="78"/>
      <c r="Q217" s="76"/>
    </row>
    <row r="218" spans="1:17" ht="19.899999999999999" customHeight="1" x14ac:dyDescent="0.25">
      <c r="A218" s="74"/>
      <c r="B218" s="74"/>
      <c r="C218" s="74"/>
      <c r="D218" s="74"/>
      <c r="E218" s="69"/>
      <c r="F218" s="75"/>
      <c r="G218" s="76"/>
      <c r="H218" s="76"/>
      <c r="I218" s="76"/>
      <c r="J218" s="76"/>
      <c r="K218" s="76"/>
      <c r="L218" s="76"/>
      <c r="M218" s="77"/>
      <c r="N218" s="77"/>
      <c r="O218" s="78"/>
      <c r="P218" s="78"/>
      <c r="Q218" s="76"/>
    </row>
    <row r="219" spans="1:17" ht="19.899999999999999" customHeight="1" x14ac:dyDescent="0.25">
      <c r="A219" s="74"/>
      <c r="B219" s="74"/>
      <c r="C219" s="74"/>
      <c r="D219" s="74"/>
      <c r="E219" s="69"/>
      <c r="F219" s="75"/>
      <c r="G219" s="76"/>
      <c r="H219" s="76"/>
      <c r="I219" s="76"/>
      <c r="J219" s="76"/>
      <c r="K219" s="76"/>
      <c r="L219" s="76"/>
      <c r="M219" s="77"/>
      <c r="N219" s="77"/>
      <c r="O219" s="78"/>
      <c r="P219" s="78"/>
      <c r="Q219" s="76"/>
    </row>
    <row r="220" spans="1:17" ht="19.899999999999999" customHeight="1" x14ac:dyDescent="0.25">
      <c r="A220" s="74"/>
      <c r="B220" s="74"/>
      <c r="C220" s="74"/>
      <c r="D220" s="74"/>
      <c r="E220" s="69"/>
      <c r="F220" s="75"/>
      <c r="G220" s="76"/>
      <c r="H220" s="76"/>
      <c r="I220" s="76"/>
      <c r="J220" s="76"/>
      <c r="K220" s="76"/>
      <c r="L220" s="76"/>
      <c r="M220" s="77"/>
      <c r="N220" s="77"/>
      <c r="O220" s="78"/>
      <c r="P220" s="78"/>
      <c r="Q220" s="76"/>
    </row>
    <row r="221" spans="1:17" ht="19.899999999999999" customHeight="1" x14ac:dyDescent="0.25">
      <c r="A221" s="74"/>
      <c r="B221" s="74"/>
      <c r="C221" s="74"/>
      <c r="D221" s="74"/>
      <c r="E221" s="69"/>
      <c r="F221" s="75"/>
      <c r="G221" s="76"/>
      <c r="H221" s="76"/>
      <c r="I221" s="76"/>
      <c r="J221" s="76"/>
      <c r="K221" s="76"/>
      <c r="L221" s="76"/>
      <c r="M221" s="77"/>
      <c r="N221" s="77"/>
      <c r="O221" s="78"/>
      <c r="P221" s="78"/>
      <c r="Q221" s="76"/>
    </row>
    <row r="222" spans="1:17" ht="19.899999999999999" customHeight="1" x14ac:dyDescent="0.25">
      <c r="A222" s="74"/>
      <c r="B222" s="74"/>
      <c r="C222" s="74"/>
      <c r="D222" s="74"/>
      <c r="E222" s="69"/>
      <c r="F222" s="75"/>
      <c r="G222" s="76"/>
      <c r="H222" s="76"/>
      <c r="I222" s="76"/>
      <c r="J222" s="76"/>
      <c r="K222" s="76"/>
      <c r="L222" s="76"/>
      <c r="M222" s="77"/>
      <c r="N222" s="77"/>
      <c r="O222" s="78"/>
      <c r="P222" s="78"/>
      <c r="Q222" s="76"/>
    </row>
    <row r="223" spans="1:17" ht="19.899999999999999" customHeight="1" x14ac:dyDescent="0.25">
      <c r="A223" s="74"/>
      <c r="B223" s="74"/>
      <c r="C223" s="74"/>
      <c r="D223" s="74"/>
      <c r="E223" s="69"/>
      <c r="F223" s="75"/>
      <c r="G223" s="76"/>
      <c r="H223" s="76"/>
      <c r="I223" s="76"/>
      <c r="J223" s="76"/>
      <c r="K223" s="76"/>
      <c r="L223" s="76"/>
      <c r="M223" s="77"/>
      <c r="N223" s="77"/>
      <c r="O223" s="78"/>
      <c r="P223" s="78"/>
      <c r="Q223" s="76"/>
    </row>
    <row r="224" spans="1:17" ht="19.899999999999999" customHeight="1" x14ac:dyDescent="0.25">
      <c r="A224" s="74"/>
      <c r="B224" s="74"/>
      <c r="C224" s="74"/>
      <c r="D224" s="74"/>
      <c r="E224" s="69"/>
      <c r="F224" s="75"/>
      <c r="G224" s="76"/>
      <c r="H224" s="76"/>
      <c r="I224" s="76"/>
      <c r="J224" s="76"/>
      <c r="K224" s="76"/>
      <c r="L224" s="76"/>
      <c r="M224" s="77"/>
      <c r="N224" s="77"/>
      <c r="O224" s="78"/>
      <c r="P224" s="78"/>
      <c r="Q224" s="76"/>
    </row>
    <row r="225" spans="1:17" ht="19.899999999999999" customHeight="1" x14ac:dyDescent="0.25">
      <c r="A225" s="74"/>
      <c r="B225" s="74"/>
      <c r="C225" s="74"/>
      <c r="D225" s="74"/>
      <c r="E225" s="69"/>
      <c r="F225" s="75"/>
      <c r="G225" s="76"/>
      <c r="H225" s="76"/>
      <c r="I225" s="76"/>
      <c r="J225" s="76"/>
      <c r="K225" s="76"/>
      <c r="L225" s="76"/>
      <c r="M225" s="77"/>
      <c r="N225" s="77"/>
      <c r="O225" s="78"/>
      <c r="P225" s="78"/>
      <c r="Q225" s="76"/>
    </row>
    <row r="226" spans="1:17" ht="19.899999999999999" customHeight="1" x14ac:dyDescent="0.25">
      <c r="A226" s="74"/>
      <c r="B226" s="74"/>
      <c r="C226" s="74"/>
      <c r="D226" s="74"/>
      <c r="E226" s="69"/>
      <c r="F226" s="75"/>
      <c r="G226" s="76"/>
      <c r="H226" s="76"/>
      <c r="I226" s="76"/>
      <c r="J226" s="76"/>
      <c r="K226" s="76"/>
      <c r="L226" s="76"/>
      <c r="M226" s="77"/>
      <c r="N226" s="77"/>
      <c r="O226" s="78"/>
      <c r="P226" s="78"/>
      <c r="Q226" s="76"/>
    </row>
    <row r="227" spans="1:17" ht="19.899999999999999" customHeight="1" x14ac:dyDescent="0.25">
      <c r="A227" s="74"/>
      <c r="B227" s="74"/>
      <c r="C227" s="74"/>
      <c r="D227" s="74"/>
      <c r="E227" s="69"/>
      <c r="F227" s="75"/>
      <c r="G227" s="76"/>
      <c r="H227" s="76"/>
      <c r="I227" s="76"/>
      <c r="J227" s="76"/>
      <c r="K227" s="76"/>
      <c r="L227" s="76"/>
      <c r="M227" s="77"/>
      <c r="N227" s="77"/>
      <c r="O227" s="78"/>
      <c r="P227" s="78"/>
      <c r="Q227" s="76"/>
    </row>
    <row r="228" spans="1:17" ht="19.899999999999999" customHeight="1" x14ac:dyDescent="0.25">
      <c r="A228" s="74"/>
      <c r="B228" s="74"/>
      <c r="C228" s="74"/>
      <c r="D228" s="74"/>
      <c r="E228" s="69"/>
      <c r="F228" s="75"/>
      <c r="G228" s="76"/>
      <c r="H228" s="76"/>
      <c r="I228" s="76"/>
      <c r="J228" s="76"/>
      <c r="K228" s="76"/>
      <c r="L228" s="76"/>
      <c r="M228" s="77"/>
      <c r="N228" s="77"/>
      <c r="O228" s="78"/>
      <c r="P228" s="78"/>
      <c r="Q228" s="76"/>
    </row>
    <row r="229" spans="1:17" ht="19.899999999999999" customHeight="1" x14ac:dyDescent="0.25">
      <c r="A229" s="74"/>
      <c r="B229" s="74"/>
      <c r="C229" s="74"/>
      <c r="D229" s="74"/>
      <c r="E229" s="69"/>
      <c r="F229" s="75"/>
      <c r="G229" s="76"/>
      <c r="H229" s="76"/>
      <c r="I229" s="76"/>
      <c r="J229" s="76"/>
      <c r="K229" s="76"/>
      <c r="L229" s="76"/>
      <c r="M229" s="77"/>
      <c r="N229" s="77"/>
      <c r="O229" s="78"/>
      <c r="P229" s="78"/>
      <c r="Q229" s="76"/>
    </row>
    <row r="230" spans="1:17" ht="19.899999999999999" customHeight="1" x14ac:dyDescent="0.25">
      <c r="A230" s="74"/>
      <c r="B230" s="74"/>
      <c r="C230" s="74"/>
      <c r="D230" s="74"/>
      <c r="E230" s="69"/>
      <c r="F230" s="75"/>
      <c r="G230" s="76"/>
      <c r="H230" s="76"/>
      <c r="I230" s="76"/>
      <c r="J230" s="76"/>
      <c r="K230" s="76"/>
      <c r="L230" s="76"/>
      <c r="M230" s="77"/>
      <c r="N230" s="77"/>
      <c r="O230" s="78"/>
      <c r="P230" s="78"/>
      <c r="Q230" s="76"/>
    </row>
    <row r="231" spans="1:17" ht="19.899999999999999" customHeight="1" x14ac:dyDescent="0.25">
      <c r="A231" s="74"/>
      <c r="B231" s="74"/>
      <c r="C231" s="74"/>
      <c r="D231" s="74"/>
      <c r="E231" s="69"/>
      <c r="F231" s="75"/>
      <c r="G231" s="76"/>
      <c r="H231" s="76"/>
      <c r="I231" s="76"/>
      <c r="J231" s="76"/>
      <c r="K231" s="76"/>
      <c r="L231" s="76"/>
      <c r="M231" s="77"/>
      <c r="N231" s="77"/>
      <c r="O231" s="78"/>
      <c r="P231" s="78"/>
      <c r="Q231" s="76"/>
    </row>
    <row r="232" spans="1:17" ht="19.899999999999999" customHeight="1" x14ac:dyDescent="0.25">
      <c r="A232" s="74"/>
      <c r="B232" s="74"/>
      <c r="C232" s="74"/>
      <c r="D232" s="74"/>
      <c r="E232" s="69"/>
      <c r="F232" s="75"/>
      <c r="G232" s="76"/>
      <c r="H232" s="76"/>
      <c r="I232" s="76"/>
      <c r="J232" s="76"/>
      <c r="K232" s="76"/>
      <c r="L232" s="76"/>
      <c r="M232" s="77"/>
      <c r="N232" s="77"/>
      <c r="O232" s="78"/>
      <c r="P232" s="78"/>
      <c r="Q232" s="76"/>
    </row>
    <row r="233" spans="1:17" ht="19.899999999999999" customHeight="1" x14ac:dyDescent="0.25">
      <c r="A233" s="74"/>
      <c r="B233" s="74"/>
      <c r="C233" s="74"/>
      <c r="D233" s="74"/>
      <c r="E233" s="69"/>
      <c r="F233" s="75"/>
      <c r="G233" s="76"/>
      <c r="H233" s="76"/>
      <c r="I233" s="76"/>
      <c r="J233" s="76"/>
      <c r="K233" s="76"/>
      <c r="L233" s="76"/>
      <c r="M233" s="77"/>
      <c r="N233" s="77"/>
      <c r="O233" s="78"/>
      <c r="P233" s="78"/>
      <c r="Q233" s="76"/>
    </row>
    <row r="234" spans="1:17" ht="19.899999999999999" customHeight="1" x14ac:dyDescent="0.25">
      <c r="A234" s="74"/>
      <c r="B234" s="74"/>
      <c r="C234" s="74"/>
      <c r="D234" s="74"/>
      <c r="E234" s="69"/>
      <c r="F234" s="75"/>
      <c r="G234" s="76"/>
      <c r="H234" s="76"/>
      <c r="I234" s="76"/>
      <c r="J234" s="76"/>
      <c r="K234" s="76"/>
      <c r="L234" s="76"/>
      <c r="M234" s="77"/>
      <c r="N234" s="77"/>
      <c r="O234" s="78"/>
      <c r="P234" s="78"/>
      <c r="Q234" s="76"/>
    </row>
    <row r="235" spans="1:17" ht="19.899999999999999" customHeight="1" x14ac:dyDescent="0.25">
      <c r="A235" s="74"/>
      <c r="B235" s="74"/>
      <c r="C235" s="74"/>
      <c r="D235" s="74"/>
      <c r="E235" s="69"/>
      <c r="F235" s="75"/>
      <c r="G235" s="76"/>
      <c r="H235" s="76"/>
      <c r="I235" s="76"/>
      <c r="J235" s="76"/>
      <c r="K235" s="76"/>
      <c r="L235" s="76"/>
      <c r="M235" s="77"/>
      <c r="N235" s="77"/>
      <c r="O235" s="78"/>
      <c r="P235" s="78"/>
      <c r="Q235" s="76"/>
    </row>
    <row r="236" spans="1:17" ht="19.899999999999999" customHeight="1" x14ac:dyDescent="0.25">
      <c r="A236" s="74"/>
      <c r="B236" s="74"/>
      <c r="C236" s="74"/>
      <c r="D236" s="74"/>
      <c r="E236" s="69"/>
      <c r="F236" s="75"/>
      <c r="G236" s="76"/>
      <c r="H236" s="76"/>
      <c r="I236" s="76"/>
      <c r="J236" s="76"/>
      <c r="K236" s="76"/>
      <c r="L236" s="76"/>
      <c r="M236" s="77"/>
      <c r="N236" s="77"/>
      <c r="O236" s="78"/>
      <c r="P236" s="78"/>
      <c r="Q236" s="76"/>
    </row>
    <row r="237" spans="1:17" ht="19.899999999999999" customHeight="1" x14ac:dyDescent="0.25">
      <c r="A237" s="74"/>
      <c r="B237" s="74"/>
      <c r="C237" s="74"/>
      <c r="D237" s="74"/>
      <c r="E237" s="69"/>
      <c r="F237" s="75"/>
      <c r="G237" s="76"/>
      <c r="H237" s="76"/>
      <c r="I237" s="76"/>
      <c r="J237" s="76"/>
      <c r="K237" s="76"/>
      <c r="L237" s="76"/>
      <c r="M237" s="77"/>
      <c r="N237" s="77"/>
      <c r="O237" s="78"/>
      <c r="P237" s="78"/>
      <c r="Q237" s="76"/>
    </row>
    <row r="238" spans="1:17" ht="19.899999999999999" customHeight="1" x14ac:dyDescent="0.25">
      <c r="A238" s="74"/>
      <c r="B238" s="74"/>
      <c r="C238" s="74"/>
      <c r="D238" s="74"/>
      <c r="E238" s="69"/>
      <c r="F238" s="75"/>
      <c r="G238" s="76"/>
      <c r="H238" s="76"/>
      <c r="I238" s="76"/>
      <c r="J238" s="76"/>
      <c r="K238" s="76"/>
      <c r="L238" s="76"/>
      <c r="M238" s="77"/>
      <c r="N238" s="77"/>
      <c r="O238" s="78"/>
      <c r="P238" s="78"/>
      <c r="Q238" s="76"/>
    </row>
    <row r="239" spans="1:17" ht="19.899999999999999" customHeight="1" x14ac:dyDescent="0.25">
      <c r="A239" s="74"/>
      <c r="B239" s="74"/>
      <c r="C239" s="74"/>
      <c r="D239" s="74"/>
      <c r="E239" s="69"/>
      <c r="F239" s="75"/>
      <c r="G239" s="76"/>
      <c r="H239" s="76"/>
      <c r="I239" s="76"/>
      <c r="J239" s="76"/>
      <c r="K239" s="76"/>
      <c r="L239" s="76"/>
      <c r="M239" s="77"/>
      <c r="N239" s="77"/>
      <c r="O239" s="78"/>
      <c r="P239" s="78"/>
      <c r="Q239" s="76"/>
    </row>
    <row r="240" spans="1:17" ht="19.899999999999999" customHeight="1" x14ac:dyDescent="0.25">
      <c r="A240" s="74"/>
      <c r="B240" s="74"/>
      <c r="C240" s="74"/>
      <c r="D240" s="74"/>
      <c r="E240" s="69"/>
      <c r="F240" s="75"/>
      <c r="G240" s="76"/>
      <c r="H240" s="76"/>
      <c r="I240" s="76"/>
      <c r="J240" s="76"/>
      <c r="K240" s="76"/>
      <c r="L240" s="76"/>
      <c r="M240" s="77"/>
      <c r="N240" s="77"/>
      <c r="O240" s="78"/>
      <c r="P240" s="78"/>
      <c r="Q240" s="76"/>
    </row>
    <row r="241" spans="1:17" ht="19.899999999999999" customHeight="1" x14ac:dyDescent="0.25">
      <c r="A241" s="74"/>
      <c r="B241" s="74"/>
      <c r="C241" s="74"/>
      <c r="D241" s="74"/>
      <c r="E241" s="69"/>
      <c r="F241" s="75"/>
      <c r="G241" s="76"/>
      <c r="H241" s="76"/>
      <c r="I241" s="76"/>
      <c r="J241" s="76"/>
      <c r="K241" s="76"/>
      <c r="L241" s="76"/>
      <c r="M241" s="77"/>
      <c r="N241" s="77"/>
      <c r="O241" s="78"/>
      <c r="P241" s="78"/>
      <c r="Q241" s="76"/>
    </row>
    <row r="242" spans="1:17" ht="19.899999999999999" customHeight="1" x14ac:dyDescent="0.25">
      <c r="A242" s="74"/>
      <c r="B242" s="74"/>
      <c r="C242" s="74"/>
      <c r="D242" s="74"/>
      <c r="E242" s="69"/>
      <c r="F242" s="75"/>
      <c r="G242" s="76"/>
      <c r="H242" s="76"/>
      <c r="I242" s="76"/>
      <c r="J242" s="76"/>
      <c r="K242" s="76"/>
      <c r="L242" s="76"/>
      <c r="M242" s="77"/>
      <c r="N242" s="77"/>
      <c r="O242" s="78"/>
      <c r="P242" s="78"/>
      <c r="Q242" s="76"/>
    </row>
    <row r="243" spans="1:17" ht="19.899999999999999" customHeight="1" x14ac:dyDescent="0.25">
      <c r="A243" s="74"/>
      <c r="B243" s="74"/>
      <c r="C243" s="74"/>
      <c r="D243" s="74"/>
      <c r="E243" s="69"/>
      <c r="F243" s="75"/>
      <c r="G243" s="76"/>
      <c r="H243" s="76"/>
      <c r="I243" s="76"/>
      <c r="J243" s="76"/>
      <c r="K243" s="76"/>
      <c r="L243" s="76"/>
      <c r="M243" s="77"/>
      <c r="N243" s="77"/>
      <c r="O243" s="78"/>
      <c r="P243" s="78"/>
      <c r="Q243" s="76"/>
    </row>
    <row r="244" spans="1:17" ht="19.899999999999999" customHeight="1" x14ac:dyDescent="0.25">
      <c r="A244" s="74"/>
      <c r="B244" s="74"/>
      <c r="C244" s="74"/>
      <c r="D244" s="74"/>
      <c r="E244" s="69"/>
      <c r="F244" s="75"/>
      <c r="G244" s="76"/>
      <c r="H244" s="76"/>
      <c r="I244" s="76"/>
      <c r="J244" s="76"/>
      <c r="K244" s="76"/>
      <c r="L244" s="76"/>
      <c r="M244" s="77"/>
      <c r="N244" s="77"/>
      <c r="O244" s="78"/>
      <c r="P244" s="78"/>
      <c r="Q244" s="76"/>
    </row>
    <row r="245" spans="1:17" ht="19.899999999999999" customHeight="1" x14ac:dyDescent="0.25">
      <c r="A245" s="74"/>
      <c r="B245" s="74"/>
      <c r="C245" s="74"/>
      <c r="D245" s="74"/>
      <c r="E245" s="69"/>
      <c r="F245" s="75"/>
      <c r="G245" s="76"/>
      <c r="H245" s="76"/>
      <c r="I245" s="76"/>
      <c r="J245" s="76"/>
      <c r="K245" s="76"/>
      <c r="L245" s="76"/>
      <c r="M245" s="77"/>
      <c r="N245" s="77"/>
      <c r="O245" s="78"/>
      <c r="P245" s="78"/>
      <c r="Q245" s="76"/>
    </row>
    <row r="246" spans="1:17" ht="19.899999999999999" customHeight="1" x14ac:dyDescent="0.25">
      <c r="A246" s="74"/>
      <c r="B246" s="74"/>
      <c r="C246" s="74"/>
      <c r="D246" s="74"/>
      <c r="E246" s="69"/>
      <c r="F246" s="75"/>
      <c r="G246" s="76"/>
      <c r="H246" s="76"/>
      <c r="I246" s="76"/>
      <c r="J246" s="76"/>
      <c r="K246" s="76"/>
      <c r="L246" s="76"/>
      <c r="M246" s="77"/>
      <c r="N246" s="77"/>
      <c r="O246" s="78"/>
      <c r="P246" s="78"/>
      <c r="Q246" s="76"/>
    </row>
    <row r="247" spans="1:17" ht="19.899999999999999" customHeight="1" x14ac:dyDescent="0.25">
      <c r="A247" s="74"/>
      <c r="B247" s="74"/>
      <c r="C247" s="74"/>
      <c r="D247" s="74"/>
      <c r="E247" s="69"/>
      <c r="F247" s="75"/>
      <c r="G247" s="76"/>
      <c r="H247" s="76"/>
      <c r="I247" s="76"/>
      <c r="J247" s="76"/>
      <c r="K247" s="76"/>
      <c r="L247" s="76"/>
      <c r="M247" s="77"/>
      <c r="N247" s="77"/>
      <c r="O247" s="78"/>
      <c r="P247" s="78"/>
      <c r="Q247" s="76"/>
    </row>
    <row r="248" spans="1:17" ht="19.899999999999999" customHeight="1" x14ac:dyDescent="0.25">
      <c r="A248" s="74"/>
      <c r="B248" s="74"/>
      <c r="C248" s="74"/>
      <c r="D248" s="74"/>
      <c r="E248" s="69"/>
      <c r="F248" s="75"/>
      <c r="G248" s="76"/>
      <c r="H248" s="76"/>
      <c r="I248" s="76"/>
      <c r="J248" s="76"/>
      <c r="K248" s="76"/>
      <c r="L248" s="76"/>
      <c r="M248" s="77"/>
      <c r="N248" s="77"/>
      <c r="O248" s="78"/>
      <c r="P248" s="78"/>
      <c r="Q248" s="76"/>
    </row>
    <row r="249" spans="1:17" ht="19.899999999999999" customHeight="1" x14ac:dyDescent="0.25">
      <c r="A249" s="74"/>
      <c r="B249" s="74"/>
      <c r="C249" s="74"/>
      <c r="D249" s="74"/>
      <c r="E249" s="69"/>
      <c r="F249" s="75"/>
      <c r="G249" s="76"/>
      <c r="H249" s="76"/>
      <c r="I249" s="76"/>
      <c r="J249" s="76"/>
      <c r="K249" s="76"/>
      <c r="L249" s="76"/>
      <c r="M249" s="77"/>
      <c r="N249" s="77"/>
      <c r="O249" s="78"/>
      <c r="P249" s="78"/>
      <c r="Q249" s="76"/>
    </row>
    <row r="250" spans="1:17" ht="19.899999999999999" customHeight="1" x14ac:dyDescent="0.25">
      <c r="A250" s="74"/>
      <c r="B250" s="74"/>
      <c r="C250" s="74"/>
      <c r="D250" s="74"/>
      <c r="E250" s="69"/>
      <c r="F250" s="75"/>
      <c r="G250" s="76"/>
      <c r="H250" s="76"/>
      <c r="I250" s="76"/>
      <c r="J250" s="76"/>
      <c r="K250" s="76"/>
      <c r="L250" s="76"/>
      <c r="M250" s="77"/>
      <c r="N250" s="77"/>
      <c r="O250" s="78"/>
      <c r="P250" s="78"/>
      <c r="Q250" s="76"/>
    </row>
    <row r="251" spans="1:17" ht="19.899999999999999" customHeight="1" x14ac:dyDescent="0.25">
      <c r="A251" s="74"/>
      <c r="B251" s="74"/>
      <c r="C251" s="74"/>
      <c r="D251" s="74"/>
      <c r="E251" s="69"/>
      <c r="F251" s="75"/>
      <c r="G251" s="76"/>
      <c r="H251" s="76"/>
      <c r="I251" s="76"/>
      <c r="J251" s="76"/>
      <c r="K251" s="76"/>
      <c r="L251" s="76"/>
      <c r="M251" s="77"/>
      <c r="N251" s="77"/>
      <c r="O251" s="78"/>
      <c r="P251" s="78"/>
      <c r="Q251" s="76"/>
    </row>
    <row r="252" spans="1:17" ht="19.899999999999999" customHeight="1" x14ac:dyDescent="0.25">
      <c r="A252" s="74"/>
      <c r="B252" s="74"/>
      <c r="C252" s="74"/>
      <c r="D252" s="74"/>
      <c r="E252" s="69"/>
      <c r="F252" s="75"/>
      <c r="G252" s="76"/>
      <c r="H252" s="76"/>
      <c r="I252" s="76"/>
      <c r="J252" s="76"/>
      <c r="K252" s="76"/>
      <c r="L252" s="76"/>
      <c r="M252" s="77"/>
      <c r="N252" s="77"/>
      <c r="O252" s="78"/>
      <c r="P252" s="78"/>
      <c r="Q252" s="76"/>
    </row>
    <row r="253" spans="1:17" ht="19.899999999999999" customHeight="1" x14ac:dyDescent="0.25">
      <c r="A253" s="74"/>
      <c r="B253" s="74"/>
      <c r="C253" s="74"/>
      <c r="D253" s="74"/>
      <c r="E253" s="69"/>
      <c r="F253" s="75"/>
      <c r="G253" s="76"/>
      <c r="H253" s="76"/>
      <c r="I253" s="76"/>
      <c r="J253" s="76"/>
      <c r="K253" s="76"/>
      <c r="L253" s="76"/>
      <c r="M253" s="77"/>
      <c r="N253" s="77"/>
      <c r="O253" s="78"/>
      <c r="P253" s="78"/>
      <c r="Q253" s="76"/>
    </row>
    <row r="254" spans="1:17" ht="19.899999999999999" customHeight="1" x14ac:dyDescent="0.25">
      <c r="A254" s="74"/>
      <c r="B254" s="74"/>
      <c r="C254" s="74"/>
      <c r="D254" s="74"/>
      <c r="E254" s="69"/>
      <c r="F254" s="75"/>
      <c r="G254" s="76"/>
      <c r="H254" s="76"/>
      <c r="I254" s="76"/>
      <c r="J254" s="76"/>
      <c r="K254" s="76"/>
      <c r="L254" s="76"/>
      <c r="M254" s="77"/>
      <c r="N254" s="77"/>
      <c r="O254" s="78"/>
      <c r="P254" s="78"/>
      <c r="Q254" s="76"/>
    </row>
    <row r="255" spans="1:17" ht="19.899999999999999" customHeight="1" x14ac:dyDescent="0.25">
      <c r="A255" s="74"/>
      <c r="B255" s="74"/>
      <c r="C255" s="74"/>
      <c r="D255" s="74"/>
      <c r="E255" s="69"/>
      <c r="F255" s="75"/>
      <c r="G255" s="76"/>
      <c r="H255" s="76"/>
      <c r="I255" s="76"/>
      <c r="J255" s="76"/>
      <c r="K255" s="76"/>
      <c r="L255" s="76"/>
      <c r="M255" s="77"/>
      <c r="N255" s="77"/>
      <c r="O255" s="78"/>
      <c r="P255" s="78"/>
      <c r="Q255" s="76"/>
    </row>
    <row r="256" spans="1:17" ht="19.899999999999999" customHeight="1" x14ac:dyDescent="0.25">
      <c r="A256" s="74"/>
      <c r="B256" s="74"/>
      <c r="C256" s="74"/>
      <c r="D256" s="74"/>
      <c r="E256" s="69"/>
      <c r="F256" s="75"/>
      <c r="G256" s="76"/>
      <c r="H256" s="76"/>
      <c r="I256" s="76"/>
      <c r="J256" s="76"/>
      <c r="K256" s="76"/>
      <c r="L256" s="76"/>
      <c r="M256" s="77"/>
      <c r="N256" s="77"/>
      <c r="O256" s="78"/>
      <c r="P256" s="78"/>
      <c r="Q256" s="76"/>
    </row>
    <row r="257" spans="1:17" ht="19.899999999999999" customHeight="1" x14ac:dyDescent="0.25">
      <c r="A257" s="74"/>
      <c r="B257" s="74"/>
      <c r="C257" s="74"/>
      <c r="D257" s="74"/>
      <c r="E257" s="69"/>
      <c r="F257" s="75"/>
      <c r="G257" s="76"/>
      <c r="H257" s="76"/>
      <c r="I257" s="76"/>
      <c r="J257" s="76"/>
      <c r="K257" s="76"/>
      <c r="L257" s="76"/>
      <c r="M257" s="77"/>
      <c r="N257" s="77"/>
      <c r="O257" s="78"/>
      <c r="P257" s="78"/>
      <c r="Q257" s="76"/>
    </row>
    <row r="258" spans="1:17" ht="19.899999999999999" customHeight="1" x14ac:dyDescent="0.25">
      <c r="A258" s="74"/>
      <c r="B258" s="74"/>
      <c r="C258" s="74"/>
      <c r="D258" s="74"/>
      <c r="E258" s="69"/>
      <c r="F258" s="75"/>
      <c r="G258" s="76"/>
      <c r="H258" s="76"/>
      <c r="I258" s="76"/>
      <c r="J258" s="76"/>
      <c r="K258" s="76"/>
      <c r="L258" s="76"/>
      <c r="M258" s="77"/>
      <c r="N258" s="77"/>
      <c r="O258" s="78"/>
      <c r="P258" s="78"/>
      <c r="Q258" s="76"/>
    </row>
    <row r="259" spans="1:17" ht="19.899999999999999" customHeight="1" x14ac:dyDescent="0.25">
      <c r="A259" s="74"/>
      <c r="B259" s="74"/>
      <c r="C259" s="74"/>
      <c r="D259" s="74"/>
      <c r="E259" s="69"/>
      <c r="F259" s="75"/>
      <c r="G259" s="76"/>
      <c r="H259" s="76"/>
      <c r="I259" s="76"/>
      <c r="J259" s="76"/>
      <c r="K259" s="76"/>
      <c r="L259" s="76"/>
      <c r="M259" s="77"/>
      <c r="N259" s="77"/>
      <c r="O259" s="78"/>
      <c r="P259" s="78"/>
      <c r="Q259" s="76"/>
    </row>
    <row r="260" spans="1:17" ht="19.899999999999999" customHeight="1" x14ac:dyDescent="0.25">
      <c r="A260" s="74"/>
      <c r="B260" s="74"/>
      <c r="C260" s="74"/>
      <c r="D260" s="74"/>
      <c r="E260" s="69"/>
      <c r="F260" s="75"/>
      <c r="G260" s="76"/>
      <c r="H260" s="76"/>
      <c r="I260" s="76"/>
      <c r="J260" s="76"/>
      <c r="K260" s="76"/>
      <c r="L260" s="76"/>
      <c r="M260" s="77"/>
      <c r="N260" s="77"/>
      <c r="O260" s="78"/>
      <c r="P260" s="78"/>
      <c r="Q260" s="76"/>
    </row>
    <row r="261" spans="1:17" ht="19.899999999999999" customHeight="1" x14ac:dyDescent="0.25">
      <c r="A261" s="74"/>
      <c r="B261" s="74"/>
      <c r="C261" s="74"/>
      <c r="D261" s="74"/>
      <c r="E261" s="69"/>
      <c r="F261" s="75"/>
      <c r="G261" s="76"/>
      <c r="H261" s="76"/>
      <c r="I261" s="76"/>
      <c r="J261" s="76"/>
      <c r="K261" s="76"/>
      <c r="L261" s="76"/>
      <c r="M261" s="77"/>
      <c r="N261" s="77"/>
      <c r="O261" s="78"/>
      <c r="P261" s="78"/>
      <c r="Q261" s="76"/>
    </row>
    <row r="262" spans="1:17" ht="19.899999999999999" customHeight="1" x14ac:dyDescent="0.25">
      <c r="A262" s="74"/>
      <c r="B262" s="74"/>
      <c r="C262" s="74"/>
      <c r="D262" s="74"/>
      <c r="E262" s="69"/>
      <c r="F262" s="75"/>
      <c r="G262" s="76"/>
      <c r="H262" s="76"/>
      <c r="I262" s="76"/>
      <c r="J262" s="76"/>
      <c r="K262" s="76"/>
      <c r="L262" s="76"/>
      <c r="M262" s="77"/>
      <c r="N262" s="77"/>
      <c r="O262" s="78"/>
      <c r="P262" s="78"/>
      <c r="Q262" s="76"/>
    </row>
    <row r="263" spans="1:17" ht="19.899999999999999" customHeight="1" x14ac:dyDescent="0.25">
      <c r="A263" s="74"/>
      <c r="B263" s="74"/>
      <c r="C263" s="74"/>
      <c r="D263" s="74"/>
      <c r="E263" s="69"/>
      <c r="F263" s="75"/>
      <c r="G263" s="76"/>
      <c r="H263" s="76"/>
      <c r="I263" s="76"/>
      <c r="J263" s="76"/>
      <c r="K263" s="76"/>
      <c r="L263" s="76"/>
      <c r="M263" s="77"/>
      <c r="N263" s="77"/>
      <c r="O263" s="78"/>
      <c r="P263" s="78"/>
      <c r="Q263" s="76"/>
    </row>
    <row r="264" spans="1:17" ht="19.899999999999999" customHeight="1" x14ac:dyDescent="0.25">
      <c r="A264" s="74"/>
      <c r="B264" s="74"/>
      <c r="C264" s="74"/>
      <c r="D264" s="74"/>
      <c r="E264" s="69"/>
      <c r="F264" s="75"/>
      <c r="G264" s="76"/>
      <c r="H264" s="76"/>
      <c r="I264" s="76"/>
      <c r="J264" s="76"/>
      <c r="K264" s="76"/>
      <c r="L264" s="76"/>
      <c r="M264" s="77"/>
      <c r="N264" s="77"/>
      <c r="O264" s="78"/>
      <c r="P264" s="78"/>
      <c r="Q264" s="76"/>
    </row>
    <row r="265" spans="1:17" ht="19.899999999999999" customHeight="1" x14ac:dyDescent="0.25">
      <c r="A265" s="74"/>
      <c r="B265" s="74"/>
      <c r="C265" s="74"/>
      <c r="D265" s="74"/>
      <c r="E265" s="69"/>
      <c r="F265" s="75"/>
      <c r="G265" s="76"/>
      <c r="H265" s="76"/>
      <c r="I265" s="76"/>
      <c r="J265" s="76"/>
      <c r="K265" s="76"/>
      <c r="L265" s="76"/>
      <c r="M265" s="77"/>
      <c r="N265" s="77"/>
      <c r="O265" s="78"/>
      <c r="P265" s="78"/>
      <c r="Q265" s="76"/>
    </row>
    <row r="266" spans="1:17" ht="19.899999999999999" customHeight="1" x14ac:dyDescent="0.25">
      <c r="A266" s="74"/>
      <c r="B266" s="74"/>
      <c r="C266" s="74"/>
      <c r="D266" s="74"/>
      <c r="E266" s="69"/>
      <c r="F266" s="75"/>
      <c r="G266" s="76"/>
      <c r="H266" s="76"/>
      <c r="I266" s="76"/>
      <c r="J266" s="76"/>
      <c r="K266" s="76"/>
      <c r="L266" s="76"/>
      <c r="M266" s="77"/>
      <c r="N266" s="77"/>
      <c r="O266" s="78"/>
      <c r="P266" s="78"/>
      <c r="Q266" s="76"/>
    </row>
    <row r="267" spans="1:17" ht="19.899999999999999" customHeight="1" x14ac:dyDescent="0.25">
      <c r="A267" s="74"/>
      <c r="B267" s="74"/>
      <c r="C267" s="74"/>
      <c r="D267" s="74"/>
      <c r="E267" s="69"/>
      <c r="F267" s="75"/>
      <c r="G267" s="76"/>
      <c r="H267" s="76"/>
      <c r="I267" s="76"/>
      <c r="J267" s="76"/>
      <c r="K267" s="76"/>
      <c r="L267" s="76"/>
      <c r="M267" s="77"/>
      <c r="N267" s="77"/>
      <c r="O267" s="78"/>
      <c r="P267" s="78"/>
      <c r="Q267" s="76"/>
    </row>
    <row r="268" spans="1:17" ht="19.899999999999999" customHeight="1" x14ac:dyDescent="0.25">
      <c r="A268" s="74"/>
      <c r="B268" s="74"/>
      <c r="C268" s="74"/>
      <c r="D268" s="74"/>
      <c r="E268" s="69"/>
      <c r="F268" s="75"/>
      <c r="G268" s="76"/>
      <c r="H268" s="76"/>
      <c r="I268" s="76"/>
      <c r="J268" s="76"/>
      <c r="K268" s="76"/>
      <c r="L268" s="76"/>
      <c r="M268" s="77"/>
      <c r="N268" s="77"/>
      <c r="O268" s="78"/>
      <c r="P268" s="78"/>
      <c r="Q268" s="76"/>
    </row>
    <row r="269" spans="1:17" ht="19.899999999999999" customHeight="1" x14ac:dyDescent="0.25">
      <c r="A269" s="74"/>
      <c r="B269" s="74"/>
      <c r="C269" s="74"/>
      <c r="D269" s="74"/>
      <c r="E269" s="69"/>
      <c r="F269" s="75"/>
      <c r="G269" s="76"/>
      <c r="H269" s="76"/>
      <c r="I269" s="76"/>
      <c r="J269" s="76"/>
      <c r="K269" s="76"/>
      <c r="L269" s="76"/>
      <c r="M269" s="77"/>
      <c r="N269" s="77"/>
      <c r="O269" s="78"/>
      <c r="P269" s="78"/>
      <c r="Q269" s="76"/>
    </row>
    <row r="270" spans="1:17" ht="19.899999999999999" customHeight="1" x14ac:dyDescent="0.25">
      <c r="A270" s="74"/>
      <c r="B270" s="74"/>
      <c r="C270" s="74"/>
      <c r="D270" s="74"/>
      <c r="E270" s="69"/>
      <c r="F270" s="75"/>
      <c r="G270" s="76"/>
      <c r="H270" s="76"/>
      <c r="I270" s="76"/>
      <c r="J270" s="76"/>
      <c r="K270" s="76"/>
      <c r="L270" s="76"/>
      <c r="M270" s="77"/>
      <c r="N270" s="77"/>
      <c r="O270" s="78"/>
      <c r="P270" s="78"/>
      <c r="Q270" s="76"/>
    </row>
    <row r="271" spans="1:17" ht="19.899999999999999" customHeight="1" x14ac:dyDescent="0.25">
      <c r="A271" s="74"/>
      <c r="B271" s="74"/>
      <c r="C271" s="74"/>
      <c r="D271" s="74"/>
      <c r="E271" s="69"/>
      <c r="F271" s="75"/>
      <c r="G271" s="76"/>
      <c r="H271" s="76"/>
      <c r="I271" s="76"/>
      <c r="J271" s="76"/>
      <c r="K271" s="76"/>
      <c r="L271" s="76"/>
      <c r="M271" s="77"/>
      <c r="N271" s="77"/>
      <c r="O271" s="78"/>
      <c r="P271" s="78"/>
      <c r="Q271" s="76"/>
    </row>
    <row r="272" spans="1:17" ht="19.899999999999999" customHeight="1" x14ac:dyDescent="0.25">
      <c r="A272" s="74"/>
      <c r="B272" s="74"/>
      <c r="C272" s="74"/>
      <c r="D272" s="74"/>
      <c r="E272" s="69"/>
      <c r="F272" s="75"/>
      <c r="G272" s="76"/>
      <c r="H272" s="76"/>
      <c r="I272" s="76"/>
      <c r="J272" s="76"/>
      <c r="K272" s="76"/>
      <c r="L272" s="76"/>
      <c r="M272" s="77"/>
      <c r="N272" s="77"/>
      <c r="O272" s="78"/>
      <c r="P272" s="78"/>
      <c r="Q272" s="76"/>
    </row>
    <row r="273" spans="1:17" ht="19.899999999999999" customHeight="1" x14ac:dyDescent="0.25">
      <c r="A273" s="74"/>
      <c r="B273" s="74"/>
      <c r="C273" s="74"/>
      <c r="D273" s="74"/>
      <c r="E273" s="69"/>
      <c r="F273" s="75"/>
      <c r="G273" s="76"/>
      <c r="H273" s="76"/>
      <c r="I273" s="76"/>
      <c r="J273" s="76"/>
      <c r="K273" s="76"/>
      <c r="L273" s="76"/>
      <c r="M273" s="77"/>
      <c r="N273" s="77"/>
      <c r="O273" s="78"/>
      <c r="P273" s="78"/>
      <c r="Q273" s="76"/>
    </row>
    <row r="274" spans="1:17" ht="19.899999999999999" customHeight="1" x14ac:dyDescent="0.25">
      <c r="A274" s="74"/>
      <c r="B274" s="74"/>
      <c r="C274" s="74"/>
      <c r="D274" s="74"/>
      <c r="E274" s="69"/>
      <c r="F274" s="75"/>
      <c r="G274" s="76"/>
      <c r="H274" s="76"/>
      <c r="I274" s="76"/>
      <c r="J274" s="76"/>
      <c r="K274" s="76"/>
      <c r="L274" s="76"/>
      <c r="M274" s="77"/>
      <c r="N274" s="77"/>
      <c r="O274" s="78"/>
      <c r="P274" s="78"/>
      <c r="Q274" s="76"/>
    </row>
    <row r="275" spans="1:17" ht="19.899999999999999" customHeight="1" x14ac:dyDescent="0.25">
      <c r="A275" s="74"/>
      <c r="B275" s="74"/>
      <c r="C275" s="74"/>
      <c r="D275" s="74"/>
      <c r="E275" s="69"/>
      <c r="F275" s="75"/>
      <c r="G275" s="76"/>
      <c r="H275" s="76"/>
      <c r="I275" s="76"/>
      <c r="J275" s="76"/>
      <c r="K275" s="76"/>
      <c r="L275" s="76"/>
      <c r="M275" s="77"/>
      <c r="N275" s="77"/>
      <c r="O275" s="78"/>
      <c r="P275" s="78"/>
      <c r="Q275" s="76"/>
    </row>
    <row r="276" spans="1:17" ht="19.899999999999999" customHeight="1" x14ac:dyDescent="0.25">
      <c r="A276" s="74"/>
      <c r="B276" s="74"/>
      <c r="C276" s="74"/>
      <c r="D276" s="74"/>
      <c r="E276" s="69"/>
      <c r="F276" s="75"/>
      <c r="G276" s="76"/>
      <c r="H276" s="76"/>
      <c r="I276" s="76"/>
      <c r="J276" s="76"/>
      <c r="K276" s="76"/>
      <c r="L276" s="76"/>
      <c r="M276" s="77"/>
      <c r="N276" s="77"/>
      <c r="O276" s="78"/>
      <c r="P276" s="78"/>
      <c r="Q276" s="76"/>
    </row>
    <row r="277" spans="1:17" ht="19.899999999999999" customHeight="1" x14ac:dyDescent="0.25">
      <c r="A277" s="74"/>
      <c r="B277" s="74"/>
      <c r="C277" s="74"/>
      <c r="D277" s="74"/>
      <c r="E277" s="69"/>
      <c r="F277" s="75"/>
      <c r="G277" s="76"/>
      <c r="H277" s="76"/>
      <c r="I277" s="76"/>
      <c r="J277" s="76"/>
      <c r="K277" s="76"/>
      <c r="L277" s="76"/>
      <c r="M277" s="77"/>
      <c r="N277" s="77"/>
      <c r="O277" s="78"/>
      <c r="P277" s="78"/>
      <c r="Q277" s="76"/>
    </row>
    <row r="278" spans="1:17" ht="19.899999999999999" customHeight="1" x14ac:dyDescent="0.25">
      <c r="A278" s="74"/>
      <c r="B278" s="74"/>
      <c r="C278" s="74"/>
      <c r="D278" s="74"/>
      <c r="E278" s="69"/>
      <c r="F278" s="75"/>
      <c r="G278" s="76"/>
      <c r="H278" s="76"/>
      <c r="I278" s="76"/>
      <c r="J278" s="76"/>
      <c r="K278" s="76"/>
      <c r="L278" s="76"/>
      <c r="M278" s="77"/>
      <c r="N278" s="77"/>
      <c r="O278" s="78"/>
      <c r="P278" s="78"/>
      <c r="Q278" s="76"/>
    </row>
    <row r="279" spans="1:17" ht="19.899999999999999" customHeight="1" x14ac:dyDescent="0.25">
      <c r="A279" s="74"/>
      <c r="B279" s="74"/>
      <c r="C279" s="74"/>
      <c r="D279" s="74"/>
      <c r="E279" s="69"/>
      <c r="F279" s="75"/>
      <c r="G279" s="76"/>
      <c r="H279" s="76"/>
      <c r="I279" s="76"/>
      <c r="J279" s="76"/>
      <c r="K279" s="76"/>
      <c r="L279" s="76"/>
      <c r="M279" s="77"/>
      <c r="N279" s="77"/>
      <c r="O279" s="78"/>
      <c r="P279" s="78"/>
      <c r="Q279" s="76"/>
    </row>
    <row r="280" spans="1:17" ht="19.899999999999999" customHeight="1" x14ac:dyDescent="0.25">
      <c r="A280" s="74"/>
      <c r="B280" s="74"/>
      <c r="C280" s="74"/>
      <c r="D280" s="74"/>
      <c r="E280" s="69"/>
      <c r="F280" s="75"/>
      <c r="G280" s="76"/>
      <c r="H280" s="76"/>
      <c r="I280" s="76"/>
      <c r="J280" s="76"/>
      <c r="K280" s="76"/>
      <c r="L280" s="76"/>
      <c r="M280" s="77"/>
      <c r="N280" s="77"/>
      <c r="O280" s="78"/>
      <c r="P280" s="78"/>
      <c r="Q280" s="76"/>
    </row>
    <row r="281" spans="1:17" ht="19.899999999999999" customHeight="1" x14ac:dyDescent="0.25">
      <c r="A281" s="74"/>
      <c r="B281" s="74"/>
      <c r="C281" s="74"/>
      <c r="D281" s="74"/>
      <c r="E281" s="69"/>
      <c r="F281" s="75"/>
      <c r="G281" s="76"/>
      <c r="H281" s="76"/>
      <c r="I281" s="76"/>
      <c r="J281" s="76"/>
      <c r="K281" s="76"/>
      <c r="L281" s="76"/>
      <c r="M281" s="77"/>
      <c r="N281" s="77"/>
      <c r="O281" s="78"/>
      <c r="P281" s="78"/>
      <c r="Q281" s="76"/>
    </row>
    <row r="282" spans="1:17" ht="19.899999999999999" customHeight="1" x14ac:dyDescent="0.25">
      <c r="A282" s="74"/>
      <c r="B282" s="74"/>
      <c r="C282" s="74"/>
      <c r="D282" s="74"/>
      <c r="E282" s="69"/>
      <c r="F282" s="75"/>
      <c r="G282" s="76"/>
      <c r="H282" s="76"/>
      <c r="I282" s="76"/>
      <c r="J282" s="76"/>
      <c r="K282" s="76"/>
      <c r="L282" s="76"/>
      <c r="M282" s="77"/>
      <c r="N282" s="77"/>
      <c r="O282" s="78"/>
      <c r="P282" s="78"/>
      <c r="Q282" s="76"/>
    </row>
    <row r="283" spans="1:17" ht="19.899999999999999" customHeight="1" x14ac:dyDescent="0.25">
      <c r="A283" s="74"/>
      <c r="B283" s="74"/>
      <c r="C283" s="74"/>
      <c r="D283" s="74"/>
      <c r="E283" s="69"/>
      <c r="F283" s="75"/>
      <c r="G283" s="76"/>
      <c r="H283" s="76"/>
      <c r="I283" s="76"/>
      <c r="J283" s="76"/>
      <c r="K283" s="76"/>
      <c r="L283" s="76"/>
      <c r="M283" s="77"/>
      <c r="N283" s="77"/>
      <c r="O283" s="78"/>
      <c r="P283" s="78"/>
      <c r="Q283" s="76"/>
    </row>
    <row r="284" spans="1:17" ht="19.899999999999999" customHeight="1" x14ac:dyDescent="0.25">
      <c r="A284" s="74"/>
      <c r="B284" s="74"/>
      <c r="C284" s="74"/>
      <c r="D284" s="74"/>
      <c r="E284" s="69"/>
      <c r="F284" s="75"/>
      <c r="G284" s="76"/>
      <c r="H284" s="76"/>
      <c r="I284" s="76"/>
      <c r="J284" s="76"/>
      <c r="K284" s="76"/>
      <c r="L284" s="76"/>
      <c r="M284" s="77"/>
      <c r="N284" s="77"/>
      <c r="O284" s="78"/>
      <c r="P284" s="78"/>
      <c r="Q284" s="76"/>
    </row>
    <row r="285" spans="1:17" ht="19.899999999999999" customHeight="1" x14ac:dyDescent="0.25">
      <c r="A285" s="74"/>
      <c r="B285" s="74"/>
      <c r="C285" s="74"/>
      <c r="D285" s="74"/>
      <c r="E285" s="69"/>
      <c r="F285" s="75"/>
      <c r="G285" s="76"/>
      <c r="H285" s="76"/>
      <c r="I285" s="76"/>
      <c r="J285" s="76"/>
      <c r="K285" s="76"/>
      <c r="L285" s="76"/>
      <c r="M285" s="77"/>
      <c r="N285" s="77"/>
      <c r="O285" s="78"/>
      <c r="P285" s="78"/>
      <c r="Q285" s="76"/>
    </row>
    <row r="286" spans="1:17" ht="19.899999999999999" customHeight="1" x14ac:dyDescent="0.25">
      <c r="A286" s="74"/>
      <c r="B286" s="74"/>
      <c r="C286" s="74"/>
      <c r="D286" s="74"/>
      <c r="E286" s="69"/>
      <c r="F286" s="75"/>
      <c r="G286" s="76"/>
      <c r="H286" s="76"/>
      <c r="I286" s="76"/>
      <c r="J286" s="76"/>
      <c r="K286" s="76"/>
      <c r="L286" s="76"/>
      <c r="M286" s="77"/>
      <c r="N286" s="77"/>
      <c r="O286" s="78"/>
      <c r="P286" s="78"/>
      <c r="Q286" s="76"/>
    </row>
    <row r="287" spans="1:17" ht="19.899999999999999" customHeight="1" x14ac:dyDescent="0.25">
      <c r="A287" s="74"/>
      <c r="B287" s="74"/>
      <c r="C287" s="74"/>
      <c r="D287" s="74"/>
      <c r="E287" s="69"/>
      <c r="F287" s="75"/>
      <c r="G287" s="76"/>
      <c r="H287" s="76"/>
      <c r="I287" s="76"/>
      <c r="J287" s="76"/>
      <c r="K287" s="76"/>
      <c r="L287" s="76"/>
      <c r="M287" s="77"/>
      <c r="N287" s="77"/>
      <c r="O287" s="78"/>
      <c r="P287" s="78"/>
      <c r="Q287" s="76"/>
    </row>
    <row r="288" spans="1:17" ht="19.899999999999999" customHeight="1" x14ac:dyDescent="0.25">
      <c r="A288" s="74"/>
      <c r="B288" s="74"/>
      <c r="C288" s="74"/>
      <c r="D288" s="74"/>
      <c r="E288" s="69"/>
      <c r="F288" s="75"/>
      <c r="G288" s="76"/>
      <c r="H288" s="76"/>
      <c r="I288" s="76"/>
      <c r="J288" s="76"/>
      <c r="K288" s="76"/>
      <c r="L288" s="76"/>
      <c r="M288" s="77"/>
      <c r="N288" s="77"/>
      <c r="O288" s="78"/>
      <c r="P288" s="78"/>
      <c r="Q288" s="76"/>
    </row>
    <row r="289" spans="1:17" ht="19.899999999999999" customHeight="1" x14ac:dyDescent="0.25">
      <c r="A289" s="74"/>
      <c r="B289" s="74"/>
      <c r="C289" s="74"/>
      <c r="D289" s="74"/>
      <c r="E289" s="69"/>
      <c r="F289" s="75"/>
      <c r="G289" s="76"/>
      <c r="H289" s="76"/>
      <c r="I289" s="76"/>
      <c r="J289" s="76"/>
      <c r="K289" s="76"/>
      <c r="L289" s="76"/>
      <c r="M289" s="77"/>
      <c r="N289" s="77"/>
      <c r="O289" s="78"/>
      <c r="P289" s="78"/>
      <c r="Q289" s="76"/>
    </row>
    <row r="290" spans="1:17" ht="19.899999999999999" customHeight="1" x14ac:dyDescent="0.25">
      <c r="A290" s="74"/>
      <c r="B290" s="74"/>
      <c r="C290" s="74"/>
      <c r="D290" s="74"/>
      <c r="E290" s="69"/>
      <c r="F290" s="75"/>
      <c r="G290" s="76"/>
      <c r="H290" s="76"/>
      <c r="I290" s="76"/>
      <c r="J290" s="76"/>
      <c r="K290" s="76"/>
      <c r="L290" s="76"/>
      <c r="M290" s="77"/>
      <c r="N290" s="77"/>
      <c r="O290" s="78"/>
      <c r="P290" s="78"/>
      <c r="Q290" s="76"/>
    </row>
    <row r="291" spans="1:17" ht="19.899999999999999" customHeight="1" x14ac:dyDescent="0.25">
      <c r="A291" s="74"/>
      <c r="B291" s="74"/>
      <c r="C291" s="74"/>
      <c r="D291" s="74"/>
      <c r="E291" s="69"/>
      <c r="F291" s="75"/>
      <c r="G291" s="76"/>
      <c r="H291" s="76"/>
      <c r="I291" s="76"/>
      <c r="J291" s="76"/>
      <c r="K291" s="76"/>
      <c r="L291" s="76"/>
      <c r="M291" s="77"/>
      <c r="N291" s="77"/>
      <c r="O291" s="78"/>
      <c r="P291" s="78"/>
      <c r="Q291" s="76"/>
    </row>
    <row r="292" spans="1:17" ht="19.899999999999999" customHeight="1" x14ac:dyDescent="0.25">
      <c r="A292" s="74"/>
      <c r="B292" s="74"/>
      <c r="C292" s="74"/>
      <c r="D292" s="74"/>
      <c r="E292" s="69"/>
      <c r="F292" s="75"/>
      <c r="G292" s="76"/>
      <c r="H292" s="76"/>
      <c r="I292" s="76"/>
      <c r="J292" s="76"/>
      <c r="K292" s="76"/>
      <c r="L292" s="76"/>
      <c r="M292" s="77"/>
      <c r="N292" s="77"/>
      <c r="O292" s="78"/>
      <c r="P292" s="78"/>
      <c r="Q292" s="76"/>
    </row>
    <row r="293" spans="1:17" ht="19.899999999999999" customHeight="1" x14ac:dyDescent="0.25">
      <c r="A293" s="74"/>
      <c r="B293" s="74"/>
      <c r="C293" s="74"/>
      <c r="D293" s="74"/>
      <c r="E293" s="69"/>
      <c r="F293" s="75"/>
      <c r="G293" s="76"/>
      <c r="H293" s="76"/>
      <c r="I293" s="76"/>
      <c r="J293" s="76"/>
      <c r="K293" s="76"/>
      <c r="L293" s="76"/>
      <c r="M293" s="77"/>
      <c r="N293" s="77"/>
      <c r="O293" s="78"/>
      <c r="P293" s="78"/>
      <c r="Q293" s="76"/>
    </row>
    <row r="294" spans="1:17" ht="19.899999999999999" customHeight="1" x14ac:dyDescent="0.25">
      <c r="A294" s="74"/>
      <c r="B294" s="74"/>
      <c r="C294" s="74"/>
      <c r="D294" s="74"/>
      <c r="E294" s="69"/>
      <c r="F294" s="75"/>
      <c r="G294" s="76"/>
      <c r="H294" s="76"/>
      <c r="I294" s="76"/>
      <c r="J294" s="76"/>
      <c r="K294" s="76"/>
      <c r="L294" s="76"/>
      <c r="M294" s="77"/>
      <c r="N294" s="77"/>
      <c r="O294" s="78"/>
      <c r="P294" s="78"/>
      <c r="Q294" s="76"/>
    </row>
    <row r="295" spans="1:17" ht="19.899999999999999" customHeight="1" x14ac:dyDescent="0.25">
      <c r="A295" s="74"/>
      <c r="B295" s="74"/>
      <c r="C295" s="74"/>
      <c r="D295" s="74"/>
      <c r="E295" s="69"/>
      <c r="F295" s="75"/>
      <c r="G295" s="76"/>
      <c r="H295" s="76"/>
      <c r="I295" s="76"/>
      <c r="J295" s="76"/>
      <c r="K295" s="76"/>
      <c r="L295" s="76"/>
      <c r="M295" s="77"/>
      <c r="N295" s="77"/>
      <c r="O295" s="78"/>
      <c r="P295" s="78"/>
      <c r="Q295" s="76"/>
    </row>
    <row r="296" spans="1:17" ht="19.899999999999999" customHeight="1" x14ac:dyDescent="0.25">
      <c r="A296" s="74"/>
      <c r="B296" s="74"/>
      <c r="C296" s="74"/>
      <c r="D296" s="74"/>
      <c r="E296" s="69"/>
      <c r="F296" s="75"/>
      <c r="G296" s="76"/>
      <c r="H296" s="76"/>
      <c r="I296" s="76"/>
      <c r="J296" s="76"/>
      <c r="K296" s="76"/>
      <c r="L296" s="76"/>
      <c r="M296" s="77"/>
      <c r="N296" s="77"/>
      <c r="O296" s="78"/>
      <c r="P296" s="78"/>
      <c r="Q296" s="76"/>
    </row>
    <row r="297" spans="1:17" ht="19.899999999999999" customHeight="1" x14ac:dyDescent="0.25">
      <c r="A297" s="74"/>
      <c r="B297" s="74"/>
      <c r="C297" s="74"/>
      <c r="D297" s="74"/>
      <c r="E297" s="69"/>
      <c r="F297" s="75"/>
      <c r="G297" s="76"/>
      <c r="H297" s="76"/>
      <c r="I297" s="76"/>
      <c r="J297" s="76"/>
      <c r="K297" s="76"/>
      <c r="L297" s="76"/>
      <c r="M297" s="77"/>
      <c r="N297" s="77"/>
      <c r="O297" s="78"/>
      <c r="P297" s="78"/>
      <c r="Q297" s="76"/>
    </row>
    <row r="298" spans="1:17" ht="19.899999999999999" customHeight="1" x14ac:dyDescent="0.25">
      <c r="A298" s="74"/>
      <c r="B298" s="74"/>
      <c r="C298" s="74"/>
      <c r="D298" s="74"/>
      <c r="E298" s="69"/>
      <c r="F298" s="75"/>
      <c r="G298" s="76"/>
      <c r="H298" s="76"/>
      <c r="I298" s="76"/>
      <c r="J298" s="76"/>
      <c r="K298" s="76"/>
      <c r="L298" s="76"/>
      <c r="M298" s="77"/>
      <c r="N298" s="77"/>
      <c r="O298" s="78"/>
      <c r="P298" s="78"/>
      <c r="Q298" s="76"/>
    </row>
    <row r="299" spans="1:17" ht="19.899999999999999" customHeight="1" x14ac:dyDescent="0.25">
      <c r="A299" s="74"/>
      <c r="B299" s="74"/>
      <c r="C299" s="74"/>
      <c r="D299" s="74"/>
      <c r="E299" s="69"/>
      <c r="F299" s="75"/>
      <c r="G299" s="76"/>
      <c r="H299" s="76"/>
      <c r="I299" s="76"/>
      <c r="J299" s="76"/>
      <c r="K299" s="76"/>
      <c r="L299" s="76"/>
      <c r="M299" s="77"/>
      <c r="N299" s="77"/>
      <c r="O299" s="78"/>
      <c r="P299" s="78"/>
      <c r="Q299" s="76"/>
    </row>
    <row r="300" spans="1:17" ht="19.899999999999999" customHeight="1" x14ac:dyDescent="0.25">
      <c r="A300" s="74"/>
      <c r="B300" s="74"/>
      <c r="C300" s="74"/>
      <c r="D300" s="74"/>
      <c r="E300" s="69"/>
      <c r="F300" s="75"/>
      <c r="G300" s="76"/>
      <c r="H300" s="76"/>
      <c r="I300" s="76"/>
      <c r="J300" s="76"/>
      <c r="K300" s="76"/>
      <c r="L300" s="76"/>
      <c r="M300" s="77"/>
      <c r="N300" s="77"/>
      <c r="O300" s="78"/>
      <c r="P300" s="78"/>
      <c r="Q300" s="76"/>
    </row>
    <row r="301" spans="1:17" ht="19.899999999999999" customHeight="1" x14ac:dyDescent="0.25">
      <c r="A301" s="74"/>
      <c r="B301" s="74"/>
      <c r="C301" s="74"/>
      <c r="D301" s="74"/>
      <c r="E301" s="69"/>
      <c r="F301" s="75"/>
      <c r="G301" s="76"/>
      <c r="H301" s="76"/>
      <c r="I301" s="76"/>
      <c r="J301" s="76"/>
      <c r="K301" s="76"/>
      <c r="L301" s="76"/>
      <c r="M301" s="77"/>
      <c r="N301" s="77"/>
      <c r="O301" s="78"/>
      <c r="P301" s="78"/>
      <c r="Q301" s="76"/>
    </row>
    <row r="302" spans="1:17" ht="19.899999999999999" customHeight="1" x14ac:dyDescent="0.25">
      <c r="A302" s="74"/>
      <c r="B302" s="74"/>
      <c r="C302" s="74"/>
      <c r="D302" s="74"/>
      <c r="E302" s="69"/>
      <c r="F302" s="75"/>
      <c r="G302" s="76"/>
      <c r="H302" s="76"/>
      <c r="I302" s="76"/>
      <c r="J302" s="76"/>
      <c r="K302" s="76"/>
      <c r="L302" s="76"/>
      <c r="M302" s="77"/>
      <c r="N302" s="77"/>
      <c r="O302" s="78"/>
      <c r="P302" s="78"/>
      <c r="Q302" s="76"/>
    </row>
    <row r="303" spans="1:17" ht="19.899999999999999" customHeight="1" x14ac:dyDescent="0.25">
      <c r="A303" s="74"/>
      <c r="B303" s="74"/>
      <c r="C303" s="74"/>
      <c r="D303" s="74"/>
      <c r="E303" s="69"/>
      <c r="F303" s="75"/>
      <c r="G303" s="76"/>
      <c r="H303" s="76"/>
      <c r="I303" s="76"/>
      <c r="J303" s="76"/>
      <c r="K303" s="76"/>
      <c r="L303" s="76"/>
      <c r="M303" s="77"/>
      <c r="N303" s="77"/>
      <c r="O303" s="78"/>
      <c r="P303" s="78"/>
      <c r="Q303" s="76"/>
    </row>
    <row r="304" spans="1:17" ht="19.899999999999999" customHeight="1" x14ac:dyDescent="0.25">
      <c r="A304" s="74"/>
      <c r="B304" s="74"/>
      <c r="C304" s="74"/>
      <c r="D304" s="74"/>
      <c r="E304" s="69"/>
      <c r="F304" s="75"/>
      <c r="G304" s="76"/>
      <c r="H304" s="76"/>
      <c r="I304" s="76"/>
      <c r="J304" s="76"/>
      <c r="K304" s="76"/>
      <c r="L304" s="76"/>
      <c r="M304" s="77"/>
      <c r="N304" s="77"/>
      <c r="O304" s="78"/>
      <c r="P304" s="78"/>
      <c r="Q304" s="76"/>
    </row>
    <row r="305" spans="1:17" ht="19.899999999999999" customHeight="1" x14ac:dyDescent="0.25">
      <c r="A305" s="74"/>
      <c r="B305" s="74"/>
      <c r="C305" s="74"/>
      <c r="D305" s="74"/>
      <c r="E305" s="69"/>
      <c r="F305" s="75"/>
      <c r="G305" s="76"/>
      <c r="H305" s="76"/>
      <c r="I305" s="76"/>
      <c r="J305" s="76"/>
      <c r="K305" s="76"/>
      <c r="L305" s="76"/>
      <c r="M305" s="77"/>
      <c r="N305" s="77"/>
      <c r="O305" s="78"/>
      <c r="P305" s="78"/>
      <c r="Q305" s="76"/>
    </row>
    <row r="306" spans="1:17" ht="19.899999999999999" customHeight="1" x14ac:dyDescent="0.25">
      <c r="A306" s="74"/>
      <c r="B306" s="74"/>
      <c r="C306" s="74"/>
      <c r="D306" s="74"/>
      <c r="E306" s="69"/>
      <c r="F306" s="75"/>
      <c r="G306" s="76"/>
      <c r="H306" s="76"/>
      <c r="I306" s="76"/>
      <c r="J306" s="76"/>
      <c r="K306" s="76"/>
      <c r="L306" s="76"/>
      <c r="M306" s="77"/>
      <c r="N306" s="77"/>
      <c r="O306" s="78"/>
      <c r="P306" s="78"/>
      <c r="Q306" s="76"/>
    </row>
    <row r="307" spans="1:17" ht="19.899999999999999" customHeight="1" x14ac:dyDescent="0.25">
      <c r="A307" s="74"/>
      <c r="B307" s="74"/>
      <c r="C307" s="74"/>
      <c r="D307" s="74"/>
      <c r="E307" s="69"/>
      <c r="F307" s="75"/>
      <c r="G307" s="76"/>
      <c r="H307" s="76"/>
      <c r="I307" s="76"/>
      <c r="J307" s="76"/>
      <c r="K307" s="76"/>
      <c r="L307" s="76"/>
      <c r="M307" s="77"/>
      <c r="N307" s="77"/>
      <c r="O307" s="78"/>
      <c r="P307" s="78"/>
      <c r="Q307" s="76"/>
    </row>
    <row r="308" spans="1:17" ht="19.899999999999999" customHeight="1" x14ac:dyDescent="0.25">
      <c r="A308" s="74"/>
      <c r="B308" s="74"/>
      <c r="C308" s="74"/>
      <c r="D308" s="74"/>
      <c r="E308" s="69"/>
      <c r="F308" s="75"/>
      <c r="G308" s="76"/>
      <c r="H308" s="76"/>
      <c r="I308" s="76"/>
      <c r="J308" s="76"/>
      <c r="K308" s="76"/>
      <c r="L308" s="76"/>
      <c r="M308" s="77"/>
      <c r="N308" s="77"/>
      <c r="O308" s="78"/>
      <c r="P308" s="78"/>
      <c r="Q308" s="76"/>
    </row>
    <row r="309" spans="1:17" ht="19.899999999999999" customHeight="1" x14ac:dyDescent="0.25">
      <c r="A309" s="74"/>
      <c r="B309" s="74"/>
      <c r="C309" s="74"/>
      <c r="D309" s="74"/>
      <c r="E309" s="69"/>
      <c r="F309" s="75"/>
      <c r="G309" s="76"/>
      <c r="H309" s="76"/>
      <c r="I309" s="76"/>
      <c r="J309" s="76"/>
      <c r="K309" s="76"/>
      <c r="L309" s="76"/>
      <c r="M309" s="77"/>
      <c r="N309" s="77"/>
      <c r="O309" s="78"/>
      <c r="P309" s="78"/>
      <c r="Q309" s="76"/>
    </row>
    <row r="310" spans="1:17" ht="19.899999999999999" customHeight="1" x14ac:dyDescent="0.25">
      <c r="A310" s="74"/>
      <c r="B310" s="74"/>
      <c r="C310" s="74"/>
      <c r="D310" s="74"/>
      <c r="E310" s="69"/>
      <c r="F310" s="75"/>
      <c r="G310" s="76"/>
      <c r="H310" s="76"/>
      <c r="I310" s="76"/>
      <c r="J310" s="76"/>
      <c r="K310" s="76"/>
      <c r="L310" s="76"/>
      <c r="M310" s="77"/>
      <c r="N310" s="77"/>
      <c r="O310" s="78"/>
      <c r="P310" s="78"/>
      <c r="Q310" s="76"/>
    </row>
    <row r="311" spans="1:17" ht="19.899999999999999" customHeight="1" x14ac:dyDescent="0.25">
      <c r="A311" s="74"/>
      <c r="B311" s="74"/>
      <c r="C311" s="74"/>
      <c r="D311" s="74"/>
      <c r="E311" s="69"/>
      <c r="F311" s="75"/>
      <c r="G311" s="76"/>
      <c r="H311" s="76"/>
      <c r="I311" s="76"/>
      <c r="J311" s="76"/>
      <c r="K311" s="76"/>
      <c r="L311" s="76"/>
      <c r="M311" s="77"/>
      <c r="N311" s="77"/>
      <c r="O311" s="78"/>
      <c r="P311" s="78"/>
      <c r="Q311" s="76"/>
    </row>
    <row r="312" spans="1:17" ht="19.899999999999999" customHeight="1" x14ac:dyDescent="0.25">
      <c r="A312" s="74"/>
      <c r="B312" s="74"/>
      <c r="C312" s="74"/>
      <c r="D312" s="74"/>
      <c r="E312" s="69"/>
      <c r="F312" s="75"/>
      <c r="G312" s="76"/>
      <c r="H312" s="76"/>
      <c r="I312" s="76"/>
      <c r="J312" s="76"/>
      <c r="K312" s="76"/>
      <c r="L312" s="76"/>
      <c r="M312" s="77"/>
      <c r="N312" s="77"/>
      <c r="O312" s="78"/>
      <c r="P312" s="78"/>
      <c r="Q312" s="76"/>
    </row>
    <row r="313" spans="1:17" ht="19.899999999999999" customHeight="1" x14ac:dyDescent="0.25">
      <c r="A313" s="74"/>
      <c r="B313" s="74"/>
      <c r="C313" s="74"/>
      <c r="D313" s="74"/>
      <c r="E313" s="69"/>
      <c r="F313" s="75"/>
      <c r="G313" s="76"/>
      <c r="H313" s="76"/>
      <c r="I313" s="76"/>
      <c r="J313" s="76"/>
      <c r="K313" s="76"/>
      <c r="L313" s="76"/>
      <c r="M313" s="77"/>
      <c r="N313" s="77"/>
      <c r="O313" s="78"/>
      <c r="P313" s="78"/>
      <c r="Q313" s="76"/>
    </row>
    <row r="314" spans="1:17" ht="19.899999999999999" customHeight="1" x14ac:dyDescent="0.25">
      <c r="A314" s="74"/>
      <c r="B314" s="74"/>
      <c r="C314" s="74"/>
      <c r="D314" s="74"/>
      <c r="E314" s="69"/>
      <c r="F314" s="75"/>
      <c r="G314" s="76"/>
      <c r="H314" s="76"/>
      <c r="I314" s="76"/>
      <c r="J314" s="76"/>
      <c r="K314" s="76"/>
      <c r="L314" s="76"/>
      <c r="M314" s="77"/>
      <c r="N314" s="77"/>
      <c r="O314" s="78"/>
      <c r="P314" s="78"/>
      <c r="Q314" s="76"/>
    </row>
    <row r="315" spans="1:17" ht="19.899999999999999" customHeight="1" x14ac:dyDescent="0.25">
      <c r="A315" s="74"/>
      <c r="B315" s="74"/>
      <c r="C315" s="74"/>
      <c r="D315" s="74"/>
      <c r="E315" s="69"/>
      <c r="F315" s="75"/>
      <c r="G315" s="76"/>
      <c r="H315" s="76"/>
      <c r="I315" s="76"/>
      <c r="J315" s="76"/>
      <c r="K315" s="76"/>
      <c r="L315" s="76"/>
      <c r="M315" s="77"/>
      <c r="N315" s="77"/>
      <c r="O315" s="78"/>
      <c r="P315" s="78"/>
      <c r="Q315" s="76"/>
    </row>
    <row r="316" spans="1:17" ht="19.899999999999999" customHeight="1" x14ac:dyDescent="0.25">
      <c r="A316" s="74"/>
      <c r="B316" s="74"/>
      <c r="C316" s="74"/>
      <c r="D316" s="74"/>
      <c r="E316" s="69"/>
      <c r="F316" s="75"/>
      <c r="G316" s="76"/>
      <c r="H316" s="76"/>
      <c r="I316" s="76"/>
      <c r="J316" s="76"/>
      <c r="K316" s="76"/>
      <c r="L316" s="76"/>
      <c r="M316" s="77"/>
      <c r="N316" s="77"/>
      <c r="O316" s="78"/>
      <c r="P316" s="78"/>
      <c r="Q316" s="76"/>
    </row>
    <row r="317" spans="1:17" ht="19.899999999999999" customHeight="1" x14ac:dyDescent="0.25">
      <c r="A317" s="74"/>
      <c r="B317" s="74"/>
      <c r="C317" s="74"/>
      <c r="D317" s="74"/>
      <c r="E317" s="69"/>
      <c r="F317" s="75"/>
      <c r="G317" s="76"/>
      <c r="H317" s="76"/>
      <c r="I317" s="76"/>
      <c r="J317" s="76"/>
      <c r="K317" s="76"/>
      <c r="L317" s="76"/>
      <c r="M317" s="77"/>
      <c r="N317" s="77"/>
      <c r="O317" s="78"/>
      <c r="P317" s="78"/>
      <c r="Q317" s="76"/>
    </row>
    <row r="318" spans="1:17" ht="19.899999999999999" customHeight="1" x14ac:dyDescent="0.25">
      <c r="A318" s="74"/>
      <c r="B318" s="74"/>
      <c r="C318" s="74"/>
      <c r="D318" s="74"/>
      <c r="E318" s="69"/>
      <c r="F318" s="75"/>
      <c r="G318" s="76"/>
      <c r="H318" s="76"/>
      <c r="I318" s="76"/>
      <c r="J318" s="76"/>
      <c r="K318" s="76"/>
      <c r="L318" s="76"/>
      <c r="M318" s="77"/>
      <c r="N318" s="77"/>
      <c r="O318" s="78"/>
      <c r="P318" s="78"/>
      <c r="Q318" s="76"/>
    </row>
    <row r="319" spans="1:17" ht="19.899999999999999" customHeight="1" x14ac:dyDescent="0.25">
      <c r="A319" s="74"/>
      <c r="B319" s="74"/>
      <c r="C319" s="74"/>
      <c r="D319" s="74"/>
      <c r="E319" s="69"/>
      <c r="F319" s="75"/>
      <c r="G319" s="76"/>
      <c r="H319" s="76"/>
      <c r="I319" s="76"/>
      <c r="J319" s="76"/>
      <c r="K319" s="76"/>
      <c r="L319" s="76"/>
      <c r="M319" s="77"/>
      <c r="N319" s="77"/>
      <c r="O319" s="78"/>
      <c r="P319" s="78"/>
      <c r="Q319" s="76"/>
    </row>
    <row r="320" spans="1:17" ht="19.899999999999999" customHeight="1" x14ac:dyDescent="0.25">
      <c r="A320" s="74"/>
      <c r="B320" s="74"/>
      <c r="C320" s="74"/>
      <c r="D320" s="74"/>
      <c r="E320" s="69"/>
      <c r="F320" s="75"/>
      <c r="G320" s="76"/>
      <c r="H320" s="76"/>
      <c r="I320" s="76"/>
      <c r="J320" s="76"/>
      <c r="K320" s="76"/>
      <c r="L320" s="76"/>
      <c r="M320" s="77"/>
      <c r="N320" s="77"/>
      <c r="O320" s="78"/>
      <c r="P320" s="78"/>
      <c r="Q320" s="76"/>
    </row>
    <row r="321" spans="1:17" ht="19.899999999999999" customHeight="1" x14ac:dyDescent="0.25">
      <c r="A321" s="74"/>
      <c r="B321" s="74"/>
      <c r="C321" s="74"/>
      <c r="D321" s="74"/>
      <c r="E321" s="69"/>
      <c r="F321" s="75"/>
      <c r="G321" s="76"/>
      <c r="H321" s="76"/>
      <c r="I321" s="76"/>
      <c r="J321" s="76"/>
      <c r="K321" s="76"/>
      <c r="L321" s="76"/>
      <c r="M321" s="77"/>
      <c r="N321" s="77"/>
      <c r="O321" s="78"/>
      <c r="P321" s="78"/>
      <c r="Q321" s="76"/>
    </row>
    <row r="322" spans="1:17" ht="19.899999999999999" customHeight="1" x14ac:dyDescent="0.25">
      <c r="A322" s="74"/>
      <c r="B322" s="74"/>
      <c r="C322" s="74"/>
      <c r="D322" s="74"/>
      <c r="E322" s="69"/>
      <c r="F322" s="75"/>
      <c r="G322" s="76"/>
      <c r="H322" s="76"/>
      <c r="I322" s="76"/>
      <c r="J322" s="76"/>
      <c r="K322" s="76"/>
      <c r="L322" s="76"/>
      <c r="M322" s="77"/>
      <c r="N322" s="77"/>
      <c r="O322" s="78"/>
      <c r="P322" s="78"/>
      <c r="Q322" s="76"/>
    </row>
    <row r="323" spans="1:17" ht="19.899999999999999" customHeight="1" x14ac:dyDescent="0.25">
      <c r="A323" s="74"/>
      <c r="B323" s="74"/>
      <c r="C323" s="74"/>
      <c r="D323" s="74"/>
      <c r="E323" s="69"/>
      <c r="F323" s="75"/>
      <c r="G323" s="76"/>
      <c r="H323" s="76"/>
      <c r="I323" s="76"/>
      <c r="J323" s="76"/>
      <c r="K323" s="76"/>
      <c r="L323" s="76"/>
      <c r="M323" s="77"/>
      <c r="N323" s="77"/>
      <c r="O323" s="78"/>
      <c r="P323" s="78"/>
      <c r="Q323" s="76"/>
    </row>
    <row r="324" spans="1:17" ht="19.899999999999999" customHeight="1" x14ac:dyDescent="0.25">
      <c r="A324" s="74"/>
      <c r="B324" s="74"/>
      <c r="C324" s="74"/>
      <c r="D324" s="74"/>
      <c r="E324" s="69"/>
      <c r="F324" s="75"/>
      <c r="G324" s="76"/>
      <c r="H324" s="76"/>
      <c r="I324" s="76"/>
      <c r="J324" s="76"/>
      <c r="K324" s="76"/>
      <c r="L324" s="76"/>
      <c r="M324" s="77"/>
      <c r="N324" s="77"/>
      <c r="O324" s="78"/>
      <c r="P324" s="78"/>
      <c r="Q324" s="76"/>
    </row>
    <row r="325" spans="1:17" ht="19.899999999999999" customHeight="1" x14ac:dyDescent="0.25">
      <c r="A325" s="74"/>
      <c r="B325" s="74"/>
      <c r="C325" s="74"/>
      <c r="D325" s="74"/>
      <c r="E325" s="69"/>
      <c r="F325" s="75"/>
      <c r="G325" s="76"/>
      <c r="H325" s="76"/>
      <c r="I325" s="76"/>
      <c r="J325" s="76"/>
      <c r="K325" s="76"/>
      <c r="L325" s="76"/>
      <c r="M325" s="77"/>
      <c r="N325" s="77"/>
      <c r="O325" s="78"/>
      <c r="P325" s="78"/>
      <c r="Q325" s="76"/>
    </row>
    <row r="326" spans="1:17" ht="19.899999999999999" customHeight="1" x14ac:dyDescent="0.25">
      <c r="A326" s="74"/>
      <c r="B326" s="74"/>
      <c r="C326" s="74"/>
      <c r="D326" s="74"/>
      <c r="E326" s="69"/>
      <c r="F326" s="75"/>
      <c r="G326" s="76"/>
      <c r="H326" s="76"/>
      <c r="I326" s="76"/>
      <c r="J326" s="76"/>
      <c r="K326" s="76"/>
      <c r="L326" s="76"/>
      <c r="M326" s="77"/>
      <c r="N326" s="77"/>
      <c r="O326" s="78"/>
      <c r="P326" s="78"/>
      <c r="Q326" s="76"/>
    </row>
    <row r="327" spans="1:17" ht="19.899999999999999" customHeight="1" x14ac:dyDescent="0.25">
      <c r="A327" s="74"/>
      <c r="B327" s="74"/>
      <c r="C327" s="74"/>
      <c r="D327" s="74"/>
      <c r="E327" s="69"/>
      <c r="F327" s="75"/>
      <c r="G327" s="76"/>
      <c r="H327" s="76"/>
      <c r="I327" s="76"/>
      <c r="J327" s="76"/>
      <c r="K327" s="76"/>
      <c r="L327" s="76"/>
      <c r="M327" s="77"/>
      <c r="N327" s="77"/>
      <c r="O327" s="78"/>
      <c r="P327" s="78"/>
      <c r="Q327" s="76"/>
    </row>
    <row r="328" spans="1:17" ht="19.899999999999999" customHeight="1" x14ac:dyDescent="0.25">
      <c r="A328" s="74"/>
      <c r="B328" s="74"/>
      <c r="C328" s="74"/>
      <c r="D328" s="74"/>
      <c r="E328" s="69"/>
      <c r="F328" s="75"/>
      <c r="G328" s="76"/>
      <c r="H328" s="76"/>
      <c r="I328" s="76"/>
      <c r="J328" s="76"/>
      <c r="K328" s="76"/>
      <c r="L328" s="76"/>
      <c r="M328" s="77"/>
      <c r="N328" s="77"/>
      <c r="O328" s="78"/>
      <c r="P328" s="78"/>
      <c r="Q328" s="76"/>
    </row>
    <row r="329" spans="1:17" ht="19.899999999999999" customHeight="1" x14ac:dyDescent="0.25">
      <c r="A329" s="74"/>
      <c r="B329" s="74"/>
      <c r="C329" s="74"/>
      <c r="D329" s="74"/>
      <c r="E329" s="69"/>
      <c r="F329" s="75"/>
      <c r="G329" s="76"/>
      <c r="H329" s="76"/>
      <c r="I329" s="76"/>
      <c r="J329" s="76"/>
      <c r="K329" s="76"/>
      <c r="L329" s="76"/>
      <c r="M329" s="77"/>
      <c r="N329" s="77"/>
      <c r="O329" s="78"/>
      <c r="P329" s="78"/>
      <c r="Q329" s="76"/>
    </row>
    <row r="330" spans="1:17" ht="19.899999999999999" customHeight="1" x14ac:dyDescent="0.25">
      <c r="A330" s="74"/>
      <c r="B330" s="74"/>
      <c r="C330" s="74"/>
      <c r="D330" s="74"/>
      <c r="E330" s="69"/>
      <c r="F330" s="75"/>
      <c r="G330" s="76"/>
      <c r="H330" s="76"/>
      <c r="I330" s="76"/>
      <c r="J330" s="76"/>
      <c r="K330" s="76"/>
      <c r="L330" s="76"/>
      <c r="M330" s="77"/>
      <c r="N330" s="77"/>
      <c r="O330" s="78"/>
      <c r="P330" s="78"/>
      <c r="Q330" s="76"/>
    </row>
    <row r="331" spans="1:17" ht="19.899999999999999" customHeight="1" x14ac:dyDescent="0.25">
      <c r="A331" s="74"/>
      <c r="B331" s="74"/>
      <c r="C331" s="74"/>
      <c r="D331" s="74"/>
      <c r="E331" s="69"/>
      <c r="F331" s="75"/>
      <c r="G331" s="76"/>
      <c r="H331" s="76"/>
      <c r="I331" s="76"/>
      <c r="J331" s="76"/>
      <c r="K331" s="76"/>
      <c r="L331" s="76"/>
      <c r="M331" s="77"/>
      <c r="N331" s="77"/>
      <c r="O331" s="78"/>
      <c r="P331" s="78"/>
      <c r="Q331" s="76"/>
    </row>
    <row r="332" spans="1:17" ht="19.899999999999999" customHeight="1" x14ac:dyDescent="0.25">
      <c r="A332" s="74"/>
      <c r="B332" s="74"/>
      <c r="C332" s="74"/>
      <c r="D332" s="74"/>
      <c r="E332" s="69"/>
      <c r="F332" s="75"/>
      <c r="G332" s="76"/>
      <c r="H332" s="76"/>
      <c r="I332" s="76"/>
      <c r="J332" s="76"/>
      <c r="K332" s="76"/>
      <c r="L332" s="76"/>
      <c r="M332" s="77"/>
      <c r="N332" s="77"/>
      <c r="O332" s="78"/>
      <c r="P332" s="78"/>
      <c r="Q332" s="76"/>
    </row>
    <row r="333" spans="1:17" ht="19.899999999999999" customHeight="1" x14ac:dyDescent="0.25">
      <c r="A333" s="74"/>
      <c r="B333" s="74"/>
      <c r="C333" s="74"/>
      <c r="D333" s="74"/>
      <c r="E333" s="69"/>
      <c r="F333" s="75"/>
      <c r="G333" s="76"/>
      <c r="H333" s="76"/>
      <c r="I333" s="76"/>
      <c r="J333" s="76"/>
      <c r="K333" s="76"/>
      <c r="L333" s="76"/>
      <c r="M333" s="77"/>
      <c r="N333" s="77"/>
      <c r="O333" s="78"/>
      <c r="P333" s="78"/>
      <c r="Q333" s="76"/>
    </row>
    <row r="334" spans="1:17" ht="19.899999999999999" customHeight="1" x14ac:dyDescent="0.25">
      <c r="A334" s="74"/>
      <c r="B334" s="74"/>
      <c r="C334" s="74"/>
      <c r="D334" s="74"/>
      <c r="E334" s="69"/>
      <c r="F334" s="75"/>
      <c r="G334" s="76"/>
      <c r="H334" s="76"/>
      <c r="I334" s="76"/>
      <c r="J334" s="76"/>
      <c r="K334" s="76"/>
      <c r="L334" s="76"/>
      <c r="M334" s="77"/>
      <c r="N334" s="77"/>
      <c r="O334" s="78"/>
      <c r="P334" s="78"/>
      <c r="Q334" s="76"/>
    </row>
    <row r="335" spans="1:17" ht="19.899999999999999" customHeight="1" x14ac:dyDescent="0.25">
      <c r="A335" s="74"/>
      <c r="B335" s="74"/>
      <c r="C335" s="74"/>
      <c r="D335" s="74"/>
      <c r="E335" s="69"/>
      <c r="F335" s="75"/>
      <c r="G335" s="76"/>
      <c r="H335" s="76"/>
      <c r="I335" s="76"/>
      <c r="J335" s="76"/>
      <c r="K335" s="76"/>
      <c r="L335" s="76"/>
      <c r="M335" s="77"/>
      <c r="N335" s="77"/>
      <c r="O335" s="78"/>
      <c r="P335" s="78"/>
      <c r="Q335" s="76"/>
    </row>
    <row r="336" spans="1:17" ht="19.899999999999999" customHeight="1" x14ac:dyDescent="0.25">
      <c r="A336" s="74"/>
      <c r="B336" s="74"/>
      <c r="C336" s="74"/>
      <c r="D336" s="74"/>
      <c r="E336" s="69"/>
      <c r="F336" s="75"/>
      <c r="G336" s="76"/>
      <c r="H336" s="76"/>
      <c r="I336" s="76"/>
      <c r="J336" s="76"/>
      <c r="K336" s="76"/>
      <c r="L336" s="76"/>
      <c r="M336" s="77"/>
      <c r="N336" s="77"/>
      <c r="O336" s="78"/>
      <c r="P336" s="78"/>
      <c r="Q336" s="76"/>
    </row>
    <row r="337" spans="1:17" ht="19.899999999999999" customHeight="1" x14ac:dyDescent="0.25">
      <c r="A337" s="74"/>
      <c r="B337" s="74"/>
      <c r="C337" s="74"/>
      <c r="D337" s="74"/>
      <c r="E337" s="69"/>
      <c r="F337" s="75"/>
      <c r="G337" s="76"/>
      <c r="H337" s="76"/>
      <c r="I337" s="76"/>
      <c r="J337" s="76"/>
      <c r="K337" s="76"/>
      <c r="L337" s="76"/>
      <c r="M337" s="77"/>
      <c r="N337" s="77"/>
      <c r="O337" s="78"/>
      <c r="P337" s="78"/>
      <c r="Q337" s="76"/>
    </row>
    <row r="338" spans="1:17" ht="19.899999999999999" customHeight="1" x14ac:dyDescent="0.25">
      <c r="A338" s="74"/>
      <c r="B338" s="74"/>
      <c r="C338" s="74"/>
      <c r="D338" s="74"/>
      <c r="E338" s="69"/>
      <c r="F338" s="75"/>
      <c r="G338" s="76"/>
      <c r="H338" s="76"/>
      <c r="I338" s="76"/>
      <c r="J338" s="76"/>
      <c r="K338" s="76"/>
      <c r="L338" s="76"/>
      <c r="M338" s="77"/>
      <c r="N338" s="77"/>
      <c r="O338" s="78"/>
      <c r="P338" s="78"/>
      <c r="Q338" s="76"/>
    </row>
    <row r="339" spans="1:17" ht="19.899999999999999" customHeight="1" x14ac:dyDescent="0.25">
      <c r="A339" s="74"/>
      <c r="B339" s="74"/>
      <c r="C339" s="74"/>
      <c r="D339" s="74"/>
      <c r="E339" s="69"/>
      <c r="F339" s="75"/>
      <c r="G339" s="76"/>
      <c r="H339" s="76"/>
      <c r="I339" s="76"/>
      <c r="J339" s="76"/>
      <c r="K339" s="76"/>
      <c r="L339" s="76"/>
      <c r="M339" s="77"/>
      <c r="N339" s="77"/>
      <c r="O339" s="78"/>
      <c r="P339" s="78"/>
      <c r="Q339" s="76"/>
    </row>
    <row r="340" spans="1:17" ht="19.899999999999999" customHeight="1" x14ac:dyDescent="0.25">
      <c r="A340" s="74"/>
      <c r="B340" s="74"/>
      <c r="C340" s="74"/>
      <c r="D340" s="74"/>
      <c r="E340" s="69"/>
      <c r="F340" s="75"/>
      <c r="G340" s="76"/>
      <c r="H340" s="76"/>
      <c r="I340" s="76"/>
      <c r="J340" s="76"/>
      <c r="K340" s="76"/>
      <c r="L340" s="76"/>
      <c r="M340" s="77"/>
      <c r="N340" s="77"/>
      <c r="O340" s="78"/>
      <c r="P340" s="78"/>
      <c r="Q340" s="76"/>
    </row>
    <row r="341" spans="1:17" ht="19.899999999999999" customHeight="1" x14ac:dyDescent="0.25">
      <c r="A341" s="74"/>
      <c r="B341" s="74"/>
      <c r="C341" s="74"/>
      <c r="D341" s="74"/>
      <c r="E341" s="69"/>
      <c r="F341" s="75"/>
      <c r="G341" s="76"/>
      <c r="H341" s="76"/>
      <c r="I341" s="76"/>
      <c r="J341" s="76"/>
      <c r="K341" s="76"/>
      <c r="L341" s="76"/>
      <c r="M341" s="77"/>
      <c r="N341" s="77"/>
      <c r="O341" s="78"/>
      <c r="P341" s="78"/>
      <c r="Q341" s="76"/>
    </row>
    <row r="342" spans="1:17" ht="19.899999999999999" customHeight="1" x14ac:dyDescent="0.25">
      <c r="A342" s="74"/>
      <c r="B342" s="74"/>
      <c r="C342" s="74"/>
      <c r="D342" s="74"/>
      <c r="E342" s="69"/>
      <c r="F342" s="75"/>
      <c r="G342" s="76"/>
      <c r="H342" s="76"/>
      <c r="I342" s="76"/>
      <c r="J342" s="76"/>
      <c r="K342" s="76"/>
      <c r="L342" s="76"/>
      <c r="M342" s="77"/>
      <c r="N342" s="77"/>
      <c r="O342" s="78"/>
      <c r="P342" s="78"/>
      <c r="Q342" s="76"/>
    </row>
    <row r="343" spans="1:17" ht="19.899999999999999" customHeight="1" x14ac:dyDescent="0.25">
      <c r="A343" s="74"/>
      <c r="B343" s="74"/>
      <c r="C343" s="74"/>
      <c r="D343" s="74"/>
      <c r="E343" s="69"/>
      <c r="F343" s="75"/>
      <c r="G343" s="76"/>
      <c r="H343" s="76"/>
      <c r="I343" s="76"/>
      <c r="J343" s="76"/>
      <c r="K343" s="76"/>
      <c r="L343" s="76"/>
      <c r="M343" s="77"/>
      <c r="N343" s="77"/>
      <c r="O343" s="78"/>
      <c r="P343" s="78"/>
      <c r="Q343" s="76"/>
    </row>
    <row r="344" spans="1:17" ht="19.899999999999999" customHeight="1" x14ac:dyDescent="0.25">
      <c r="A344" s="74"/>
      <c r="B344" s="74"/>
      <c r="C344" s="74"/>
      <c r="D344" s="74"/>
      <c r="E344" s="69"/>
      <c r="F344" s="75"/>
      <c r="G344" s="76"/>
      <c r="H344" s="76"/>
      <c r="I344" s="76"/>
      <c r="J344" s="76"/>
      <c r="K344" s="76"/>
      <c r="L344" s="76"/>
      <c r="M344" s="77"/>
      <c r="N344" s="77"/>
      <c r="O344" s="78"/>
      <c r="P344" s="78"/>
      <c r="Q344" s="76"/>
    </row>
    <row r="345" spans="1:17" ht="19.899999999999999" customHeight="1" x14ac:dyDescent="0.25">
      <c r="A345" s="74"/>
      <c r="B345" s="74"/>
      <c r="C345" s="74"/>
      <c r="D345" s="74"/>
      <c r="E345" s="69"/>
      <c r="F345" s="75"/>
      <c r="G345" s="76"/>
      <c r="H345" s="76"/>
      <c r="I345" s="76"/>
      <c r="J345" s="76"/>
      <c r="K345" s="76"/>
      <c r="L345" s="76"/>
      <c r="M345" s="77"/>
      <c r="N345" s="77"/>
      <c r="O345" s="78"/>
      <c r="P345" s="78"/>
      <c r="Q345" s="76"/>
    </row>
    <row r="346" spans="1:17" ht="19.899999999999999" customHeight="1" x14ac:dyDescent="0.25">
      <c r="A346" s="74"/>
      <c r="B346" s="74"/>
      <c r="C346" s="74"/>
      <c r="D346" s="74"/>
      <c r="E346" s="69"/>
      <c r="F346" s="75"/>
      <c r="G346" s="76"/>
      <c r="H346" s="76"/>
      <c r="I346" s="76"/>
      <c r="J346" s="76"/>
      <c r="K346" s="76"/>
      <c r="L346" s="76"/>
      <c r="M346" s="77"/>
      <c r="N346" s="77"/>
      <c r="O346" s="78"/>
      <c r="P346" s="78"/>
      <c r="Q346" s="76"/>
    </row>
    <row r="347" spans="1:17" ht="19.899999999999999" customHeight="1" x14ac:dyDescent="0.25">
      <c r="A347" s="74"/>
      <c r="B347" s="74"/>
      <c r="C347" s="74"/>
      <c r="D347" s="74"/>
      <c r="E347" s="69"/>
      <c r="F347" s="75"/>
      <c r="G347" s="76"/>
      <c r="H347" s="76"/>
      <c r="I347" s="76"/>
      <c r="J347" s="76"/>
      <c r="K347" s="76"/>
      <c r="L347" s="76"/>
      <c r="M347" s="77"/>
      <c r="N347" s="77"/>
      <c r="O347" s="78"/>
      <c r="P347" s="78"/>
      <c r="Q347" s="76"/>
    </row>
    <row r="348" spans="1:17" ht="19.899999999999999" customHeight="1" x14ac:dyDescent="0.25">
      <c r="A348" s="74"/>
      <c r="B348" s="74"/>
      <c r="C348" s="74"/>
      <c r="D348" s="74"/>
      <c r="E348" s="69"/>
      <c r="F348" s="75"/>
      <c r="G348" s="76"/>
      <c r="H348" s="76"/>
      <c r="I348" s="76"/>
      <c r="J348" s="76"/>
      <c r="K348" s="76"/>
      <c r="L348" s="76"/>
      <c r="M348" s="77"/>
      <c r="N348" s="77"/>
      <c r="O348" s="78"/>
      <c r="P348" s="78"/>
      <c r="Q348" s="76"/>
    </row>
    <row r="349" spans="1:17" ht="19.899999999999999" customHeight="1" x14ac:dyDescent="0.25">
      <c r="A349" s="74"/>
      <c r="B349" s="74"/>
      <c r="C349" s="74"/>
      <c r="D349" s="74"/>
      <c r="E349" s="69"/>
      <c r="F349" s="75"/>
      <c r="G349" s="76"/>
      <c r="H349" s="76"/>
      <c r="I349" s="76"/>
      <c r="J349" s="76"/>
      <c r="K349" s="76"/>
      <c r="L349" s="76"/>
      <c r="M349" s="77"/>
      <c r="N349" s="77"/>
      <c r="O349" s="78"/>
      <c r="P349" s="78"/>
      <c r="Q349" s="76"/>
    </row>
    <row r="350" spans="1:17" ht="19.899999999999999" customHeight="1" x14ac:dyDescent="0.25">
      <c r="A350" s="74"/>
      <c r="B350" s="74"/>
      <c r="C350" s="74"/>
      <c r="D350" s="74"/>
      <c r="E350" s="69"/>
      <c r="F350" s="75"/>
      <c r="G350" s="76"/>
      <c r="H350" s="76"/>
      <c r="I350" s="76"/>
      <c r="J350" s="76"/>
      <c r="K350" s="76"/>
      <c r="L350" s="76"/>
      <c r="M350" s="77"/>
      <c r="N350" s="77"/>
      <c r="O350" s="78"/>
      <c r="P350" s="78"/>
      <c r="Q350" s="76"/>
    </row>
    <row r="351" spans="1:17" ht="19.899999999999999" customHeight="1" x14ac:dyDescent="0.25">
      <c r="A351" s="74"/>
      <c r="B351" s="74"/>
      <c r="C351" s="74"/>
      <c r="D351" s="74"/>
      <c r="E351" s="69"/>
      <c r="F351" s="75"/>
      <c r="G351" s="76"/>
      <c r="H351" s="76"/>
      <c r="I351" s="76"/>
      <c r="J351" s="76"/>
      <c r="K351" s="76"/>
      <c r="L351" s="76"/>
      <c r="M351" s="77"/>
      <c r="N351" s="77"/>
      <c r="O351" s="78"/>
      <c r="P351" s="78"/>
      <c r="Q351" s="76"/>
    </row>
    <row r="352" spans="1:17" ht="19.899999999999999" customHeight="1" x14ac:dyDescent="0.25">
      <c r="A352" s="74"/>
      <c r="B352" s="74"/>
      <c r="C352" s="74"/>
      <c r="D352" s="74"/>
      <c r="E352" s="69"/>
      <c r="F352" s="75"/>
      <c r="G352" s="76"/>
      <c r="H352" s="76"/>
      <c r="I352" s="76"/>
      <c r="J352" s="76"/>
      <c r="K352" s="76"/>
      <c r="L352" s="76"/>
      <c r="M352" s="77"/>
      <c r="N352" s="77"/>
      <c r="O352" s="78"/>
      <c r="P352" s="78"/>
      <c r="Q352" s="76"/>
    </row>
    <row r="353" spans="1:17" ht="19.899999999999999" customHeight="1" x14ac:dyDescent="0.25">
      <c r="A353" s="74"/>
      <c r="B353" s="74"/>
      <c r="C353" s="74"/>
      <c r="D353" s="74"/>
      <c r="E353" s="69"/>
      <c r="F353" s="75"/>
      <c r="G353" s="76"/>
      <c r="H353" s="76"/>
      <c r="I353" s="76"/>
      <c r="J353" s="76"/>
      <c r="K353" s="76"/>
      <c r="L353" s="76"/>
      <c r="M353" s="77"/>
      <c r="N353" s="77"/>
      <c r="O353" s="78"/>
      <c r="P353" s="78"/>
      <c r="Q353" s="76"/>
    </row>
    <row r="354" spans="1:17" ht="19.899999999999999" customHeight="1" x14ac:dyDescent="0.25">
      <c r="A354" s="74"/>
      <c r="B354" s="74"/>
      <c r="C354" s="74"/>
      <c r="D354" s="74"/>
      <c r="E354" s="69"/>
      <c r="F354" s="75"/>
      <c r="G354" s="76"/>
      <c r="H354" s="76"/>
      <c r="I354" s="76"/>
      <c r="J354" s="76"/>
      <c r="K354" s="76"/>
      <c r="L354" s="76"/>
      <c r="M354" s="77"/>
      <c r="N354" s="77"/>
      <c r="O354" s="78"/>
      <c r="P354" s="78"/>
      <c r="Q354" s="76"/>
    </row>
    <row r="355" spans="1:17" ht="19.899999999999999" customHeight="1" x14ac:dyDescent="0.25">
      <c r="A355" s="74"/>
      <c r="B355" s="74"/>
      <c r="C355" s="74"/>
      <c r="D355" s="74"/>
      <c r="E355" s="69"/>
      <c r="F355" s="75"/>
      <c r="G355" s="76"/>
      <c r="H355" s="76"/>
      <c r="I355" s="76"/>
      <c r="J355" s="76"/>
      <c r="K355" s="76"/>
      <c r="L355" s="76"/>
      <c r="M355" s="77"/>
      <c r="N355" s="77"/>
      <c r="O355" s="78"/>
      <c r="P355" s="78"/>
      <c r="Q355" s="76"/>
    </row>
    <row r="356" spans="1:17" ht="19.899999999999999" customHeight="1" x14ac:dyDescent="0.25">
      <c r="A356" s="74"/>
      <c r="B356" s="74"/>
      <c r="C356" s="74"/>
      <c r="D356" s="74"/>
      <c r="E356" s="69"/>
      <c r="F356" s="75"/>
      <c r="G356" s="76"/>
      <c r="H356" s="76"/>
      <c r="I356" s="76"/>
      <c r="J356" s="76"/>
      <c r="K356" s="76"/>
      <c r="L356" s="76"/>
      <c r="M356" s="77"/>
      <c r="N356" s="77"/>
      <c r="O356" s="78"/>
      <c r="P356" s="78"/>
      <c r="Q356" s="76"/>
    </row>
    <row r="357" spans="1:17" ht="19.899999999999999" customHeight="1" x14ac:dyDescent="0.25">
      <c r="A357" s="74"/>
      <c r="B357" s="74"/>
      <c r="C357" s="74"/>
      <c r="D357" s="74"/>
      <c r="E357" s="69"/>
      <c r="F357" s="75"/>
      <c r="G357" s="76"/>
      <c r="H357" s="76"/>
      <c r="I357" s="76"/>
      <c r="J357" s="76"/>
      <c r="K357" s="76"/>
      <c r="L357" s="76"/>
      <c r="M357" s="77"/>
      <c r="N357" s="77"/>
      <c r="O357" s="78"/>
      <c r="P357" s="78"/>
      <c r="Q357" s="76"/>
    </row>
    <row r="358" spans="1:17" ht="19.899999999999999" customHeight="1" x14ac:dyDescent="0.25">
      <c r="A358" s="74"/>
      <c r="B358" s="74"/>
      <c r="C358" s="74"/>
      <c r="D358" s="74"/>
      <c r="E358" s="69"/>
      <c r="F358" s="75"/>
      <c r="G358" s="76"/>
      <c r="H358" s="76"/>
      <c r="I358" s="76"/>
      <c r="J358" s="76"/>
      <c r="K358" s="76"/>
      <c r="L358" s="76"/>
      <c r="M358" s="77"/>
      <c r="N358" s="77"/>
      <c r="O358" s="78"/>
      <c r="P358" s="78"/>
      <c r="Q358" s="76"/>
    </row>
    <row r="359" spans="1:17" ht="19.899999999999999" customHeight="1" x14ac:dyDescent="0.25">
      <c r="A359" s="74"/>
      <c r="B359" s="74"/>
      <c r="C359" s="74"/>
      <c r="D359" s="74"/>
      <c r="E359" s="69"/>
      <c r="F359" s="75"/>
      <c r="G359" s="76"/>
      <c r="H359" s="76"/>
      <c r="I359" s="76"/>
      <c r="J359" s="76"/>
      <c r="K359" s="76"/>
      <c r="L359" s="76"/>
      <c r="M359" s="77"/>
      <c r="N359" s="77"/>
      <c r="O359" s="78"/>
      <c r="P359" s="78"/>
      <c r="Q359" s="76"/>
    </row>
    <row r="360" spans="1:17" ht="19.899999999999999" customHeight="1" x14ac:dyDescent="0.25">
      <c r="A360" s="74"/>
      <c r="B360" s="74"/>
      <c r="C360" s="74"/>
      <c r="D360" s="74"/>
      <c r="E360" s="69"/>
      <c r="F360" s="75"/>
      <c r="G360" s="76"/>
      <c r="H360" s="76"/>
      <c r="I360" s="76"/>
      <c r="J360" s="76"/>
      <c r="K360" s="76"/>
      <c r="L360" s="76"/>
      <c r="M360" s="77"/>
      <c r="N360" s="77"/>
      <c r="O360" s="78"/>
      <c r="P360" s="78"/>
      <c r="Q360" s="76"/>
    </row>
    <row r="361" spans="1:17" ht="19.899999999999999" customHeight="1" x14ac:dyDescent="0.25">
      <c r="A361" s="74"/>
      <c r="B361" s="74"/>
      <c r="C361" s="74"/>
      <c r="D361" s="74"/>
      <c r="E361" s="69"/>
      <c r="F361" s="75"/>
      <c r="G361" s="76"/>
      <c r="H361" s="76"/>
      <c r="I361" s="76"/>
      <c r="J361" s="76"/>
      <c r="K361" s="76"/>
      <c r="L361" s="76"/>
      <c r="M361" s="77"/>
      <c r="N361" s="77"/>
      <c r="O361" s="78"/>
      <c r="P361" s="78"/>
      <c r="Q361" s="76"/>
    </row>
    <row r="362" spans="1:17" ht="19.899999999999999" customHeight="1" x14ac:dyDescent="0.25">
      <c r="A362" s="74"/>
      <c r="B362" s="74"/>
      <c r="C362" s="74"/>
      <c r="D362" s="74"/>
      <c r="E362" s="69"/>
      <c r="F362" s="75"/>
      <c r="G362" s="76"/>
      <c r="H362" s="76"/>
      <c r="I362" s="76"/>
      <c r="J362" s="76"/>
      <c r="K362" s="76"/>
      <c r="L362" s="76"/>
      <c r="M362" s="77"/>
      <c r="N362" s="77"/>
      <c r="O362" s="78"/>
      <c r="P362" s="78"/>
      <c r="Q362" s="76"/>
    </row>
    <row r="363" spans="1:17" ht="19.899999999999999" customHeight="1" x14ac:dyDescent="0.25">
      <c r="A363" s="74"/>
      <c r="B363" s="74"/>
      <c r="C363" s="74"/>
      <c r="D363" s="74"/>
      <c r="E363" s="69"/>
      <c r="F363" s="75"/>
      <c r="G363" s="76"/>
      <c r="H363" s="76"/>
      <c r="I363" s="76"/>
      <c r="J363" s="76"/>
      <c r="K363" s="76"/>
      <c r="L363" s="76"/>
      <c r="M363" s="77"/>
      <c r="N363" s="77"/>
      <c r="O363" s="78"/>
      <c r="P363" s="78"/>
      <c r="Q363" s="76"/>
    </row>
    <row r="364" spans="1:17" ht="19.899999999999999" customHeight="1" x14ac:dyDescent="0.25">
      <c r="A364" s="74"/>
      <c r="B364" s="74"/>
      <c r="C364" s="74"/>
      <c r="D364" s="74"/>
      <c r="E364" s="69"/>
      <c r="F364" s="75"/>
      <c r="G364" s="76"/>
      <c r="H364" s="76"/>
      <c r="I364" s="76"/>
      <c r="J364" s="76"/>
      <c r="K364" s="76"/>
      <c r="L364" s="76"/>
      <c r="M364" s="77"/>
      <c r="N364" s="77"/>
      <c r="O364" s="78"/>
      <c r="P364" s="78"/>
      <c r="Q364" s="76"/>
    </row>
    <row r="365" spans="1:17" ht="19.899999999999999" customHeight="1" x14ac:dyDescent="0.25">
      <c r="A365" s="74"/>
      <c r="B365" s="74"/>
      <c r="C365" s="74"/>
      <c r="D365" s="74"/>
      <c r="E365" s="69"/>
      <c r="F365" s="75"/>
      <c r="G365" s="76"/>
      <c r="H365" s="76"/>
      <c r="I365" s="76"/>
      <c r="J365" s="76"/>
      <c r="K365" s="76"/>
      <c r="L365" s="76"/>
      <c r="M365" s="77"/>
      <c r="N365" s="77"/>
      <c r="O365" s="78"/>
      <c r="P365" s="78"/>
      <c r="Q365" s="76"/>
    </row>
    <row r="366" spans="1:17" ht="19.899999999999999" customHeight="1" x14ac:dyDescent="0.25">
      <c r="A366" s="74"/>
      <c r="B366" s="74"/>
      <c r="C366" s="74"/>
      <c r="D366" s="74"/>
      <c r="E366" s="69"/>
      <c r="F366" s="75"/>
      <c r="G366" s="76"/>
      <c r="H366" s="76"/>
      <c r="I366" s="76"/>
      <c r="J366" s="76"/>
      <c r="K366" s="76"/>
      <c r="L366" s="76"/>
      <c r="M366" s="77"/>
      <c r="N366" s="77"/>
      <c r="O366" s="78"/>
      <c r="P366" s="78"/>
      <c r="Q366" s="76"/>
    </row>
    <row r="367" spans="1:17" ht="19.899999999999999" customHeight="1" x14ac:dyDescent="0.25">
      <c r="A367" s="74"/>
      <c r="B367" s="74"/>
      <c r="C367" s="74"/>
      <c r="D367" s="74"/>
      <c r="E367" s="69"/>
      <c r="F367" s="75"/>
      <c r="G367" s="76"/>
      <c r="H367" s="76"/>
      <c r="I367" s="76"/>
      <c r="J367" s="76"/>
      <c r="K367" s="76"/>
      <c r="L367" s="76"/>
      <c r="M367" s="77"/>
      <c r="N367" s="77"/>
      <c r="O367" s="78"/>
      <c r="P367" s="78"/>
      <c r="Q367" s="76"/>
    </row>
    <row r="368" spans="1:17" ht="19.899999999999999" customHeight="1" x14ac:dyDescent="0.25">
      <c r="A368" s="74"/>
      <c r="B368" s="74"/>
      <c r="C368" s="74"/>
      <c r="D368" s="74"/>
      <c r="E368" s="69"/>
      <c r="F368" s="75"/>
      <c r="G368" s="76"/>
      <c r="H368" s="76"/>
      <c r="I368" s="76"/>
      <c r="J368" s="76"/>
      <c r="K368" s="76"/>
      <c r="L368" s="76"/>
      <c r="M368" s="77"/>
      <c r="N368" s="77"/>
      <c r="O368" s="78"/>
      <c r="P368" s="78"/>
      <c r="Q368" s="76"/>
    </row>
    <row r="369" spans="1:17" ht="19.899999999999999" customHeight="1" x14ac:dyDescent="0.25">
      <c r="A369" s="74"/>
      <c r="B369" s="74"/>
      <c r="C369" s="74"/>
      <c r="D369" s="74"/>
      <c r="E369" s="69"/>
      <c r="F369" s="75"/>
      <c r="G369" s="76"/>
      <c r="H369" s="76"/>
      <c r="I369" s="76"/>
      <c r="J369" s="76"/>
      <c r="K369" s="76"/>
      <c r="L369" s="76"/>
      <c r="M369" s="77"/>
      <c r="N369" s="77"/>
      <c r="O369" s="78"/>
      <c r="P369" s="78"/>
      <c r="Q369" s="76"/>
    </row>
    <row r="370" spans="1:17" ht="19.899999999999999" customHeight="1" x14ac:dyDescent="0.25">
      <c r="A370" s="74"/>
      <c r="B370" s="74"/>
      <c r="C370" s="74"/>
      <c r="D370" s="74"/>
      <c r="E370" s="69"/>
      <c r="F370" s="75"/>
      <c r="G370" s="76"/>
      <c r="H370" s="76"/>
      <c r="I370" s="76"/>
      <c r="J370" s="76"/>
      <c r="K370" s="76"/>
      <c r="L370" s="76"/>
      <c r="M370" s="77"/>
      <c r="N370" s="77"/>
      <c r="O370" s="78"/>
      <c r="P370" s="78"/>
      <c r="Q370" s="76"/>
    </row>
    <row r="371" spans="1:17" ht="19.899999999999999" customHeight="1" x14ac:dyDescent="0.25">
      <c r="A371" s="74"/>
      <c r="B371" s="74"/>
      <c r="C371" s="74"/>
      <c r="D371" s="74"/>
      <c r="E371" s="69"/>
      <c r="F371" s="75"/>
      <c r="G371" s="76"/>
      <c r="H371" s="76"/>
      <c r="I371" s="76"/>
      <c r="J371" s="76"/>
      <c r="K371" s="76"/>
      <c r="L371" s="76"/>
      <c r="M371" s="77"/>
      <c r="N371" s="77"/>
      <c r="O371" s="78"/>
      <c r="P371" s="78"/>
      <c r="Q371" s="76"/>
    </row>
    <row r="372" spans="1:17" ht="19.899999999999999" customHeight="1" x14ac:dyDescent="0.25">
      <c r="A372" s="74"/>
      <c r="B372" s="74"/>
      <c r="C372" s="74"/>
      <c r="D372" s="74"/>
      <c r="E372" s="69"/>
      <c r="F372" s="75"/>
      <c r="G372" s="76"/>
      <c r="H372" s="76"/>
      <c r="I372" s="76"/>
      <c r="J372" s="76"/>
      <c r="K372" s="76"/>
      <c r="L372" s="76"/>
      <c r="M372" s="77"/>
      <c r="N372" s="77"/>
      <c r="O372" s="78"/>
      <c r="P372" s="78"/>
      <c r="Q372" s="76"/>
    </row>
    <row r="373" spans="1:17" ht="19.899999999999999" customHeight="1" x14ac:dyDescent="0.25">
      <c r="A373" s="74"/>
      <c r="B373" s="74"/>
      <c r="C373" s="74"/>
      <c r="D373" s="74"/>
      <c r="E373" s="69"/>
      <c r="F373" s="75"/>
      <c r="G373" s="76"/>
      <c r="H373" s="76"/>
      <c r="I373" s="76"/>
      <c r="J373" s="76"/>
      <c r="K373" s="76"/>
      <c r="L373" s="76"/>
      <c r="M373" s="77"/>
      <c r="N373" s="77"/>
      <c r="O373" s="78"/>
      <c r="P373" s="78"/>
      <c r="Q373" s="76"/>
    </row>
    <row r="374" spans="1:17" ht="19.899999999999999" customHeight="1" x14ac:dyDescent="0.25">
      <c r="A374" s="74"/>
      <c r="B374" s="74"/>
      <c r="C374" s="74"/>
      <c r="D374" s="74"/>
      <c r="E374" s="69"/>
      <c r="F374" s="75"/>
      <c r="G374" s="76"/>
      <c r="H374" s="76"/>
      <c r="I374" s="76"/>
      <c r="J374" s="76"/>
      <c r="K374" s="76"/>
      <c r="L374" s="76"/>
      <c r="M374" s="77"/>
      <c r="N374" s="77"/>
      <c r="O374" s="78"/>
      <c r="P374" s="78"/>
      <c r="Q374" s="76"/>
    </row>
    <row r="375" spans="1:17" ht="19.899999999999999" customHeight="1" x14ac:dyDescent="0.25">
      <c r="A375" s="74"/>
      <c r="B375" s="74"/>
      <c r="C375" s="74"/>
      <c r="D375" s="74"/>
      <c r="E375" s="69"/>
      <c r="F375" s="75"/>
      <c r="G375" s="76"/>
      <c r="H375" s="76"/>
      <c r="I375" s="76"/>
      <c r="J375" s="76"/>
      <c r="K375" s="76"/>
      <c r="L375" s="76"/>
      <c r="M375" s="77"/>
      <c r="N375" s="77"/>
      <c r="O375" s="78"/>
      <c r="P375" s="78"/>
      <c r="Q375" s="76"/>
    </row>
    <row r="376" spans="1:17" ht="19.899999999999999" customHeight="1" x14ac:dyDescent="0.25">
      <c r="A376" s="74"/>
      <c r="B376" s="74"/>
      <c r="C376" s="74"/>
      <c r="D376" s="74"/>
      <c r="E376" s="69"/>
      <c r="F376" s="75"/>
      <c r="G376" s="76"/>
      <c r="H376" s="76"/>
      <c r="I376" s="76"/>
      <c r="J376" s="76"/>
      <c r="K376" s="76"/>
      <c r="L376" s="76"/>
      <c r="M376" s="77"/>
      <c r="N376" s="77"/>
      <c r="O376" s="78"/>
      <c r="P376" s="78"/>
      <c r="Q376" s="76"/>
    </row>
    <row r="377" spans="1:17" ht="19.899999999999999" customHeight="1" x14ac:dyDescent="0.25">
      <c r="A377" s="74"/>
      <c r="B377" s="74"/>
      <c r="C377" s="74"/>
      <c r="D377" s="74"/>
      <c r="E377" s="69"/>
      <c r="F377" s="75"/>
      <c r="G377" s="76"/>
      <c r="H377" s="76"/>
      <c r="I377" s="76"/>
      <c r="J377" s="76"/>
      <c r="K377" s="76"/>
      <c r="L377" s="76"/>
      <c r="M377" s="77"/>
      <c r="N377" s="77"/>
      <c r="O377" s="78"/>
      <c r="P377" s="78"/>
      <c r="Q377" s="76"/>
    </row>
    <row r="378" spans="1:17" ht="19.899999999999999" customHeight="1" x14ac:dyDescent="0.25">
      <c r="A378" s="74"/>
      <c r="B378" s="74"/>
      <c r="C378" s="74"/>
      <c r="D378" s="74"/>
      <c r="E378" s="69"/>
      <c r="F378" s="75"/>
      <c r="G378" s="76"/>
      <c r="H378" s="76"/>
      <c r="I378" s="76"/>
      <c r="J378" s="76"/>
      <c r="K378" s="76"/>
      <c r="L378" s="76"/>
      <c r="M378" s="77"/>
      <c r="N378" s="77"/>
      <c r="O378" s="78"/>
      <c r="P378" s="78"/>
      <c r="Q378" s="76"/>
    </row>
    <row r="379" spans="1:17" ht="19.899999999999999" customHeight="1" x14ac:dyDescent="0.25">
      <c r="A379" s="74"/>
      <c r="B379" s="74"/>
      <c r="C379" s="74"/>
      <c r="D379" s="74"/>
      <c r="E379" s="69"/>
      <c r="F379" s="75"/>
      <c r="G379" s="76"/>
      <c r="H379" s="76"/>
      <c r="I379" s="76"/>
      <c r="J379" s="76"/>
      <c r="K379" s="76"/>
      <c r="L379" s="76"/>
      <c r="M379" s="77"/>
      <c r="N379" s="77"/>
      <c r="O379" s="78"/>
      <c r="P379" s="78"/>
      <c r="Q379" s="76"/>
    </row>
    <row r="380" spans="1:17" ht="19.899999999999999" customHeight="1" x14ac:dyDescent="0.25">
      <c r="A380" s="74"/>
      <c r="B380" s="74"/>
      <c r="C380" s="74"/>
      <c r="D380" s="74"/>
      <c r="E380" s="69"/>
      <c r="F380" s="75"/>
      <c r="G380" s="76"/>
      <c r="H380" s="76"/>
      <c r="I380" s="76"/>
      <c r="J380" s="76"/>
      <c r="K380" s="76"/>
      <c r="L380" s="76"/>
      <c r="M380" s="77"/>
      <c r="N380" s="77"/>
      <c r="O380" s="78"/>
      <c r="P380" s="78"/>
      <c r="Q380" s="76"/>
    </row>
    <row r="381" spans="1:17" ht="19.899999999999999" customHeight="1" x14ac:dyDescent="0.25">
      <c r="A381" s="74"/>
      <c r="B381" s="74"/>
      <c r="C381" s="74"/>
      <c r="D381" s="74"/>
      <c r="E381" s="69"/>
      <c r="F381" s="75"/>
      <c r="G381" s="76"/>
      <c r="H381" s="76"/>
      <c r="I381" s="76"/>
      <c r="J381" s="76"/>
      <c r="K381" s="76"/>
      <c r="L381" s="76"/>
      <c r="M381" s="77"/>
      <c r="N381" s="77"/>
      <c r="O381" s="78"/>
      <c r="P381" s="78"/>
      <c r="Q381" s="76"/>
    </row>
    <row r="382" spans="1:17" ht="19.899999999999999" customHeight="1" x14ac:dyDescent="0.25">
      <c r="A382" s="74"/>
      <c r="B382" s="74"/>
      <c r="C382" s="74"/>
      <c r="D382" s="74"/>
      <c r="E382" s="69"/>
      <c r="F382" s="75"/>
      <c r="G382" s="76"/>
      <c r="H382" s="76"/>
      <c r="I382" s="76"/>
      <c r="J382" s="76"/>
      <c r="K382" s="76"/>
      <c r="L382" s="76"/>
      <c r="M382" s="77"/>
      <c r="N382" s="77"/>
      <c r="O382" s="78"/>
      <c r="P382" s="78"/>
      <c r="Q382" s="76"/>
    </row>
    <row r="383" spans="1:17" ht="19.899999999999999" customHeight="1" x14ac:dyDescent="0.25">
      <c r="A383" s="74"/>
      <c r="B383" s="74"/>
      <c r="C383" s="74"/>
      <c r="D383" s="74"/>
      <c r="E383" s="69"/>
      <c r="F383" s="75"/>
      <c r="G383" s="76"/>
      <c r="H383" s="76"/>
      <c r="I383" s="76"/>
      <c r="J383" s="76"/>
      <c r="K383" s="76"/>
      <c r="L383" s="76"/>
      <c r="M383" s="77"/>
      <c r="N383" s="77"/>
      <c r="O383" s="78"/>
      <c r="P383" s="78"/>
      <c r="Q383" s="76"/>
    </row>
    <row r="384" spans="1:17" ht="19.899999999999999" customHeight="1" x14ac:dyDescent="0.25">
      <c r="A384" s="74"/>
      <c r="B384" s="74"/>
      <c r="C384" s="74"/>
      <c r="D384" s="74"/>
      <c r="E384" s="69"/>
      <c r="F384" s="75"/>
      <c r="G384" s="76"/>
      <c r="H384" s="76"/>
      <c r="I384" s="76"/>
      <c r="J384" s="76"/>
      <c r="K384" s="76"/>
      <c r="L384" s="76"/>
      <c r="M384" s="77"/>
      <c r="N384" s="77"/>
      <c r="O384" s="78"/>
      <c r="P384" s="78"/>
      <c r="Q384" s="76"/>
    </row>
    <row r="385" spans="1:17" ht="19.899999999999999" customHeight="1" x14ac:dyDescent="0.25">
      <c r="A385" s="74"/>
      <c r="B385" s="74"/>
      <c r="C385" s="74"/>
      <c r="D385" s="74"/>
      <c r="E385" s="69"/>
      <c r="F385" s="75"/>
      <c r="G385" s="76"/>
      <c r="H385" s="76"/>
      <c r="I385" s="76"/>
      <c r="J385" s="76"/>
      <c r="K385" s="76"/>
      <c r="L385" s="76"/>
      <c r="M385" s="77"/>
      <c r="N385" s="77"/>
      <c r="O385" s="78"/>
      <c r="P385" s="78"/>
      <c r="Q385" s="76"/>
    </row>
    <row r="386" spans="1:17" ht="19.899999999999999" customHeight="1" x14ac:dyDescent="0.25">
      <c r="A386" s="74"/>
      <c r="B386" s="74"/>
      <c r="C386" s="74"/>
      <c r="D386" s="74"/>
      <c r="E386" s="69"/>
      <c r="F386" s="75"/>
      <c r="G386" s="76"/>
      <c r="H386" s="76"/>
      <c r="I386" s="76"/>
      <c r="J386" s="76"/>
      <c r="K386" s="76"/>
      <c r="L386" s="76"/>
      <c r="M386" s="77"/>
      <c r="N386" s="77"/>
      <c r="O386" s="78"/>
      <c r="P386" s="78"/>
      <c r="Q386" s="76"/>
    </row>
    <row r="387" spans="1:17" ht="19.899999999999999" customHeight="1" x14ac:dyDescent="0.25">
      <c r="A387" s="74"/>
      <c r="B387" s="74"/>
      <c r="C387" s="74"/>
      <c r="D387" s="74"/>
      <c r="E387" s="69"/>
      <c r="F387" s="75"/>
      <c r="G387" s="76"/>
      <c r="H387" s="76"/>
      <c r="I387" s="76"/>
      <c r="J387" s="76"/>
      <c r="K387" s="76"/>
      <c r="L387" s="76"/>
      <c r="M387" s="77"/>
      <c r="N387" s="77"/>
      <c r="O387" s="78"/>
      <c r="P387" s="78"/>
      <c r="Q387" s="76"/>
    </row>
    <row r="388" spans="1:17" ht="19.899999999999999" customHeight="1" x14ac:dyDescent="0.25">
      <c r="A388" s="74"/>
      <c r="B388" s="74"/>
      <c r="C388" s="74"/>
      <c r="D388" s="74"/>
      <c r="E388" s="69"/>
      <c r="F388" s="75"/>
      <c r="G388" s="76"/>
      <c r="H388" s="76"/>
      <c r="I388" s="76"/>
      <c r="J388" s="76"/>
      <c r="K388" s="76"/>
      <c r="L388" s="76"/>
      <c r="M388" s="77"/>
      <c r="N388" s="77"/>
      <c r="O388" s="78"/>
      <c r="P388" s="78"/>
      <c r="Q388" s="76"/>
    </row>
    <row r="389" spans="1:17" ht="19.899999999999999" customHeight="1" x14ac:dyDescent="0.25">
      <c r="A389" s="74"/>
      <c r="B389" s="74"/>
      <c r="C389" s="74"/>
      <c r="D389" s="74"/>
      <c r="E389" s="69"/>
      <c r="F389" s="75"/>
      <c r="G389" s="76"/>
      <c r="H389" s="76"/>
      <c r="I389" s="76"/>
      <c r="J389" s="76"/>
      <c r="K389" s="76"/>
      <c r="L389" s="76"/>
      <c r="M389" s="77"/>
      <c r="N389" s="77"/>
      <c r="O389" s="78"/>
      <c r="P389" s="78"/>
      <c r="Q389" s="76"/>
    </row>
    <row r="390" spans="1:17" ht="19.899999999999999" customHeight="1" x14ac:dyDescent="0.25">
      <c r="A390" s="74"/>
      <c r="B390" s="74"/>
      <c r="C390" s="74"/>
      <c r="D390" s="74"/>
      <c r="E390" s="69"/>
      <c r="F390" s="75"/>
      <c r="G390" s="76"/>
      <c r="H390" s="76"/>
      <c r="I390" s="76"/>
      <c r="J390" s="76"/>
      <c r="K390" s="76"/>
      <c r="L390" s="76"/>
      <c r="M390" s="77"/>
      <c r="N390" s="77"/>
      <c r="O390" s="78"/>
      <c r="P390" s="78"/>
      <c r="Q390" s="76"/>
    </row>
    <row r="391" spans="1:17" ht="19.899999999999999" customHeight="1" x14ac:dyDescent="0.25">
      <c r="A391" s="74"/>
      <c r="B391" s="74"/>
      <c r="C391" s="74"/>
      <c r="D391" s="74"/>
      <c r="E391" s="69"/>
      <c r="F391" s="75"/>
      <c r="G391" s="76"/>
      <c r="H391" s="76"/>
      <c r="I391" s="76"/>
      <c r="J391" s="76"/>
      <c r="K391" s="76"/>
      <c r="L391" s="76"/>
      <c r="M391" s="77"/>
      <c r="N391" s="77"/>
      <c r="O391" s="78"/>
      <c r="P391" s="78"/>
      <c r="Q391" s="76"/>
    </row>
    <row r="392" spans="1:17" ht="19.899999999999999" customHeight="1" x14ac:dyDescent="0.25">
      <c r="A392" s="74"/>
      <c r="B392" s="74"/>
      <c r="C392" s="74"/>
      <c r="D392" s="74"/>
      <c r="E392" s="69"/>
      <c r="F392" s="75"/>
      <c r="G392" s="76"/>
      <c r="H392" s="76"/>
      <c r="I392" s="76"/>
      <c r="J392" s="76"/>
      <c r="K392" s="76"/>
      <c r="L392" s="76"/>
      <c r="M392" s="77"/>
      <c r="N392" s="77"/>
      <c r="O392" s="78"/>
      <c r="P392" s="78"/>
      <c r="Q392" s="76"/>
    </row>
    <row r="393" spans="1:17" ht="19.899999999999999" customHeight="1" x14ac:dyDescent="0.25">
      <c r="A393" s="74"/>
      <c r="B393" s="74"/>
      <c r="C393" s="74"/>
      <c r="D393" s="74"/>
      <c r="E393" s="69"/>
      <c r="F393" s="75"/>
      <c r="G393" s="76"/>
      <c r="H393" s="76"/>
      <c r="I393" s="76"/>
      <c r="J393" s="76"/>
      <c r="K393" s="76"/>
      <c r="L393" s="76"/>
      <c r="M393" s="77"/>
      <c r="N393" s="77"/>
      <c r="O393" s="78"/>
      <c r="P393" s="78"/>
      <c r="Q393" s="76"/>
    </row>
    <row r="394" spans="1:17" ht="19.899999999999999" customHeight="1" x14ac:dyDescent="0.25">
      <c r="A394" s="74"/>
      <c r="B394" s="74"/>
      <c r="C394" s="74"/>
      <c r="D394" s="74"/>
      <c r="E394" s="69"/>
      <c r="F394" s="75"/>
      <c r="G394" s="76"/>
      <c r="H394" s="76"/>
      <c r="I394" s="76"/>
      <c r="J394" s="76"/>
      <c r="K394" s="76"/>
      <c r="L394" s="76"/>
      <c r="M394" s="77"/>
      <c r="N394" s="77"/>
      <c r="O394" s="78"/>
      <c r="P394" s="78"/>
      <c r="Q394" s="76"/>
    </row>
    <row r="395" spans="1:17" ht="19.899999999999999" customHeight="1" x14ac:dyDescent="0.25">
      <c r="A395" s="74"/>
      <c r="B395" s="74"/>
      <c r="C395" s="74"/>
      <c r="D395" s="74"/>
      <c r="E395" s="69"/>
      <c r="F395" s="75"/>
      <c r="G395" s="76"/>
      <c r="H395" s="76"/>
      <c r="I395" s="76"/>
      <c r="J395" s="76"/>
      <c r="K395" s="76"/>
      <c r="L395" s="76"/>
      <c r="M395" s="77"/>
      <c r="N395" s="77"/>
      <c r="O395" s="78"/>
      <c r="P395" s="78"/>
      <c r="Q395" s="76"/>
    </row>
    <row r="396" spans="1:17" ht="19.899999999999999" customHeight="1" x14ac:dyDescent="0.25">
      <c r="A396" s="74"/>
      <c r="B396" s="74"/>
      <c r="C396" s="74"/>
      <c r="D396" s="74"/>
      <c r="E396" s="69"/>
      <c r="F396" s="75"/>
      <c r="G396" s="76"/>
      <c r="H396" s="76"/>
      <c r="I396" s="76"/>
      <c r="J396" s="76"/>
      <c r="K396" s="76"/>
      <c r="L396" s="76"/>
      <c r="M396" s="77"/>
      <c r="N396" s="77"/>
      <c r="O396" s="78"/>
      <c r="P396" s="78"/>
      <c r="Q396" s="76"/>
    </row>
    <row r="397" spans="1:17" ht="19.899999999999999" customHeight="1" x14ac:dyDescent="0.25">
      <c r="A397" s="74"/>
      <c r="B397" s="74"/>
      <c r="C397" s="74"/>
      <c r="D397" s="74"/>
      <c r="E397" s="69"/>
      <c r="F397" s="75"/>
      <c r="G397" s="76"/>
      <c r="H397" s="76"/>
      <c r="I397" s="76"/>
      <c r="J397" s="76"/>
      <c r="K397" s="76"/>
      <c r="L397" s="76"/>
      <c r="M397" s="77"/>
      <c r="N397" s="77"/>
      <c r="O397" s="78"/>
      <c r="P397" s="78"/>
      <c r="Q397" s="76"/>
    </row>
    <row r="398" spans="1:17" ht="19.899999999999999" customHeight="1" x14ac:dyDescent="0.25">
      <c r="A398" s="74"/>
      <c r="B398" s="74"/>
      <c r="C398" s="74"/>
      <c r="D398" s="74"/>
      <c r="E398" s="69"/>
      <c r="F398" s="75"/>
      <c r="G398" s="76"/>
      <c r="H398" s="76"/>
      <c r="I398" s="76"/>
      <c r="J398" s="76"/>
      <c r="K398" s="76"/>
      <c r="L398" s="76"/>
      <c r="M398" s="77"/>
      <c r="N398" s="77"/>
      <c r="O398" s="78"/>
      <c r="P398" s="78"/>
      <c r="Q398" s="76"/>
    </row>
    <row r="399" spans="1:17" ht="19.899999999999999" customHeight="1" x14ac:dyDescent="0.25">
      <c r="A399" s="74"/>
      <c r="B399" s="74"/>
      <c r="C399" s="74"/>
      <c r="D399" s="74"/>
      <c r="E399" s="69"/>
      <c r="F399" s="75"/>
      <c r="G399" s="76"/>
      <c r="H399" s="76"/>
      <c r="I399" s="76"/>
      <c r="J399" s="76"/>
      <c r="K399" s="76"/>
      <c r="L399" s="76"/>
      <c r="M399" s="77"/>
      <c r="N399" s="77"/>
      <c r="O399" s="78"/>
      <c r="P399" s="78"/>
      <c r="Q399" s="76"/>
    </row>
    <row r="400" spans="1:17" ht="19.899999999999999" customHeight="1" x14ac:dyDescent="0.25">
      <c r="A400" s="74"/>
      <c r="B400" s="74"/>
      <c r="C400" s="74"/>
      <c r="D400" s="74"/>
      <c r="E400" s="69"/>
      <c r="F400" s="75"/>
      <c r="G400" s="76"/>
      <c r="H400" s="76"/>
      <c r="I400" s="76"/>
      <c r="J400" s="76"/>
      <c r="K400" s="76"/>
      <c r="L400" s="76"/>
      <c r="M400" s="77"/>
      <c r="N400" s="77"/>
      <c r="O400" s="78"/>
      <c r="P400" s="78"/>
      <c r="Q400" s="76"/>
    </row>
    <row r="401" spans="1:17" ht="19.899999999999999" customHeight="1" x14ac:dyDescent="0.25">
      <c r="A401" s="74"/>
      <c r="B401" s="74"/>
      <c r="C401" s="74"/>
      <c r="D401" s="74"/>
      <c r="E401" s="69"/>
      <c r="F401" s="75"/>
      <c r="G401" s="76"/>
      <c r="H401" s="76"/>
      <c r="I401" s="76"/>
      <c r="J401" s="76"/>
      <c r="K401" s="76"/>
      <c r="L401" s="76"/>
      <c r="M401" s="77"/>
      <c r="N401" s="77"/>
      <c r="O401" s="78"/>
      <c r="P401" s="78"/>
      <c r="Q401" s="76"/>
    </row>
    <row r="402" spans="1:17" ht="19.899999999999999" customHeight="1" x14ac:dyDescent="0.25">
      <c r="A402" s="74"/>
      <c r="B402" s="74"/>
      <c r="C402" s="74"/>
      <c r="D402" s="74"/>
      <c r="E402" s="69"/>
      <c r="F402" s="75"/>
      <c r="G402" s="76"/>
      <c r="H402" s="76"/>
      <c r="I402" s="76"/>
      <c r="J402" s="76"/>
      <c r="K402" s="76"/>
      <c r="L402" s="76"/>
      <c r="M402" s="77"/>
      <c r="N402" s="77"/>
      <c r="O402" s="78"/>
      <c r="P402" s="78"/>
      <c r="Q402" s="76"/>
    </row>
    <row r="403" spans="1:17" ht="19.899999999999999" customHeight="1" x14ac:dyDescent="0.25">
      <c r="A403" s="74"/>
      <c r="B403" s="74"/>
      <c r="C403" s="74"/>
      <c r="D403" s="74"/>
      <c r="E403" s="69"/>
      <c r="F403" s="75"/>
      <c r="G403" s="76"/>
      <c r="H403" s="76"/>
      <c r="I403" s="76"/>
      <c r="J403" s="76"/>
      <c r="K403" s="76"/>
      <c r="L403" s="76"/>
      <c r="M403" s="77"/>
      <c r="N403" s="77"/>
      <c r="O403" s="78"/>
      <c r="P403" s="78"/>
      <c r="Q403" s="76"/>
    </row>
    <row r="404" spans="1:17" ht="19.899999999999999" customHeight="1" x14ac:dyDescent="0.25">
      <c r="A404" s="74"/>
      <c r="B404" s="74"/>
      <c r="C404" s="74"/>
      <c r="D404" s="74"/>
      <c r="E404" s="69"/>
      <c r="F404" s="75"/>
      <c r="G404" s="76"/>
      <c r="H404" s="76"/>
      <c r="I404" s="76"/>
      <c r="J404" s="76"/>
      <c r="K404" s="76"/>
      <c r="L404" s="76"/>
      <c r="M404" s="77"/>
      <c r="N404" s="77"/>
      <c r="O404" s="78"/>
      <c r="P404" s="78"/>
      <c r="Q404" s="76"/>
    </row>
    <row r="405" spans="1:17" ht="19.899999999999999" customHeight="1" x14ac:dyDescent="0.25">
      <c r="A405" s="74"/>
      <c r="B405" s="74"/>
      <c r="C405" s="74"/>
      <c r="D405" s="74"/>
      <c r="E405" s="69"/>
      <c r="F405" s="75"/>
      <c r="G405" s="76"/>
      <c r="H405" s="76"/>
      <c r="I405" s="76"/>
      <c r="J405" s="76"/>
      <c r="K405" s="76"/>
      <c r="L405" s="76"/>
      <c r="M405" s="77"/>
      <c r="N405" s="77"/>
      <c r="O405" s="78"/>
      <c r="P405" s="78"/>
      <c r="Q405" s="76"/>
    </row>
    <row r="406" spans="1:17" ht="19.899999999999999" customHeight="1" x14ac:dyDescent="0.25">
      <c r="A406" s="74"/>
      <c r="B406" s="74"/>
      <c r="C406" s="74"/>
      <c r="D406" s="74"/>
      <c r="E406" s="69"/>
      <c r="F406" s="75"/>
      <c r="G406" s="76"/>
      <c r="H406" s="76"/>
      <c r="I406" s="76"/>
      <c r="J406" s="76"/>
      <c r="K406" s="76"/>
      <c r="L406" s="76"/>
      <c r="M406" s="77"/>
      <c r="N406" s="77"/>
      <c r="O406" s="78"/>
      <c r="P406" s="78"/>
      <c r="Q406" s="76"/>
    </row>
    <row r="407" spans="1:17" ht="19.899999999999999" customHeight="1" x14ac:dyDescent="0.25">
      <c r="A407" s="74"/>
      <c r="B407" s="74"/>
      <c r="C407" s="74"/>
      <c r="D407" s="74"/>
      <c r="E407" s="69"/>
      <c r="F407" s="75"/>
      <c r="G407" s="76"/>
      <c r="H407" s="76"/>
      <c r="I407" s="76"/>
      <c r="J407" s="76"/>
      <c r="K407" s="76"/>
      <c r="L407" s="76"/>
      <c r="M407" s="77"/>
      <c r="N407" s="77"/>
      <c r="O407" s="78"/>
      <c r="P407" s="78"/>
      <c r="Q407" s="76"/>
    </row>
    <row r="408" spans="1:17" ht="19.899999999999999" customHeight="1" x14ac:dyDescent="0.25">
      <c r="A408" s="74"/>
      <c r="B408" s="74"/>
      <c r="C408" s="74"/>
      <c r="D408" s="74"/>
      <c r="E408" s="69"/>
      <c r="F408" s="75"/>
      <c r="G408" s="76"/>
      <c r="H408" s="76"/>
      <c r="I408" s="76"/>
      <c r="J408" s="76"/>
      <c r="K408" s="76"/>
      <c r="L408" s="76"/>
      <c r="M408" s="77"/>
      <c r="N408" s="77"/>
      <c r="O408" s="78"/>
      <c r="P408" s="78"/>
      <c r="Q408" s="76"/>
    </row>
    <row r="409" spans="1:17" ht="19.899999999999999" customHeight="1" x14ac:dyDescent="0.25">
      <c r="A409" s="74"/>
      <c r="B409" s="74"/>
      <c r="C409" s="74"/>
      <c r="D409" s="74"/>
      <c r="E409" s="69"/>
      <c r="F409" s="75"/>
      <c r="G409" s="76"/>
      <c r="H409" s="76"/>
      <c r="I409" s="76"/>
      <c r="J409" s="76"/>
      <c r="K409" s="76"/>
      <c r="L409" s="76"/>
      <c r="M409" s="77"/>
      <c r="N409" s="77"/>
      <c r="O409" s="78"/>
      <c r="P409" s="78"/>
      <c r="Q409" s="76"/>
    </row>
    <row r="410" spans="1:17" ht="19.899999999999999" customHeight="1" x14ac:dyDescent="0.25">
      <c r="A410" s="74"/>
      <c r="B410" s="74"/>
      <c r="C410" s="74"/>
      <c r="D410" s="74"/>
      <c r="E410" s="69"/>
      <c r="F410" s="75"/>
      <c r="G410" s="76"/>
      <c r="H410" s="76"/>
      <c r="I410" s="76"/>
      <c r="J410" s="76"/>
      <c r="K410" s="76"/>
      <c r="L410" s="76"/>
      <c r="M410" s="77"/>
      <c r="N410" s="77"/>
      <c r="O410" s="78"/>
      <c r="P410" s="78"/>
      <c r="Q410" s="76"/>
    </row>
    <row r="411" spans="1:17" ht="19.899999999999999" customHeight="1" x14ac:dyDescent="0.25">
      <c r="A411" s="74"/>
      <c r="B411" s="74"/>
      <c r="C411" s="74"/>
      <c r="D411" s="74"/>
      <c r="E411" s="69"/>
      <c r="F411" s="75"/>
      <c r="G411" s="76"/>
      <c r="H411" s="76"/>
      <c r="I411" s="76"/>
      <c r="J411" s="76"/>
      <c r="K411" s="76"/>
      <c r="L411" s="76"/>
      <c r="M411" s="77"/>
      <c r="N411" s="77"/>
      <c r="O411" s="78"/>
      <c r="P411" s="78"/>
      <c r="Q411" s="76"/>
    </row>
    <row r="412" spans="1:17" ht="19.899999999999999" customHeight="1" x14ac:dyDescent="0.25">
      <c r="A412" s="74"/>
      <c r="B412" s="74"/>
      <c r="C412" s="74"/>
      <c r="D412" s="74"/>
      <c r="E412" s="69"/>
      <c r="F412" s="75"/>
      <c r="G412" s="76"/>
      <c r="H412" s="76"/>
      <c r="I412" s="76"/>
      <c r="J412" s="76"/>
      <c r="K412" s="76"/>
      <c r="L412" s="76"/>
      <c r="M412" s="77"/>
      <c r="N412" s="77"/>
      <c r="O412" s="78"/>
      <c r="P412" s="78"/>
      <c r="Q412" s="76"/>
    </row>
    <row r="413" spans="1:17" ht="19.899999999999999" customHeight="1" x14ac:dyDescent="0.25">
      <c r="A413" s="74"/>
      <c r="B413" s="74"/>
      <c r="C413" s="74"/>
      <c r="D413" s="74"/>
      <c r="E413" s="69"/>
      <c r="F413" s="75"/>
      <c r="G413" s="76"/>
      <c r="H413" s="76"/>
      <c r="I413" s="76"/>
      <c r="J413" s="76"/>
      <c r="K413" s="76"/>
      <c r="L413" s="76"/>
      <c r="M413" s="77"/>
      <c r="N413" s="77"/>
      <c r="O413" s="78"/>
      <c r="P413" s="78"/>
      <c r="Q413" s="76"/>
    </row>
    <row r="414" spans="1:17" ht="19.899999999999999" customHeight="1" x14ac:dyDescent="0.25">
      <c r="A414" s="74"/>
      <c r="B414" s="74"/>
      <c r="C414" s="74"/>
      <c r="D414" s="74"/>
      <c r="E414" s="69"/>
      <c r="F414" s="75"/>
      <c r="G414" s="76"/>
      <c r="H414" s="76"/>
      <c r="I414" s="76"/>
      <c r="J414" s="76"/>
      <c r="K414" s="76"/>
      <c r="L414" s="76"/>
      <c r="M414" s="77"/>
      <c r="N414" s="77"/>
      <c r="O414" s="78"/>
      <c r="P414" s="78"/>
      <c r="Q414" s="76"/>
    </row>
    <row r="415" spans="1:17" ht="19.899999999999999" customHeight="1" x14ac:dyDescent="0.25">
      <c r="A415" s="74"/>
      <c r="B415" s="74"/>
      <c r="C415" s="74"/>
      <c r="D415" s="74"/>
      <c r="E415" s="69"/>
      <c r="F415" s="75"/>
      <c r="G415" s="76"/>
      <c r="H415" s="76"/>
      <c r="I415" s="76"/>
      <c r="J415" s="76"/>
      <c r="K415" s="76"/>
      <c r="L415" s="76"/>
      <c r="M415" s="77"/>
      <c r="N415" s="77"/>
      <c r="O415" s="78"/>
      <c r="P415" s="78"/>
      <c r="Q415" s="76"/>
    </row>
    <row r="416" spans="1:17" ht="19.899999999999999" customHeight="1" x14ac:dyDescent="0.25">
      <c r="A416" s="74"/>
      <c r="B416" s="74"/>
      <c r="C416" s="74"/>
      <c r="D416" s="74"/>
      <c r="E416" s="69"/>
      <c r="F416" s="75"/>
      <c r="G416" s="76"/>
      <c r="H416" s="76"/>
      <c r="I416" s="76"/>
      <c r="J416" s="76"/>
      <c r="K416" s="76"/>
      <c r="L416" s="76"/>
      <c r="M416" s="77"/>
      <c r="N416" s="77"/>
      <c r="O416" s="78"/>
      <c r="P416" s="78"/>
      <c r="Q416" s="76"/>
    </row>
    <row r="417" spans="1:17" ht="19.899999999999999" customHeight="1" x14ac:dyDescent="0.25">
      <c r="A417" s="74"/>
      <c r="B417" s="74"/>
      <c r="C417" s="74"/>
      <c r="D417" s="74"/>
      <c r="E417" s="69"/>
      <c r="F417" s="75"/>
      <c r="G417" s="76"/>
      <c r="H417" s="76"/>
      <c r="I417" s="76"/>
      <c r="J417" s="76"/>
      <c r="K417" s="76"/>
      <c r="L417" s="76"/>
      <c r="M417" s="77"/>
      <c r="N417" s="77"/>
      <c r="O417" s="78"/>
      <c r="P417" s="78"/>
      <c r="Q417" s="76"/>
    </row>
    <row r="418" spans="1:17" ht="19.899999999999999" customHeight="1" x14ac:dyDescent="0.25">
      <c r="A418" s="74"/>
      <c r="B418" s="74"/>
      <c r="C418" s="74"/>
      <c r="D418" s="74"/>
      <c r="E418" s="69"/>
      <c r="F418" s="75"/>
      <c r="G418" s="76"/>
      <c r="H418" s="76"/>
      <c r="I418" s="76"/>
      <c r="J418" s="76"/>
      <c r="K418" s="76"/>
      <c r="L418" s="76"/>
      <c r="M418" s="77"/>
      <c r="N418" s="77"/>
      <c r="O418" s="78"/>
      <c r="P418" s="78"/>
      <c r="Q418" s="76"/>
    </row>
    <row r="419" spans="1:17" ht="19.899999999999999" customHeight="1" x14ac:dyDescent="0.25">
      <c r="A419" s="74"/>
      <c r="B419" s="74"/>
      <c r="C419" s="74"/>
      <c r="D419" s="74"/>
      <c r="E419" s="69"/>
      <c r="F419" s="75"/>
      <c r="G419" s="76"/>
      <c r="H419" s="76"/>
      <c r="I419" s="76"/>
      <c r="J419" s="76"/>
      <c r="K419" s="76"/>
      <c r="L419" s="76"/>
      <c r="M419" s="77"/>
      <c r="N419" s="77"/>
      <c r="O419" s="78"/>
      <c r="P419" s="78"/>
      <c r="Q419" s="76"/>
    </row>
    <row r="420" spans="1:17" ht="19.899999999999999" customHeight="1" x14ac:dyDescent="0.25">
      <c r="A420" s="74"/>
      <c r="B420" s="74"/>
      <c r="C420" s="74"/>
      <c r="D420" s="74"/>
      <c r="E420" s="69"/>
      <c r="F420" s="75"/>
      <c r="G420" s="76"/>
      <c r="H420" s="76"/>
      <c r="I420" s="76"/>
      <c r="J420" s="76"/>
      <c r="K420" s="76"/>
      <c r="L420" s="76"/>
      <c r="M420" s="77"/>
      <c r="N420" s="77"/>
      <c r="O420" s="78"/>
      <c r="P420" s="78"/>
      <c r="Q420" s="76"/>
    </row>
    <row r="421" spans="1:17" ht="19.899999999999999" customHeight="1" x14ac:dyDescent="0.25">
      <c r="A421" s="74"/>
      <c r="B421" s="74"/>
      <c r="C421" s="74"/>
      <c r="D421" s="74"/>
      <c r="E421" s="69"/>
      <c r="F421" s="75"/>
      <c r="G421" s="76"/>
      <c r="H421" s="76"/>
      <c r="I421" s="76"/>
      <c r="J421" s="76"/>
      <c r="K421" s="76"/>
      <c r="L421" s="76"/>
      <c r="M421" s="77"/>
      <c r="N421" s="77"/>
      <c r="O421" s="78"/>
      <c r="P421" s="78"/>
      <c r="Q421" s="76"/>
    </row>
    <row r="422" spans="1:17" ht="19.899999999999999" customHeight="1" x14ac:dyDescent="0.25">
      <c r="A422" s="74"/>
      <c r="B422" s="74"/>
      <c r="C422" s="74"/>
      <c r="D422" s="74"/>
      <c r="E422" s="69"/>
      <c r="F422" s="75"/>
      <c r="G422" s="76"/>
      <c r="H422" s="76"/>
      <c r="I422" s="76"/>
      <c r="J422" s="76"/>
      <c r="K422" s="76"/>
      <c r="L422" s="76"/>
      <c r="M422" s="77"/>
      <c r="N422" s="77"/>
      <c r="O422" s="78"/>
      <c r="P422" s="78"/>
      <c r="Q422" s="76"/>
    </row>
    <row r="423" spans="1:17" ht="19.899999999999999" customHeight="1" x14ac:dyDescent="0.25">
      <c r="A423" s="74"/>
      <c r="B423" s="74"/>
      <c r="C423" s="74"/>
      <c r="D423" s="74"/>
      <c r="E423" s="69"/>
      <c r="F423" s="75"/>
      <c r="G423" s="76"/>
      <c r="H423" s="76"/>
      <c r="I423" s="76"/>
      <c r="J423" s="76"/>
      <c r="K423" s="76"/>
      <c r="L423" s="76"/>
      <c r="M423" s="77"/>
      <c r="N423" s="77"/>
      <c r="O423" s="78"/>
      <c r="P423" s="78"/>
      <c r="Q423" s="76"/>
    </row>
    <row r="424" spans="1:17" ht="19.899999999999999" customHeight="1" x14ac:dyDescent="0.25">
      <c r="A424" s="74"/>
      <c r="B424" s="74"/>
      <c r="C424" s="74"/>
      <c r="D424" s="74"/>
      <c r="E424" s="69"/>
      <c r="F424" s="75"/>
      <c r="G424" s="76"/>
      <c r="H424" s="76"/>
      <c r="I424" s="76"/>
      <c r="J424" s="76"/>
      <c r="K424" s="76"/>
      <c r="L424" s="76"/>
      <c r="M424" s="77"/>
      <c r="N424" s="77"/>
      <c r="O424" s="78"/>
      <c r="P424" s="78"/>
      <c r="Q424" s="76"/>
    </row>
    <row r="425" spans="1:17" ht="19.899999999999999" customHeight="1" x14ac:dyDescent="0.25">
      <c r="A425" s="74"/>
      <c r="B425" s="74"/>
      <c r="C425" s="74"/>
      <c r="D425" s="74"/>
      <c r="E425" s="69"/>
      <c r="F425" s="75"/>
      <c r="G425" s="76"/>
      <c r="H425" s="76"/>
      <c r="I425" s="76"/>
      <c r="J425" s="76"/>
      <c r="K425" s="76"/>
      <c r="L425" s="76"/>
      <c r="M425" s="77"/>
      <c r="N425" s="77"/>
      <c r="O425" s="78"/>
      <c r="P425" s="78"/>
      <c r="Q425" s="76"/>
    </row>
    <row r="426" spans="1:17" ht="19.899999999999999" customHeight="1" x14ac:dyDescent="0.25">
      <c r="A426" s="74"/>
      <c r="B426" s="74"/>
      <c r="C426" s="74"/>
      <c r="D426" s="74"/>
      <c r="E426" s="69"/>
      <c r="F426" s="75"/>
      <c r="G426" s="76"/>
      <c r="H426" s="76"/>
      <c r="I426" s="76"/>
      <c r="J426" s="76"/>
      <c r="K426" s="76"/>
      <c r="L426" s="76"/>
      <c r="M426" s="77"/>
      <c r="N426" s="77"/>
      <c r="O426" s="78"/>
      <c r="P426" s="78"/>
      <c r="Q426" s="76"/>
    </row>
    <row r="427" spans="1:17" ht="19.899999999999999" customHeight="1" x14ac:dyDescent="0.25">
      <c r="A427" s="74"/>
      <c r="B427" s="74"/>
      <c r="C427" s="74"/>
      <c r="D427" s="74"/>
      <c r="E427" s="69"/>
      <c r="F427" s="75"/>
      <c r="G427" s="76"/>
      <c r="H427" s="76"/>
      <c r="I427" s="76"/>
      <c r="J427" s="76"/>
      <c r="K427" s="76"/>
      <c r="L427" s="76"/>
      <c r="M427" s="77"/>
      <c r="N427" s="77"/>
      <c r="O427" s="78"/>
      <c r="P427" s="78"/>
      <c r="Q427" s="76"/>
    </row>
    <row r="428" spans="1:17" ht="19.899999999999999" customHeight="1" x14ac:dyDescent="0.25">
      <c r="A428" s="74"/>
      <c r="B428" s="74"/>
      <c r="C428" s="74"/>
      <c r="D428" s="74"/>
      <c r="E428" s="69"/>
      <c r="F428" s="75"/>
      <c r="G428" s="76"/>
      <c r="H428" s="76"/>
      <c r="I428" s="76"/>
      <c r="J428" s="76"/>
      <c r="K428" s="76"/>
      <c r="L428" s="76"/>
      <c r="M428" s="77"/>
      <c r="N428" s="77"/>
      <c r="O428" s="78"/>
      <c r="P428" s="78"/>
      <c r="Q428" s="76"/>
    </row>
    <row r="429" spans="1:17" ht="19.899999999999999" customHeight="1" x14ac:dyDescent="0.25">
      <c r="A429" s="74"/>
      <c r="B429" s="74"/>
      <c r="C429" s="74"/>
      <c r="D429" s="74"/>
      <c r="E429" s="69"/>
      <c r="F429" s="75"/>
      <c r="G429" s="76"/>
      <c r="H429" s="76"/>
      <c r="I429" s="76"/>
      <c r="J429" s="76"/>
      <c r="K429" s="76"/>
      <c r="L429" s="76"/>
      <c r="M429" s="77"/>
      <c r="N429" s="77"/>
      <c r="O429" s="78"/>
      <c r="P429" s="78"/>
      <c r="Q429" s="76"/>
    </row>
    <row r="430" spans="1:17" ht="19.899999999999999" customHeight="1" x14ac:dyDescent="0.25">
      <c r="A430" s="74"/>
      <c r="B430" s="74"/>
      <c r="C430" s="74"/>
      <c r="D430" s="74"/>
      <c r="E430" s="69"/>
      <c r="F430" s="75"/>
      <c r="G430" s="76"/>
      <c r="H430" s="76"/>
      <c r="I430" s="76"/>
      <c r="J430" s="76"/>
      <c r="K430" s="76"/>
      <c r="L430" s="76"/>
      <c r="M430" s="77"/>
      <c r="N430" s="77"/>
      <c r="O430" s="78"/>
      <c r="P430" s="78"/>
      <c r="Q430" s="76"/>
    </row>
    <row r="431" spans="1:17" ht="19.899999999999999" customHeight="1" x14ac:dyDescent="0.25">
      <c r="A431" s="74"/>
      <c r="B431" s="74"/>
      <c r="C431" s="74"/>
      <c r="D431" s="74"/>
      <c r="E431" s="69"/>
      <c r="F431" s="75"/>
      <c r="G431" s="76"/>
      <c r="H431" s="76"/>
      <c r="I431" s="76"/>
      <c r="J431" s="76"/>
      <c r="K431" s="76"/>
      <c r="L431" s="76"/>
      <c r="M431" s="77"/>
      <c r="N431" s="77"/>
      <c r="O431" s="78"/>
      <c r="P431" s="78"/>
      <c r="Q431" s="76"/>
    </row>
    <row r="432" spans="1:17" ht="19.899999999999999" customHeight="1" x14ac:dyDescent="0.25">
      <c r="A432" s="74"/>
      <c r="B432" s="74"/>
      <c r="C432" s="74"/>
      <c r="D432" s="74"/>
      <c r="E432" s="69"/>
      <c r="F432" s="75"/>
      <c r="G432" s="76"/>
      <c r="H432" s="76"/>
      <c r="I432" s="76"/>
      <c r="J432" s="76"/>
      <c r="K432" s="76"/>
      <c r="L432" s="76"/>
      <c r="M432" s="77"/>
      <c r="N432" s="77"/>
      <c r="O432" s="78"/>
      <c r="P432" s="78"/>
      <c r="Q432" s="76"/>
    </row>
    <row r="433" spans="1:17" ht="19.899999999999999" customHeight="1" x14ac:dyDescent="0.25">
      <c r="A433" s="74"/>
      <c r="B433" s="74"/>
      <c r="C433" s="74"/>
      <c r="D433" s="74"/>
      <c r="E433" s="69"/>
      <c r="F433" s="75"/>
      <c r="G433" s="76"/>
      <c r="H433" s="76"/>
      <c r="I433" s="76"/>
      <c r="J433" s="76"/>
      <c r="K433" s="76"/>
      <c r="L433" s="76"/>
      <c r="M433" s="77"/>
      <c r="N433" s="77"/>
      <c r="O433" s="78"/>
      <c r="P433" s="78"/>
      <c r="Q433" s="76"/>
    </row>
    <row r="434" spans="1:17" ht="19.899999999999999" customHeight="1" x14ac:dyDescent="0.25">
      <c r="A434" s="74"/>
      <c r="B434" s="74"/>
      <c r="C434" s="74"/>
      <c r="D434" s="74"/>
      <c r="E434" s="69"/>
      <c r="F434" s="75"/>
      <c r="G434" s="76"/>
      <c r="H434" s="76"/>
      <c r="I434" s="76"/>
      <c r="J434" s="76"/>
      <c r="K434" s="76"/>
      <c r="L434" s="76"/>
      <c r="M434" s="77"/>
      <c r="N434" s="77"/>
      <c r="O434" s="78"/>
      <c r="P434" s="78"/>
      <c r="Q434" s="76"/>
    </row>
    <row r="435" spans="1:17" ht="19.899999999999999" customHeight="1" x14ac:dyDescent="0.25">
      <c r="A435" s="74"/>
      <c r="B435" s="74"/>
      <c r="C435" s="74"/>
      <c r="D435" s="74"/>
      <c r="E435" s="69"/>
      <c r="F435" s="75"/>
      <c r="G435" s="76"/>
      <c r="H435" s="76"/>
      <c r="I435" s="76"/>
      <c r="J435" s="76"/>
      <c r="K435" s="76"/>
      <c r="L435" s="76"/>
      <c r="M435" s="77"/>
      <c r="N435" s="77"/>
      <c r="O435" s="78"/>
      <c r="P435" s="78"/>
      <c r="Q435" s="76"/>
    </row>
    <row r="436" spans="1:17" ht="19.899999999999999" customHeight="1" x14ac:dyDescent="0.25">
      <c r="A436" s="74"/>
      <c r="B436" s="74"/>
      <c r="C436" s="74"/>
      <c r="D436" s="74"/>
      <c r="E436" s="69"/>
      <c r="F436" s="75"/>
      <c r="G436" s="76"/>
      <c r="H436" s="76"/>
      <c r="I436" s="76"/>
      <c r="J436" s="76"/>
      <c r="K436" s="76"/>
      <c r="L436" s="76"/>
      <c r="M436" s="77"/>
      <c r="N436" s="77"/>
      <c r="O436" s="78"/>
      <c r="P436" s="78"/>
      <c r="Q436" s="76"/>
    </row>
    <row r="437" spans="1:17" ht="19.899999999999999" customHeight="1" x14ac:dyDescent="0.25">
      <c r="A437" s="74"/>
      <c r="B437" s="74"/>
      <c r="C437" s="74"/>
      <c r="D437" s="74"/>
      <c r="E437" s="69"/>
      <c r="F437" s="75"/>
      <c r="G437" s="76"/>
      <c r="H437" s="76"/>
      <c r="I437" s="76"/>
      <c r="J437" s="76"/>
      <c r="K437" s="76"/>
      <c r="L437" s="76"/>
      <c r="M437" s="77"/>
      <c r="N437" s="77"/>
      <c r="O437" s="78"/>
      <c r="P437" s="78"/>
      <c r="Q437" s="76"/>
    </row>
    <row r="438" spans="1:17" ht="19.899999999999999" customHeight="1" x14ac:dyDescent="0.25">
      <c r="A438" s="74"/>
      <c r="B438" s="74"/>
      <c r="C438" s="74"/>
      <c r="D438" s="74"/>
      <c r="E438" s="69"/>
      <c r="F438" s="75"/>
      <c r="G438" s="76"/>
      <c r="H438" s="76"/>
      <c r="I438" s="76"/>
      <c r="J438" s="76"/>
      <c r="K438" s="76"/>
      <c r="L438" s="76"/>
      <c r="M438" s="77"/>
      <c r="N438" s="77"/>
      <c r="O438" s="78"/>
      <c r="P438" s="78"/>
      <c r="Q438" s="76"/>
    </row>
    <row r="439" spans="1:17" ht="19.899999999999999" customHeight="1" x14ac:dyDescent="0.25">
      <c r="A439" s="74"/>
      <c r="B439" s="74"/>
      <c r="C439" s="74"/>
      <c r="D439" s="74"/>
      <c r="E439" s="69"/>
      <c r="F439" s="75"/>
      <c r="G439" s="76"/>
      <c r="H439" s="76"/>
      <c r="I439" s="76"/>
      <c r="J439" s="76"/>
      <c r="K439" s="76"/>
      <c r="L439" s="76"/>
      <c r="M439" s="77"/>
      <c r="N439" s="77"/>
      <c r="O439" s="78"/>
      <c r="P439" s="78"/>
      <c r="Q439" s="76"/>
    </row>
    <row r="440" spans="1:17" ht="19.899999999999999" customHeight="1" x14ac:dyDescent="0.25">
      <c r="A440" s="74"/>
      <c r="B440" s="74"/>
      <c r="C440" s="74"/>
      <c r="D440" s="74"/>
      <c r="E440" s="69"/>
      <c r="F440" s="75"/>
      <c r="G440" s="76"/>
      <c r="H440" s="76"/>
      <c r="I440" s="76"/>
      <c r="J440" s="76"/>
      <c r="K440" s="76"/>
      <c r="L440" s="76"/>
      <c r="M440" s="77"/>
      <c r="N440" s="77"/>
      <c r="O440" s="78"/>
      <c r="P440" s="78"/>
      <c r="Q440" s="76"/>
    </row>
    <row r="441" spans="1:17" ht="19.899999999999999" customHeight="1" x14ac:dyDescent="0.25">
      <c r="A441" s="74"/>
      <c r="B441" s="74"/>
      <c r="C441" s="74"/>
      <c r="D441" s="74"/>
      <c r="E441" s="69"/>
      <c r="F441" s="75"/>
      <c r="G441" s="76"/>
      <c r="H441" s="76"/>
      <c r="I441" s="76"/>
      <c r="J441" s="76"/>
      <c r="K441" s="76"/>
      <c r="L441" s="76"/>
      <c r="M441" s="77"/>
      <c r="N441" s="77"/>
      <c r="O441" s="78"/>
      <c r="P441" s="78"/>
      <c r="Q441" s="76"/>
    </row>
    <row r="442" spans="1:17" ht="19.899999999999999" customHeight="1" x14ac:dyDescent="0.25">
      <c r="A442" s="74"/>
      <c r="B442" s="74"/>
      <c r="C442" s="74"/>
      <c r="D442" s="74"/>
      <c r="E442" s="69"/>
      <c r="F442" s="75"/>
      <c r="G442" s="76"/>
      <c r="H442" s="76"/>
      <c r="I442" s="76"/>
      <c r="J442" s="76"/>
      <c r="K442" s="76"/>
      <c r="L442" s="76"/>
      <c r="M442" s="77"/>
      <c r="N442" s="77"/>
      <c r="O442" s="78"/>
      <c r="P442" s="78"/>
      <c r="Q442" s="76"/>
    </row>
    <row r="443" spans="1:17" ht="19.899999999999999" customHeight="1" x14ac:dyDescent="0.25">
      <c r="A443" s="74"/>
      <c r="B443" s="74"/>
      <c r="C443" s="74"/>
      <c r="D443" s="74"/>
      <c r="E443" s="69"/>
      <c r="F443" s="75"/>
      <c r="G443" s="76"/>
      <c r="H443" s="76"/>
      <c r="I443" s="76"/>
      <c r="J443" s="76"/>
      <c r="K443" s="76"/>
      <c r="L443" s="76"/>
      <c r="M443" s="77"/>
      <c r="N443" s="77"/>
      <c r="O443" s="78"/>
      <c r="P443" s="78"/>
      <c r="Q443" s="76"/>
    </row>
    <row r="444" spans="1:17" ht="19.899999999999999" customHeight="1" x14ac:dyDescent="0.25">
      <c r="A444" s="74"/>
      <c r="B444" s="74"/>
      <c r="C444" s="74"/>
      <c r="D444" s="74"/>
      <c r="E444" s="69"/>
      <c r="F444" s="75"/>
      <c r="G444" s="76"/>
      <c r="H444" s="76"/>
      <c r="I444" s="76"/>
      <c r="J444" s="76"/>
      <c r="K444" s="76"/>
      <c r="L444" s="76"/>
      <c r="M444" s="77"/>
      <c r="N444" s="77"/>
      <c r="O444" s="78"/>
      <c r="P444" s="78"/>
      <c r="Q444" s="76"/>
    </row>
    <row r="445" spans="1:17" ht="19.899999999999999" customHeight="1" x14ac:dyDescent="0.25">
      <c r="A445" s="74"/>
      <c r="B445" s="74"/>
      <c r="C445" s="74"/>
      <c r="D445" s="74"/>
      <c r="E445" s="69"/>
      <c r="F445" s="75"/>
      <c r="G445" s="76"/>
      <c r="H445" s="76"/>
      <c r="I445" s="76"/>
      <c r="J445" s="76"/>
      <c r="K445" s="76"/>
      <c r="L445" s="76"/>
      <c r="M445" s="77"/>
      <c r="N445" s="77"/>
      <c r="O445" s="78"/>
      <c r="P445" s="78"/>
      <c r="Q445" s="76"/>
    </row>
    <row r="446" spans="1:17" ht="19.899999999999999" customHeight="1" x14ac:dyDescent="0.25">
      <c r="A446" s="74"/>
      <c r="B446" s="74"/>
      <c r="C446" s="74"/>
      <c r="D446" s="74"/>
      <c r="E446" s="69"/>
      <c r="F446" s="75"/>
      <c r="G446" s="76"/>
      <c r="H446" s="76"/>
      <c r="I446" s="76"/>
      <c r="J446" s="76"/>
      <c r="K446" s="76"/>
      <c r="L446" s="76"/>
      <c r="M446" s="77"/>
      <c r="N446" s="77"/>
      <c r="O446" s="78"/>
      <c r="P446" s="78"/>
      <c r="Q446" s="76"/>
    </row>
    <row r="447" spans="1:17" ht="19.899999999999999" customHeight="1" x14ac:dyDescent="0.25">
      <c r="A447" s="74"/>
      <c r="B447" s="74"/>
      <c r="C447" s="74"/>
      <c r="D447" s="74"/>
      <c r="E447" s="69"/>
      <c r="F447" s="75"/>
      <c r="G447" s="76"/>
      <c r="H447" s="76"/>
      <c r="I447" s="76"/>
      <c r="J447" s="76"/>
      <c r="K447" s="76"/>
      <c r="L447" s="76"/>
      <c r="M447" s="77"/>
      <c r="N447" s="77"/>
      <c r="O447" s="78"/>
      <c r="P447" s="78"/>
      <c r="Q447" s="76"/>
    </row>
    <row r="448" spans="1:17" ht="19.899999999999999" customHeight="1" x14ac:dyDescent="0.25">
      <c r="A448" s="74"/>
      <c r="B448" s="74"/>
      <c r="C448" s="74"/>
      <c r="D448" s="74"/>
      <c r="E448" s="69"/>
      <c r="F448" s="75"/>
      <c r="G448" s="76"/>
      <c r="H448" s="76"/>
      <c r="I448" s="76"/>
      <c r="J448" s="76"/>
      <c r="K448" s="76"/>
      <c r="L448" s="76"/>
      <c r="M448" s="77"/>
      <c r="N448" s="77"/>
      <c r="O448" s="78"/>
      <c r="P448" s="78"/>
      <c r="Q448" s="76"/>
    </row>
    <row r="449" spans="1:17" ht="19.899999999999999" customHeight="1" x14ac:dyDescent="0.25">
      <c r="A449" s="74"/>
      <c r="B449" s="74"/>
      <c r="C449" s="74"/>
      <c r="D449" s="74"/>
      <c r="E449" s="69"/>
      <c r="F449" s="75"/>
      <c r="G449" s="76"/>
      <c r="H449" s="76"/>
      <c r="I449" s="76"/>
      <c r="J449" s="76"/>
      <c r="K449" s="76"/>
      <c r="L449" s="76"/>
      <c r="M449" s="77"/>
      <c r="N449" s="77"/>
      <c r="O449" s="78"/>
      <c r="P449" s="78"/>
      <c r="Q449" s="76"/>
    </row>
    <row r="450" spans="1:17" ht="19.899999999999999" customHeight="1" x14ac:dyDescent="0.25">
      <c r="A450" s="74"/>
      <c r="B450" s="74"/>
      <c r="C450" s="74"/>
      <c r="D450" s="74"/>
      <c r="E450" s="69"/>
      <c r="F450" s="75"/>
      <c r="G450" s="76"/>
      <c r="H450" s="76"/>
      <c r="I450" s="76"/>
      <c r="J450" s="76"/>
      <c r="K450" s="76"/>
      <c r="L450" s="76"/>
      <c r="M450" s="77"/>
      <c r="N450" s="77"/>
      <c r="O450" s="78"/>
      <c r="P450" s="78"/>
      <c r="Q450" s="76"/>
    </row>
    <row r="451" spans="1:17" ht="19.899999999999999" customHeight="1" x14ac:dyDescent="0.25">
      <c r="A451" s="74"/>
      <c r="B451" s="74"/>
      <c r="C451" s="74"/>
      <c r="D451" s="74"/>
      <c r="E451" s="69"/>
      <c r="F451" s="75"/>
      <c r="G451" s="76"/>
      <c r="H451" s="76"/>
      <c r="I451" s="76"/>
      <c r="J451" s="76"/>
      <c r="K451" s="76"/>
      <c r="L451" s="76"/>
      <c r="M451" s="77"/>
      <c r="N451" s="77"/>
      <c r="O451" s="78"/>
      <c r="P451" s="78"/>
      <c r="Q451" s="76"/>
    </row>
    <row r="452" spans="1:17" ht="19.899999999999999" customHeight="1" x14ac:dyDescent="0.25">
      <c r="A452" s="74"/>
      <c r="B452" s="74"/>
      <c r="C452" s="74"/>
      <c r="D452" s="74"/>
      <c r="E452" s="69"/>
      <c r="F452" s="75"/>
      <c r="G452" s="76"/>
      <c r="H452" s="76"/>
      <c r="I452" s="76"/>
      <c r="J452" s="76"/>
      <c r="K452" s="76"/>
      <c r="L452" s="76"/>
      <c r="M452" s="77"/>
      <c r="N452" s="77"/>
      <c r="O452" s="78"/>
      <c r="P452" s="78"/>
      <c r="Q452" s="76"/>
    </row>
    <row r="453" spans="1:17" ht="19.899999999999999" customHeight="1" x14ac:dyDescent="0.25">
      <c r="A453" s="74"/>
      <c r="B453" s="74"/>
      <c r="C453" s="74"/>
      <c r="D453" s="74"/>
      <c r="E453" s="69"/>
      <c r="F453" s="75"/>
      <c r="G453" s="76"/>
      <c r="H453" s="76"/>
      <c r="I453" s="76"/>
      <c r="J453" s="76"/>
      <c r="K453" s="76"/>
      <c r="L453" s="76"/>
      <c r="M453" s="77"/>
      <c r="N453" s="77"/>
      <c r="O453" s="78"/>
      <c r="P453" s="78"/>
      <c r="Q453" s="76"/>
    </row>
    <row r="454" spans="1:17" ht="19.899999999999999" customHeight="1" x14ac:dyDescent="0.25">
      <c r="A454" s="74"/>
      <c r="B454" s="74"/>
      <c r="C454" s="74"/>
      <c r="D454" s="74"/>
      <c r="E454" s="69"/>
      <c r="F454" s="75"/>
      <c r="G454" s="76"/>
      <c r="H454" s="76"/>
      <c r="I454" s="76"/>
      <c r="J454" s="76"/>
      <c r="K454" s="76"/>
      <c r="L454" s="76"/>
      <c r="M454" s="77"/>
      <c r="N454" s="77"/>
      <c r="O454" s="78"/>
      <c r="P454" s="78"/>
      <c r="Q454" s="76"/>
    </row>
    <row r="455" spans="1:17" ht="19.899999999999999" customHeight="1" x14ac:dyDescent="0.25">
      <c r="A455" s="74"/>
      <c r="B455" s="74"/>
      <c r="C455" s="74"/>
      <c r="D455" s="74"/>
      <c r="E455" s="69"/>
      <c r="F455" s="75"/>
      <c r="G455" s="76"/>
      <c r="H455" s="76"/>
      <c r="I455" s="76"/>
      <c r="J455" s="76"/>
      <c r="K455" s="76"/>
      <c r="L455" s="76"/>
      <c r="M455" s="77"/>
      <c r="N455" s="77"/>
      <c r="O455" s="78"/>
      <c r="P455" s="78"/>
      <c r="Q455" s="76"/>
    </row>
    <row r="456" spans="1:17" ht="19.899999999999999" customHeight="1" x14ac:dyDescent="0.25">
      <c r="A456" s="74"/>
      <c r="B456" s="74"/>
      <c r="C456" s="74"/>
      <c r="D456" s="74"/>
      <c r="E456" s="69"/>
      <c r="F456" s="75"/>
      <c r="G456" s="76"/>
      <c r="H456" s="76"/>
      <c r="I456" s="76"/>
      <c r="J456" s="76"/>
      <c r="K456" s="76"/>
      <c r="L456" s="76"/>
      <c r="M456" s="77"/>
      <c r="N456" s="77"/>
      <c r="O456" s="78"/>
      <c r="P456" s="78"/>
      <c r="Q456" s="76"/>
    </row>
    <row r="457" spans="1:17" ht="19.899999999999999" customHeight="1" x14ac:dyDescent="0.25">
      <c r="A457" s="74"/>
      <c r="B457" s="74"/>
      <c r="C457" s="74"/>
      <c r="D457" s="74"/>
      <c r="E457" s="69"/>
      <c r="F457" s="75"/>
      <c r="G457" s="76"/>
      <c r="H457" s="76"/>
      <c r="I457" s="76"/>
      <c r="J457" s="76"/>
      <c r="K457" s="76"/>
      <c r="L457" s="76"/>
      <c r="M457" s="77"/>
      <c r="N457" s="77"/>
      <c r="O457" s="78"/>
      <c r="P457" s="78"/>
      <c r="Q457" s="76"/>
    </row>
    <row r="458" spans="1:17" ht="19.899999999999999" customHeight="1" x14ac:dyDescent="0.25">
      <c r="A458" s="74"/>
      <c r="B458" s="74"/>
      <c r="C458" s="74"/>
      <c r="D458" s="74"/>
      <c r="E458" s="69"/>
      <c r="F458" s="75"/>
      <c r="G458" s="76"/>
      <c r="H458" s="76"/>
      <c r="I458" s="76"/>
      <c r="J458" s="76"/>
      <c r="K458" s="76"/>
      <c r="L458" s="76"/>
      <c r="M458" s="77"/>
      <c r="N458" s="77"/>
      <c r="O458" s="78"/>
      <c r="P458" s="78"/>
      <c r="Q458" s="76"/>
    </row>
    <row r="459" spans="1:17" ht="19.899999999999999" customHeight="1" x14ac:dyDescent="0.25">
      <c r="A459" s="74"/>
      <c r="B459" s="74"/>
      <c r="C459" s="74"/>
      <c r="D459" s="74"/>
      <c r="E459" s="69"/>
      <c r="F459" s="75"/>
      <c r="G459" s="76"/>
      <c r="H459" s="76"/>
      <c r="I459" s="76"/>
      <c r="J459" s="76"/>
      <c r="K459" s="76"/>
      <c r="L459" s="76"/>
      <c r="M459" s="77"/>
      <c r="N459" s="77"/>
      <c r="O459" s="78"/>
      <c r="P459" s="78"/>
      <c r="Q459" s="76"/>
    </row>
    <row r="460" spans="1:17" ht="19.899999999999999" customHeight="1" x14ac:dyDescent="0.25">
      <c r="A460" s="74"/>
      <c r="B460" s="74"/>
      <c r="C460" s="74"/>
      <c r="D460" s="74"/>
      <c r="E460" s="69"/>
      <c r="F460" s="75"/>
      <c r="G460" s="76"/>
      <c r="H460" s="76"/>
      <c r="I460" s="76"/>
      <c r="J460" s="76"/>
      <c r="K460" s="76"/>
      <c r="L460" s="76"/>
      <c r="M460" s="77"/>
      <c r="N460" s="77"/>
      <c r="O460" s="78"/>
      <c r="P460" s="78"/>
      <c r="Q460" s="76"/>
    </row>
    <row r="461" spans="1:17" ht="19.899999999999999" customHeight="1" x14ac:dyDescent="0.25">
      <c r="A461" s="74"/>
      <c r="B461" s="74"/>
      <c r="C461" s="74"/>
      <c r="D461" s="74"/>
      <c r="E461" s="69"/>
      <c r="F461" s="75"/>
      <c r="G461" s="76"/>
      <c r="H461" s="76"/>
      <c r="I461" s="76"/>
      <c r="J461" s="76"/>
      <c r="K461" s="76"/>
      <c r="L461" s="76"/>
      <c r="M461" s="77"/>
      <c r="N461" s="77"/>
      <c r="O461" s="78"/>
      <c r="P461" s="78"/>
      <c r="Q461" s="76"/>
    </row>
    <row r="462" spans="1:17" ht="19.899999999999999" customHeight="1" x14ac:dyDescent="0.25">
      <c r="A462" s="74"/>
      <c r="B462" s="74"/>
      <c r="C462" s="74"/>
      <c r="D462" s="74"/>
      <c r="E462" s="69"/>
      <c r="F462" s="75"/>
      <c r="G462" s="76"/>
      <c r="H462" s="76"/>
      <c r="I462" s="76"/>
      <c r="J462" s="76"/>
      <c r="K462" s="76"/>
      <c r="L462" s="76"/>
      <c r="M462" s="77"/>
      <c r="N462" s="77"/>
      <c r="O462" s="78"/>
      <c r="P462" s="78"/>
      <c r="Q462" s="76"/>
    </row>
    <row r="463" spans="1:17" ht="19.899999999999999" customHeight="1" x14ac:dyDescent="0.25">
      <c r="A463" s="74"/>
      <c r="B463" s="74"/>
      <c r="C463" s="74"/>
      <c r="D463" s="74"/>
      <c r="E463" s="69"/>
      <c r="F463" s="75"/>
      <c r="G463" s="76"/>
      <c r="H463" s="76"/>
      <c r="I463" s="76"/>
      <c r="J463" s="76"/>
      <c r="K463" s="76"/>
      <c r="L463" s="76"/>
      <c r="M463" s="77"/>
      <c r="N463" s="77"/>
      <c r="O463" s="78"/>
      <c r="P463" s="78"/>
      <c r="Q463" s="76"/>
    </row>
    <row r="464" spans="1:17" ht="19.899999999999999" customHeight="1" x14ac:dyDescent="0.25">
      <c r="A464" s="74"/>
      <c r="B464" s="74"/>
      <c r="C464" s="74"/>
      <c r="D464" s="74"/>
      <c r="E464" s="69"/>
      <c r="F464" s="75"/>
      <c r="G464" s="76"/>
      <c r="H464" s="76"/>
      <c r="I464" s="76"/>
      <c r="J464" s="76"/>
      <c r="K464" s="76"/>
      <c r="L464" s="76"/>
      <c r="M464" s="77"/>
      <c r="N464" s="77"/>
      <c r="O464" s="78"/>
      <c r="P464" s="78"/>
      <c r="Q464" s="76"/>
    </row>
    <row r="465" spans="1:17" ht="19.899999999999999" customHeight="1" x14ac:dyDescent="0.25">
      <c r="A465" s="74"/>
      <c r="B465" s="74"/>
      <c r="C465" s="74"/>
      <c r="D465" s="74"/>
      <c r="E465" s="69"/>
      <c r="F465" s="75"/>
      <c r="G465" s="76"/>
      <c r="H465" s="76"/>
      <c r="I465" s="76"/>
      <c r="J465" s="76"/>
      <c r="K465" s="76"/>
      <c r="L465" s="76"/>
      <c r="M465" s="77"/>
      <c r="N465" s="77"/>
      <c r="O465" s="78"/>
      <c r="P465" s="78"/>
      <c r="Q465" s="76"/>
    </row>
    <row r="466" spans="1:17" ht="19.899999999999999" customHeight="1" x14ac:dyDescent="0.25">
      <c r="A466" s="74"/>
      <c r="B466" s="74"/>
      <c r="C466" s="74"/>
      <c r="D466" s="74"/>
      <c r="E466" s="69"/>
      <c r="F466" s="75"/>
      <c r="G466" s="76"/>
      <c r="H466" s="76"/>
      <c r="I466" s="76"/>
      <c r="J466" s="76"/>
      <c r="K466" s="76"/>
      <c r="L466" s="76"/>
      <c r="M466" s="77"/>
      <c r="N466" s="77"/>
      <c r="O466" s="78"/>
      <c r="P466" s="78"/>
      <c r="Q466" s="76"/>
    </row>
    <row r="467" spans="1:17" ht="19.899999999999999" customHeight="1" x14ac:dyDescent="0.25">
      <c r="A467" s="74"/>
      <c r="B467" s="74"/>
      <c r="C467" s="74"/>
      <c r="D467" s="74"/>
      <c r="E467" s="69"/>
      <c r="F467" s="75"/>
      <c r="G467" s="76"/>
      <c r="H467" s="76"/>
      <c r="I467" s="76"/>
      <c r="J467" s="76"/>
      <c r="K467" s="76"/>
      <c r="L467" s="76"/>
      <c r="M467" s="77"/>
      <c r="N467" s="77"/>
      <c r="O467" s="78"/>
      <c r="P467" s="78"/>
      <c r="Q467" s="76"/>
    </row>
    <row r="468" spans="1:17" ht="19.899999999999999" customHeight="1" x14ac:dyDescent="0.25">
      <c r="A468" s="74"/>
      <c r="B468" s="74"/>
      <c r="C468" s="74"/>
      <c r="D468" s="74"/>
      <c r="E468" s="69"/>
      <c r="F468" s="75"/>
      <c r="G468" s="76"/>
      <c r="H468" s="76"/>
      <c r="I468" s="76"/>
      <c r="J468" s="76"/>
      <c r="K468" s="76"/>
      <c r="L468" s="76"/>
      <c r="M468" s="77"/>
      <c r="N468" s="77"/>
      <c r="O468" s="78"/>
      <c r="P468" s="78"/>
      <c r="Q468" s="76"/>
    </row>
    <row r="469" spans="1:17" ht="19.899999999999999" customHeight="1" x14ac:dyDescent="0.25">
      <c r="A469" s="74"/>
      <c r="B469" s="74"/>
      <c r="C469" s="74"/>
      <c r="D469" s="74"/>
      <c r="E469" s="69"/>
      <c r="F469" s="75"/>
      <c r="G469" s="76"/>
      <c r="H469" s="76"/>
      <c r="I469" s="76"/>
      <c r="J469" s="76"/>
      <c r="K469" s="76"/>
      <c r="L469" s="76"/>
      <c r="M469" s="77"/>
      <c r="N469" s="77"/>
      <c r="O469" s="78"/>
      <c r="P469" s="78"/>
      <c r="Q469" s="76"/>
    </row>
    <row r="470" spans="1:17" ht="19.899999999999999" customHeight="1" x14ac:dyDescent="0.25">
      <c r="A470" s="74"/>
      <c r="B470" s="74"/>
      <c r="C470" s="74"/>
      <c r="D470" s="74"/>
      <c r="E470" s="69"/>
      <c r="F470" s="75"/>
      <c r="G470" s="76"/>
      <c r="H470" s="76"/>
      <c r="I470" s="76"/>
      <c r="J470" s="76"/>
      <c r="K470" s="76"/>
      <c r="L470" s="76"/>
      <c r="M470" s="77"/>
      <c r="N470" s="77"/>
      <c r="O470" s="78"/>
      <c r="P470" s="78"/>
      <c r="Q470" s="76"/>
    </row>
    <row r="471" spans="1:17" ht="19.899999999999999" customHeight="1" x14ac:dyDescent="0.25">
      <c r="A471" s="74"/>
      <c r="B471" s="74"/>
      <c r="C471" s="74"/>
      <c r="D471" s="74"/>
      <c r="E471" s="69"/>
      <c r="F471" s="75"/>
      <c r="G471" s="76"/>
      <c r="H471" s="76"/>
      <c r="I471" s="76"/>
      <c r="J471" s="76"/>
      <c r="K471" s="76"/>
      <c r="L471" s="76"/>
      <c r="M471" s="77"/>
      <c r="N471" s="77"/>
      <c r="O471" s="78"/>
      <c r="P471" s="78"/>
      <c r="Q471" s="76"/>
    </row>
    <row r="472" spans="1:17" ht="19.899999999999999" customHeight="1" x14ac:dyDescent="0.25">
      <c r="A472" s="74"/>
      <c r="B472" s="74"/>
      <c r="C472" s="74"/>
      <c r="D472" s="74"/>
      <c r="E472" s="69"/>
      <c r="F472" s="75"/>
      <c r="G472" s="76"/>
      <c r="H472" s="76"/>
      <c r="I472" s="76"/>
      <c r="J472" s="76"/>
      <c r="K472" s="76"/>
      <c r="L472" s="76"/>
      <c r="M472" s="77"/>
      <c r="N472" s="77"/>
      <c r="O472" s="78"/>
      <c r="P472" s="78"/>
      <c r="Q472" s="76"/>
    </row>
    <row r="473" spans="1:17" ht="19.899999999999999" customHeight="1" x14ac:dyDescent="0.25">
      <c r="A473" s="74"/>
      <c r="B473" s="74"/>
      <c r="C473" s="74"/>
      <c r="D473" s="74"/>
      <c r="E473" s="69"/>
      <c r="F473" s="75"/>
      <c r="G473" s="76"/>
      <c r="H473" s="76"/>
      <c r="I473" s="76"/>
      <c r="J473" s="76"/>
      <c r="K473" s="76"/>
      <c r="L473" s="76"/>
      <c r="M473" s="77"/>
      <c r="N473" s="77"/>
      <c r="O473" s="78"/>
      <c r="P473" s="78"/>
      <c r="Q473" s="76"/>
    </row>
    <row r="474" spans="1:17" ht="19.899999999999999" customHeight="1" x14ac:dyDescent="0.25">
      <c r="A474" s="74"/>
      <c r="B474" s="74"/>
      <c r="C474" s="74"/>
      <c r="D474" s="74"/>
      <c r="E474" s="69"/>
      <c r="F474" s="75"/>
      <c r="G474" s="76"/>
      <c r="H474" s="76"/>
      <c r="I474" s="76"/>
      <c r="J474" s="76"/>
      <c r="K474" s="76"/>
      <c r="L474" s="76"/>
      <c r="M474" s="77"/>
      <c r="N474" s="77"/>
      <c r="O474" s="78"/>
      <c r="P474" s="78"/>
      <c r="Q474" s="76"/>
    </row>
    <row r="475" spans="1:17" ht="19.899999999999999" customHeight="1" x14ac:dyDescent="0.25">
      <c r="A475" s="74"/>
      <c r="B475" s="74"/>
      <c r="C475" s="74"/>
      <c r="D475" s="74"/>
      <c r="E475" s="69"/>
      <c r="F475" s="75"/>
      <c r="G475" s="76"/>
      <c r="H475" s="76"/>
      <c r="I475" s="76"/>
      <c r="J475" s="76"/>
      <c r="K475" s="76"/>
      <c r="L475" s="76"/>
      <c r="M475" s="77"/>
      <c r="N475" s="77"/>
      <c r="O475" s="78"/>
      <c r="P475" s="78"/>
      <c r="Q475" s="76"/>
    </row>
    <row r="476" spans="1:17" ht="19.899999999999999" customHeight="1" x14ac:dyDescent="0.25">
      <c r="A476" s="74"/>
      <c r="B476" s="74"/>
      <c r="C476" s="74"/>
      <c r="D476" s="74"/>
      <c r="E476" s="69"/>
      <c r="F476" s="75"/>
      <c r="G476" s="76"/>
      <c r="H476" s="76"/>
      <c r="I476" s="76"/>
      <c r="J476" s="76"/>
      <c r="K476" s="76"/>
      <c r="L476" s="76"/>
      <c r="M476" s="77"/>
      <c r="N476" s="77"/>
      <c r="O476" s="78"/>
      <c r="P476" s="78"/>
      <c r="Q476" s="76"/>
    </row>
    <row r="477" spans="1:17" ht="19.899999999999999" customHeight="1" x14ac:dyDescent="0.25">
      <c r="A477" s="74"/>
      <c r="B477" s="74"/>
      <c r="C477" s="74"/>
      <c r="D477" s="74"/>
      <c r="E477" s="69"/>
      <c r="F477" s="75"/>
      <c r="G477" s="76"/>
      <c r="H477" s="76"/>
      <c r="I477" s="76"/>
      <c r="J477" s="76"/>
      <c r="K477" s="76"/>
      <c r="L477" s="76"/>
      <c r="M477" s="77"/>
      <c r="N477" s="77"/>
      <c r="O477" s="78"/>
      <c r="P477" s="78"/>
      <c r="Q477" s="76"/>
    </row>
    <row r="478" spans="1:17" ht="19.899999999999999" customHeight="1" x14ac:dyDescent="0.25">
      <c r="A478" s="74"/>
      <c r="B478" s="74"/>
      <c r="C478" s="74"/>
      <c r="D478" s="74"/>
      <c r="E478" s="69"/>
      <c r="F478" s="75"/>
      <c r="G478" s="76"/>
      <c r="H478" s="76"/>
      <c r="I478" s="76"/>
      <c r="J478" s="76"/>
      <c r="K478" s="76"/>
      <c r="L478" s="76"/>
      <c r="M478" s="77"/>
      <c r="N478" s="77"/>
      <c r="O478" s="78"/>
      <c r="P478" s="78"/>
      <c r="Q478" s="76"/>
    </row>
    <row r="479" spans="1:17" ht="19.899999999999999" customHeight="1" x14ac:dyDescent="0.25">
      <c r="A479" s="74"/>
      <c r="B479" s="74"/>
      <c r="C479" s="74"/>
      <c r="D479" s="74"/>
      <c r="E479" s="69"/>
      <c r="F479" s="75"/>
      <c r="G479" s="76"/>
      <c r="H479" s="76"/>
      <c r="I479" s="76"/>
      <c r="J479" s="76"/>
      <c r="K479" s="76"/>
      <c r="L479" s="76"/>
      <c r="M479" s="77"/>
      <c r="N479" s="77"/>
      <c r="O479" s="78"/>
      <c r="P479" s="78"/>
      <c r="Q479" s="76"/>
    </row>
    <row r="480" spans="1:17" ht="19.899999999999999" customHeight="1" x14ac:dyDescent="0.25">
      <c r="A480" s="74"/>
      <c r="B480" s="74"/>
      <c r="C480" s="74"/>
      <c r="D480" s="74"/>
      <c r="E480" s="69"/>
      <c r="F480" s="75"/>
      <c r="G480" s="76"/>
      <c r="H480" s="76"/>
      <c r="I480" s="76"/>
      <c r="J480" s="76"/>
      <c r="K480" s="76"/>
      <c r="L480" s="76"/>
      <c r="M480" s="77"/>
      <c r="N480" s="77"/>
      <c r="O480" s="78"/>
      <c r="P480" s="78"/>
      <c r="Q480" s="76"/>
    </row>
    <row r="481" spans="1:17" ht="19.899999999999999" customHeight="1" x14ac:dyDescent="0.25">
      <c r="A481" s="74"/>
      <c r="B481" s="74"/>
      <c r="C481" s="74"/>
      <c r="D481" s="74"/>
      <c r="E481" s="69"/>
      <c r="F481" s="75"/>
      <c r="G481" s="76"/>
      <c r="H481" s="76"/>
      <c r="I481" s="76"/>
      <c r="J481" s="76"/>
      <c r="K481" s="76"/>
      <c r="L481" s="76"/>
      <c r="M481" s="77"/>
      <c r="N481" s="77"/>
      <c r="O481" s="78"/>
      <c r="P481" s="78"/>
      <c r="Q481" s="76"/>
    </row>
    <row r="482" spans="1:17" ht="19.899999999999999" customHeight="1" x14ac:dyDescent="0.25">
      <c r="A482" s="74"/>
      <c r="B482" s="74"/>
      <c r="C482" s="74"/>
      <c r="D482" s="74"/>
      <c r="E482" s="69"/>
      <c r="F482" s="75"/>
      <c r="G482" s="76"/>
      <c r="H482" s="76"/>
      <c r="I482" s="76"/>
      <c r="J482" s="76"/>
      <c r="K482" s="76"/>
      <c r="L482" s="76"/>
      <c r="M482" s="77"/>
      <c r="N482" s="77"/>
      <c r="O482" s="78"/>
      <c r="P482" s="78"/>
      <c r="Q482" s="76"/>
    </row>
    <row r="483" spans="1:17" ht="19.899999999999999" customHeight="1" x14ac:dyDescent="0.25">
      <c r="A483" s="74"/>
      <c r="B483" s="74"/>
      <c r="C483" s="74"/>
      <c r="D483" s="74"/>
      <c r="E483" s="69"/>
      <c r="F483" s="75"/>
      <c r="G483" s="76"/>
      <c r="H483" s="76"/>
      <c r="I483" s="76"/>
      <c r="J483" s="76"/>
      <c r="K483" s="76"/>
      <c r="L483" s="76"/>
      <c r="M483" s="77"/>
      <c r="N483" s="77"/>
      <c r="O483" s="78"/>
      <c r="P483" s="78"/>
      <c r="Q483" s="76"/>
    </row>
    <row r="484" spans="1:17" ht="19.899999999999999" customHeight="1" x14ac:dyDescent="0.25">
      <c r="A484" s="74"/>
      <c r="B484" s="74"/>
      <c r="C484" s="74"/>
      <c r="D484" s="74"/>
      <c r="E484" s="69"/>
      <c r="F484" s="75"/>
      <c r="G484" s="76"/>
      <c r="H484" s="76"/>
      <c r="I484" s="76"/>
      <c r="J484" s="76"/>
      <c r="K484" s="76"/>
      <c r="L484" s="76"/>
      <c r="M484" s="77"/>
      <c r="N484" s="77"/>
      <c r="O484" s="78"/>
      <c r="P484" s="78"/>
      <c r="Q484" s="76"/>
    </row>
    <row r="485" spans="1:17" ht="19.899999999999999" customHeight="1" x14ac:dyDescent="0.25">
      <c r="A485" s="74"/>
      <c r="B485" s="74"/>
      <c r="C485" s="74"/>
      <c r="D485" s="74"/>
      <c r="E485" s="69"/>
      <c r="F485" s="75"/>
      <c r="G485" s="76"/>
      <c r="H485" s="76"/>
      <c r="I485" s="76"/>
      <c r="J485" s="76"/>
      <c r="K485" s="76"/>
      <c r="L485" s="76"/>
      <c r="M485" s="77"/>
      <c r="N485" s="77"/>
      <c r="O485" s="78"/>
      <c r="P485" s="78"/>
      <c r="Q485" s="76"/>
    </row>
    <row r="486" spans="1:17" ht="19.899999999999999" customHeight="1" x14ac:dyDescent="0.25">
      <c r="A486" s="74"/>
      <c r="B486" s="74"/>
      <c r="C486" s="74"/>
      <c r="D486" s="74"/>
      <c r="E486" s="69"/>
      <c r="F486" s="75"/>
      <c r="G486" s="76"/>
      <c r="H486" s="76"/>
      <c r="I486" s="76"/>
      <c r="J486" s="76"/>
      <c r="K486" s="76"/>
      <c r="L486" s="76"/>
      <c r="M486" s="77"/>
      <c r="N486" s="77"/>
      <c r="O486" s="78"/>
      <c r="P486" s="78"/>
      <c r="Q486" s="76"/>
    </row>
    <row r="487" spans="1:17" ht="19.899999999999999" customHeight="1" x14ac:dyDescent="0.25">
      <c r="A487" s="74"/>
      <c r="B487" s="74"/>
      <c r="C487" s="74"/>
      <c r="D487" s="74"/>
      <c r="E487" s="69"/>
      <c r="F487" s="75"/>
      <c r="G487" s="76"/>
      <c r="H487" s="76"/>
      <c r="I487" s="76"/>
      <c r="J487" s="76"/>
      <c r="K487" s="76"/>
      <c r="L487" s="76"/>
      <c r="M487" s="77"/>
      <c r="N487" s="77"/>
      <c r="O487" s="78"/>
      <c r="P487" s="78"/>
      <c r="Q487" s="76"/>
    </row>
    <row r="488" spans="1:17" ht="19.899999999999999" customHeight="1" x14ac:dyDescent="0.25">
      <c r="A488" s="74"/>
      <c r="B488" s="74"/>
      <c r="C488" s="74"/>
      <c r="D488" s="74"/>
      <c r="E488" s="69"/>
      <c r="F488" s="75"/>
      <c r="G488" s="76"/>
      <c r="H488" s="76"/>
      <c r="I488" s="76"/>
      <c r="J488" s="76"/>
      <c r="K488" s="76"/>
      <c r="L488" s="76"/>
      <c r="M488" s="77"/>
      <c r="N488" s="77"/>
      <c r="O488" s="78"/>
      <c r="P488" s="78"/>
      <c r="Q488" s="76"/>
    </row>
    <row r="489" spans="1:17" ht="19.899999999999999" customHeight="1" x14ac:dyDescent="0.25">
      <c r="A489" s="74"/>
      <c r="B489" s="74"/>
      <c r="C489" s="74"/>
      <c r="D489" s="74"/>
      <c r="E489" s="69"/>
      <c r="F489" s="75"/>
      <c r="G489" s="76"/>
      <c r="H489" s="76"/>
      <c r="I489" s="76"/>
      <c r="J489" s="76"/>
      <c r="K489" s="76"/>
      <c r="L489" s="76"/>
      <c r="M489" s="77"/>
      <c r="N489" s="77"/>
      <c r="O489" s="78"/>
      <c r="P489" s="78"/>
      <c r="Q489" s="76"/>
    </row>
    <row r="490" spans="1:17" ht="19.899999999999999" customHeight="1" x14ac:dyDescent="0.25">
      <c r="A490" s="74"/>
      <c r="B490" s="74"/>
      <c r="C490" s="74"/>
      <c r="D490" s="74"/>
      <c r="E490" s="69"/>
      <c r="F490" s="75"/>
      <c r="G490" s="76"/>
      <c r="H490" s="76"/>
      <c r="I490" s="76"/>
      <c r="J490" s="76"/>
      <c r="K490" s="76"/>
      <c r="L490" s="76"/>
      <c r="M490" s="77"/>
      <c r="N490" s="77"/>
      <c r="O490" s="78"/>
      <c r="P490" s="78"/>
      <c r="Q490" s="76"/>
    </row>
    <row r="491" spans="1:17" ht="19.899999999999999" customHeight="1" x14ac:dyDescent="0.25">
      <c r="A491" s="74"/>
      <c r="B491" s="74"/>
      <c r="C491" s="74"/>
      <c r="D491" s="74"/>
      <c r="E491" s="69"/>
      <c r="F491" s="75"/>
      <c r="G491" s="76"/>
      <c r="H491" s="76"/>
      <c r="I491" s="76"/>
      <c r="J491" s="76"/>
      <c r="K491" s="76"/>
      <c r="L491" s="76"/>
      <c r="M491" s="77"/>
      <c r="N491" s="77"/>
      <c r="O491" s="78"/>
      <c r="P491" s="78"/>
      <c r="Q491" s="76"/>
    </row>
    <row r="492" spans="1:17" ht="19.899999999999999" customHeight="1" x14ac:dyDescent="0.25">
      <c r="A492" s="74"/>
      <c r="B492" s="74"/>
      <c r="C492" s="74"/>
      <c r="D492" s="74"/>
      <c r="E492" s="69"/>
      <c r="F492" s="75"/>
      <c r="G492" s="76"/>
      <c r="H492" s="76"/>
      <c r="I492" s="76"/>
      <c r="J492" s="76"/>
      <c r="K492" s="76"/>
      <c r="L492" s="76"/>
      <c r="M492" s="77"/>
      <c r="N492" s="77"/>
      <c r="O492" s="78"/>
      <c r="P492" s="78"/>
      <c r="Q492" s="76"/>
    </row>
    <row r="493" spans="1:17" ht="19.899999999999999" customHeight="1" x14ac:dyDescent="0.25">
      <c r="A493" s="74"/>
      <c r="B493" s="74"/>
      <c r="C493" s="74"/>
      <c r="D493" s="74"/>
      <c r="E493" s="69"/>
      <c r="F493" s="75"/>
      <c r="G493" s="76"/>
      <c r="H493" s="76"/>
      <c r="I493" s="76"/>
      <c r="J493" s="76"/>
      <c r="K493" s="76"/>
      <c r="L493" s="76"/>
      <c r="M493" s="77"/>
      <c r="N493" s="77"/>
      <c r="O493" s="78"/>
      <c r="P493" s="78"/>
      <c r="Q493" s="76"/>
    </row>
    <row r="494" spans="1:17" ht="19.899999999999999" customHeight="1" x14ac:dyDescent="0.25">
      <c r="A494" s="74"/>
      <c r="B494" s="74"/>
      <c r="C494" s="74"/>
      <c r="D494" s="74"/>
      <c r="E494" s="69"/>
      <c r="F494" s="75"/>
      <c r="G494" s="76"/>
      <c r="H494" s="76"/>
      <c r="I494" s="76"/>
      <c r="J494" s="76"/>
      <c r="K494" s="76"/>
      <c r="L494" s="76"/>
      <c r="M494" s="77"/>
      <c r="N494" s="77"/>
      <c r="O494" s="78"/>
      <c r="P494" s="78"/>
      <c r="Q494" s="76"/>
    </row>
    <row r="495" spans="1:17" ht="19.899999999999999" customHeight="1" x14ac:dyDescent="0.25">
      <c r="A495" s="74"/>
      <c r="B495" s="74"/>
      <c r="C495" s="74"/>
      <c r="D495" s="74"/>
      <c r="E495" s="69"/>
      <c r="F495" s="75"/>
      <c r="G495" s="76"/>
      <c r="H495" s="76"/>
      <c r="I495" s="76"/>
      <c r="J495" s="76"/>
      <c r="K495" s="76"/>
      <c r="L495" s="76"/>
      <c r="M495" s="77"/>
      <c r="N495" s="77"/>
      <c r="O495" s="78"/>
      <c r="P495" s="78"/>
      <c r="Q495" s="76"/>
    </row>
    <row r="496" spans="1:17" ht="19.899999999999999" customHeight="1" x14ac:dyDescent="0.25">
      <c r="A496" s="74"/>
      <c r="B496" s="74"/>
      <c r="C496" s="74"/>
      <c r="D496" s="74"/>
      <c r="E496" s="69"/>
      <c r="F496" s="75"/>
      <c r="G496" s="76"/>
      <c r="H496" s="76"/>
      <c r="I496" s="76"/>
      <c r="J496" s="76"/>
      <c r="K496" s="76"/>
      <c r="L496" s="76"/>
      <c r="M496" s="77"/>
      <c r="N496" s="77"/>
      <c r="O496" s="78"/>
      <c r="P496" s="78"/>
      <c r="Q496" s="76"/>
    </row>
    <row r="497" spans="1:17" ht="19.899999999999999" customHeight="1" x14ac:dyDescent="0.25">
      <c r="A497" s="74"/>
      <c r="B497" s="74"/>
      <c r="C497" s="74"/>
      <c r="D497" s="74"/>
      <c r="E497" s="69"/>
      <c r="F497" s="75"/>
      <c r="G497" s="76"/>
      <c r="H497" s="76"/>
      <c r="I497" s="76"/>
      <c r="J497" s="76"/>
      <c r="K497" s="76"/>
      <c r="L497" s="76"/>
      <c r="M497" s="77"/>
      <c r="N497" s="77"/>
      <c r="O497" s="78"/>
      <c r="P497" s="78"/>
      <c r="Q497" s="76"/>
    </row>
    <row r="498" spans="1:17" ht="19.899999999999999" customHeight="1" x14ac:dyDescent="0.25">
      <c r="A498" s="74"/>
      <c r="B498" s="74"/>
      <c r="C498" s="74"/>
      <c r="D498" s="74"/>
      <c r="E498" s="69"/>
      <c r="F498" s="75"/>
      <c r="G498" s="76"/>
      <c r="H498" s="76"/>
      <c r="I498" s="76"/>
      <c r="J498" s="76"/>
      <c r="K498" s="76"/>
      <c r="L498" s="76"/>
      <c r="M498" s="77"/>
      <c r="N498" s="77"/>
      <c r="O498" s="78"/>
      <c r="P498" s="78"/>
      <c r="Q498" s="76"/>
    </row>
    <row r="499" spans="1:17" ht="19.899999999999999" customHeight="1" x14ac:dyDescent="0.25">
      <c r="A499" s="74"/>
      <c r="B499" s="74"/>
      <c r="C499" s="74"/>
      <c r="D499" s="74"/>
      <c r="E499" s="69"/>
      <c r="F499" s="75"/>
      <c r="G499" s="76"/>
      <c r="H499" s="76"/>
      <c r="I499" s="76"/>
      <c r="J499" s="76"/>
      <c r="K499" s="76"/>
      <c r="L499" s="76"/>
      <c r="M499" s="77"/>
      <c r="N499" s="77"/>
      <c r="O499" s="78"/>
      <c r="P499" s="78"/>
      <c r="Q499" s="76"/>
    </row>
    <row r="500" spans="1:17" ht="19.899999999999999" customHeight="1" x14ac:dyDescent="0.25">
      <c r="A500" s="74"/>
      <c r="B500" s="74"/>
      <c r="C500" s="74"/>
      <c r="D500" s="74"/>
      <c r="E500" s="69"/>
      <c r="F500" s="75"/>
      <c r="G500" s="76"/>
      <c r="H500" s="76"/>
      <c r="I500" s="76"/>
      <c r="J500" s="76"/>
      <c r="K500" s="76"/>
      <c r="L500" s="76"/>
      <c r="M500" s="77"/>
      <c r="N500" s="77"/>
      <c r="O500" s="78"/>
      <c r="P500" s="78"/>
      <c r="Q500" s="76"/>
    </row>
    <row r="501" spans="1:17" ht="19.899999999999999" customHeight="1" x14ac:dyDescent="0.25">
      <c r="A501" s="74"/>
      <c r="B501" s="74"/>
      <c r="C501" s="74"/>
      <c r="D501" s="74"/>
      <c r="E501" s="69"/>
      <c r="F501" s="75"/>
      <c r="G501" s="76"/>
      <c r="H501" s="76"/>
      <c r="I501" s="76"/>
      <c r="J501" s="76"/>
      <c r="K501" s="76"/>
      <c r="L501" s="76"/>
      <c r="M501" s="77"/>
      <c r="N501" s="77"/>
      <c r="O501" s="78"/>
      <c r="P501" s="78"/>
      <c r="Q501" s="76"/>
    </row>
    <row r="502" spans="1:17" ht="19.899999999999999" customHeight="1" x14ac:dyDescent="0.25">
      <c r="A502" s="74"/>
      <c r="B502" s="74"/>
      <c r="C502" s="74"/>
      <c r="D502" s="74"/>
      <c r="E502" s="69"/>
      <c r="F502" s="75"/>
      <c r="G502" s="76"/>
      <c r="H502" s="76"/>
      <c r="I502" s="76"/>
      <c r="J502" s="76"/>
      <c r="K502" s="76"/>
      <c r="L502" s="76"/>
      <c r="M502" s="77"/>
      <c r="N502" s="77"/>
      <c r="O502" s="78"/>
      <c r="P502" s="78"/>
      <c r="Q502" s="76"/>
    </row>
    <row r="503" spans="1:17" ht="19.899999999999999" customHeight="1" x14ac:dyDescent="0.25">
      <c r="A503" s="74"/>
      <c r="B503" s="74"/>
      <c r="C503" s="74"/>
      <c r="D503" s="74"/>
      <c r="E503" s="69"/>
      <c r="F503" s="75"/>
      <c r="G503" s="76"/>
      <c r="H503" s="76"/>
      <c r="I503" s="76"/>
      <c r="J503" s="76"/>
      <c r="K503" s="76"/>
      <c r="L503" s="76"/>
      <c r="M503" s="77"/>
      <c r="N503" s="77"/>
      <c r="O503" s="78"/>
      <c r="P503" s="78"/>
      <c r="Q503" s="76"/>
    </row>
    <row r="504" spans="1:17" ht="19.899999999999999" customHeight="1" x14ac:dyDescent="0.25">
      <c r="A504" s="74"/>
      <c r="B504" s="74"/>
      <c r="C504" s="74"/>
      <c r="D504" s="74"/>
      <c r="E504" s="69"/>
      <c r="F504" s="75"/>
      <c r="G504" s="76"/>
      <c r="H504" s="76"/>
      <c r="I504" s="76"/>
      <c r="J504" s="76"/>
      <c r="K504" s="76"/>
      <c r="L504" s="76"/>
      <c r="M504" s="77"/>
      <c r="N504" s="77"/>
      <c r="O504" s="78"/>
      <c r="P504" s="78"/>
      <c r="Q504" s="76"/>
    </row>
    <row r="505" spans="1:17" ht="19.899999999999999" customHeight="1" x14ac:dyDescent="0.25">
      <c r="A505" s="74"/>
      <c r="B505" s="74"/>
      <c r="C505" s="74"/>
      <c r="D505" s="74"/>
      <c r="E505" s="69"/>
      <c r="F505" s="75"/>
      <c r="G505" s="76"/>
      <c r="H505" s="76"/>
      <c r="I505" s="76"/>
      <c r="J505" s="76"/>
      <c r="K505" s="76"/>
      <c r="L505" s="76"/>
      <c r="M505" s="77"/>
      <c r="N505" s="77"/>
      <c r="O505" s="78"/>
      <c r="P505" s="78"/>
      <c r="Q505" s="76"/>
    </row>
    <row r="506" spans="1:17" ht="19.899999999999999" customHeight="1" x14ac:dyDescent="0.25">
      <c r="A506" s="74"/>
      <c r="B506" s="74"/>
      <c r="C506" s="74"/>
      <c r="D506" s="74"/>
      <c r="E506" s="69"/>
      <c r="F506" s="75"/>
      <c r="G506" s="76"/>
      <c r="H506" s="76"/>
      <c r="I506" s="76"/>
      <c r="J506" s="76"/>
      <c r="K506" s="76"/>
      <c r="L506" s="76"/>
      <c r="M506" s="77"/>
      <c r="N506" s="77"/>
      <c r="O506" s="78"/>
      <c r="P506" s="78"/>
      <c r="Q506" s="76"/>
    </row>
    <row r="507" spans="1:17" ht="19.899999999999999" customHeight="1" x14ac:dyDescent="0.25">
      <c r="A507" s="74"/>
      <c r="B507" s="74"/>
      <c r="C507" s="74"/>
      <c r="D507" s="74"/>
      <c r="E507" s="69"/>
      <c r="F507" s="75"/>
      <c r="G507" s="76"/>
      <c r="H507" s="76"/>
      <c r="I507" s="76"/>
      <c r="J507" s="76"/>
      <c r="K507" s="76"/>
      <c r="L507" s="76"/>
      <c r="M507" s="77"/>
      <c r="N507" s="77"/>
      <c r="O507" s="78"/>
      <c r="P507" s="78"/>
      <c r="Q507" s="76"/>
    </row>
    <row r="508" spans="1:17" ht="19.899999999999999" customHeight="1" x14ac:dyDescent="0.25">
      <c r="A508" s="74"/>
      <c r="B508" s="74"/>
      <c r="C508" s="74"/>
      <c r="D508" s="74"/>
      <c r="E508" s="69"/>
      <c r="F508" s="75"/>
      <c r="G508" s="76"/>
      <c r="H508" s="76"/>
      <c r="I508" s="76"/>
      <c r="J508" s="76"/>
      <c r="K508" s="76"/>
      <c r="L508" s="76"/>
      <c r="M508" s="77"/>
      <c r="N508" s="77"/>
      <c r="O508" s="78"/>
      <c r="P508" s="78"/>
      <c r="Q508" s="76"/>
    </row>
    <row r="509" spans="1:17" ht="19.899999999999999" customHeight="1" x14ac:dyDescent="0.25">
      <c r="A509" s="74"/>
      <c r="B509" s="74"/>
      <c r="C509" s="74"/>
      <c r="D509" s="74"/>
      <c r="E509" s="69"/>
      <c r="F509" s="75"/>
      <c r="G509" s="76"/>
      <c r="H509" s="76"/>
      <c r="I509" s="76"/>
      <c r="J509" s="76"/>
      <c r="K509" s="76"/>
      <c r="L509" s="76"/>
      <c r="M509" s="77"/>
      <c r="N509" s="77"/>
      <c r="O509" s="78"/>
      <c r="P509" s="78"/>
      <c r="Q509" s="76"/>
    </row>
    <row r="510" spans="1:17" ht="19.899999999999999" customHeight="1" x14ac:dyDescent="0.25">
      <c r="A510" s="74"/>
      <c r="B510" s="74"/>
      <c r="C510" s="74"/>
      <c r="D510" s="74"/>
      <c r="E510" s="69"/>
      <c r="F510" s="75"/>
      <c r="G510" s="76"/>
      <c r="H510" s="76"/>
      <c r="I510" s="76"/>
      <c r="J510" s="76"/>
      <c r="K510" s="76"/>
      <c r="L510" s="76"/>
      <c r="M510" s="77"/>
      <c r="N510" s="77"/>
      <c r="O510" s="78"/>
      <c r="P510" s="78"/>
      <c r="Q510" s="76"/>
    </row>
    <row r="511" spans="1:17" ht="19.899999999999999" customHeight="1" x14ac:dyDescent="0.25">
      <c r="A511" s="74"/>
      <c r="B511" s="74"/>
      <c r="C511" s="74"/>
      <c r="D511" s="74"/>
      <c r="E511" s="69"/>
      <c r="F511" s="75"/>
      <c r="G511" s="76"/>
      <c r="H511" s="76"/>
      <c r="I511" s="76"/>
      <c r="J511" s="76"/>
      <c r="K511" s="76"/>
      <c r="L511" s="76"/>
      <c r="M511" s="77"/>
      <c r="N511" s="77"/>
      <c r="O511" s="78"/>
      <c r="P511" s="78"/>
      <c r="Q511" s="76"/>
    </row>
    <row r="512" spans="1:17" ht="19.899999999999999" customHeight="1" x14ac:dyDescent="0.25">
      <c r="A512" s="74"/>
      <c r="B512" s="74"/>
      <c r="C512" s="74"/>
      <c r="D512" s="74"/>
      <c r="E512" s="69"/>
      <c r="F512" s="75"/>
      <c r="G512" s="76"/>
      <c r="H512" s="76"/>
      <c r="I512" s="76"/>
      <c r="J512" s="76"/>
      <c r="K512" s="76"/>
      <c r="L512" s="76"/>
      <c r="M512" s="77"/>
      <c r="N512" s="77"/>
      <c r="O512" s="78"/>
      <c r="P512" s="78"/>
      <c r="Q512" s="76"/>
    </row>
    <row r="513" spans="1:17" ht="19.899999999999999" customHeight="1" x14ac:dyDescent="0.25">
      <c r="A513" s="74"/>
      <c r="B513" s="74"/>
      <c r="C513" s="74"/>
      <c r="D513" s="74"/>
      <c r="E513" s="69"/>
      <c r="F513" s="75"/>
      <c r="G513" s="76"/>
      <c r="H513" s="76"/>
      <c r="I513" s="76"/>
      <c r="J513" s="76"/>
      <c r="K513" s="76"/>
      <c r="L513" s="76"/>
      <c r="M513" s="77"/>
      <c r="N513" s="77"/>
      <c r="O513" s="78"/>
      <c r="P513" s="78"/>
      <c r="Q513" s="76"/>
    </row>
    <row r="514" spans="1:17" ht="19.899999999999999" customHeight="1" x14ac:dyDescent="0.25">
      <c r="A514" s="74"/>
      <c r="B514" s="74"/>
      <c r="C514" s="74"/>
      <c r="D514" s="74"/>
      <c r="E514" s="69"/>
      <c r="F514" s="75"/>
      <c r="G514" s="76"/>
      <c r="H514" s="76"/>
      <c r="I514" s="76"/>
      <c r="J514" s="76"/>
      <c r="K514" s="76"/>
      <c r="L514" s="76"/>
      <c r="M514" s="77"/>
      <c r="N514" s="77"/>
      <c r="O514" s="78"/>
      <c r="P514" s="78"/>
      <c r="Q514" s="76"/>
    </row>
    <row r="515" spans="1:17" ht="19.899999999999999" customHeight="1" x14ac:dyDescent="0.25">
      <c r="A515" s="74"/>
      <c r="B515" s="74"/>
      <c r="C515" s="74"/>
      <c r="D515" s="74"/>
      <c r="E515" s="69"/>
      <c r="F515" s="75"/>
      <c r="G515" s="76"/>
      <c r="H515" s="76"/>
      <c r="I515" s="76"/>
      <c r="J515" s="76"/>
      <c r="K515" s="76"/>
      <c r="L515" s="76"/>
      <c r="M515" s="77"/>
      <c r="N515" s="77"/>
      <c r="O515" s="78"/>
      <c r="P515" s="78"/>
      <c r="Q515" s="76"/>
    </row>
    <row r="516" spans="1:17" ht="19.899999999999999" customHeight="1" x14ac:dyDescent="0.25">
      <c r="A516" s="74"/>
      <c r="B516" s="74"/>
      <c r="C516" s="74"/>
      <c r="D516" s="74"/>
      <c r="E516" s="69"/>
      <c r="F516" s="75"/>
      <c r="G516" s="76"/>
      <c r="H516" s="76"/>
      <c r="I516" s="76"/>
      <c r="J516" s="76"/>
      <c r="K516" s="76"/>
      <c r="L516" s="76"/>
      <c r="M516" s="77"/>
      <c r="N516" s="77"/>
      <c r="O516" s="78"/>
      <c r="P516" s="78"/>
      <c r="Q516" s="76"/>
    </row>
    <row r="517" spans="1:17" ht="19.899999999999999" customHeight="1" x14ac:dyDescent="0.25">
      <c r="A517" s="74"/>
      <c r="B517" s="74"/>
      <c r="C517" s="74"/>
      <c r="D517" s="74"/>
      <c r="E517" s="69"/>
      <c r="F517" s="75"/>
      <c r="G517" s="76"/>
      <c r="H517" s="76"/>
      <c r="I517" s="76"/>
      <c r="J517" s="76"/>
      <c r="K517" s="76"/>
      <c r="L517" s="76"/>
      <c r="M517" s="77"/>
      <c r="N517" s="77"/>
      <c r="O517" s="78"/>
      <c r="P517" s="78"/>
      <c r="Q517" s="76"/>
    </row>
    <row r="518" spans="1:17" ht="19.899999999999999" customHeight="1" x14ac:dyDescent="0.25">
      <c r="A518" s="74"/>
      <c r="B518" s="74"/>
      <c r="C518" s="74"/>
      <c r="D518" s="74"/>
      <c r="E518" s="69"/>
      <c r="F518" s="75"/>
      <c r="G518" s="76"/>
      <c r="H518" s="76"/>
      <c r="I518" s="76"/>
      <c r="J518" s="76"/>
      <c r="K518" s="76"/>
      <c r="L518" s="76"/>
      <c r="M518" s="77"/>
      <c r="N518" s="77"/>
      <c r="O518" s="78"/>
      <c r="P518" s="78"/>
      <c r="Q518" s="76"/>
    </row>
    <row r="519" spans="1:17" ht="19.899999999999999" customHeight="1" x14ac:dyDescent="0.25">
      <c r="A519" s="74"/>
      <c r="B519" s="74"/>
      <c r="C519" s="74"/>
      <c r="D519" s="74"/>
      <c r="E519" s="69"/>
      <c r="F519" s="75"/>
      <c r="G519" s="76"/>
      <c r="H519" s="76"/>
      <c r="I519" s="76"/>
      <c r="J519" s="76"/>
      <c r="K519" s="76"/>
      <c r="L519" s="76"/>
      <c r="M519" s="77"/>
      <c r="N519" s="77"/>
      <c r="O519" s="78"/>
      <c r="P519" s="78"/>
      <c r="Q519" s="76"/>
    </row>
    <row r="520" spans="1:17" ht="19.899999999999999" customHeight="1" x14ac:dyDescent="0.25">
      <c r="A520" s="74"/>
      <c r="B520" s="74"/>
      <c r="C520" s="74"/>
      <c r="D520" s="74"/>
      <c r="E520" s="69"/>
      <c r="F520" s="75"/>
      <c r="G520" s="76"/>
      <c r="H520" s="76"/>
      <c r="I520" s="76"/>
      <c r="J520" s="76"/>
      <c r="K520" s="76"/>
      <c r="L520" s="76"/>
      <c r="M520" s="77"/>
      <c r="N520" s="77"/>
      <c r="O520" s="78"/>
      <c r="P520" s="78"/>
      <c r="Q520" s="76"/>
    </row>
    <row r="521" spans="1:17" ht="19.899999999999999" customHeight="1" x14ac:dyDescent="0.25">
      <c r="A521" s="74"/>
      <c r="B521" s="74"/>
      <c r="C521" s="74"/>
      <c r="D521" s="74"/>
      <c r="E521" s="69"/>
      <c r="F521" s="75"/>
      <c r="G521" s="76"/>
      <c r="H521" s="76"/>
      <c r="I521" s="76"/>
      <c r="J521" s="76"/>
      <c r="K521" s="76"/>
      <c r="L521" s="76"/>
      <c r="M521" s="77"/>
      <c r="N521" s="77"/>
      <c r="O521" s="78"/>
      <c r="P521" s="78"/>
      <c r="Q521" s="76"/>
    </row>
    <row r="522" spans="1:17" ht="19.899999999999999" customHeight="1" x14ac:dyDescent="0.25">
      <c r="A522" s="74"/>
      <c r="B522" s="74"/>
      <c r="C522" s="74"/>
      <c r="D522" s="74"/>
      <c r="E522" s="69"/>
      <c r="F522" s="75"/>
      <c r="G522" s="76"/>
      <c r="H522" s="76"/>
      <c r="I522" s="76"/>
      <c r="J522" s="76"/>
      <c r="K522" s="76"/>
      <c r="L522" s="76"/>
      <c r="M522" s="77"/>
      <c r="N522" s="77"/>
      <c r="O522" s="78"/>
      <c r="P522" s="78"/>
      <c r="Q522" s="76"/>
    </row>
    <row r="523" spans="1:17" ht="19.899999999999999" customHeight="1" x14ac:dyDescent="0.25">
      <c r="A523" s="74"/>
      <c r="B523" s="74"/>
      <c r="C523" s="74"/>
      <c r="D523" s="74"/>
      <c r="E523" s="69"/>
      <c r="F523" s="75"/>
      <c r="G523" s="76"/>
      <c r="H523" s="76"/>
      <c r="I523" s="76"/>
      <c r="J523" s="76"/>
      <c r="K523" s="76"/>
      <c r="L523" s="76"/>
      <c r="M523" s="77"/>
      <c r="N523" s="77"/>
      <c r="O523" s="78"/>
      <c r="P523" s="78"/>
      <c r="Q523" s="76"/>
    </row>
    <row r="524" spans="1:17" ht="19.899999999999999" customHeight="1" x14ac:dyDescent="0.25">
      <c r="A524" s="74"/>
      <c r="B524" s="74"/>
      <c r="C524" s="74"/>
      <c r="D524" s="74"/>
      <c r="E524" s="69"/>
      <c r="F524" s="75"/>
      <c r="G524" s="76"/>
      <c r="H524" s="76"/>
      <c r="I524" s="76"/>
      <c r="J524" s="76"/>
      <c r="K524" s="76"/>
      <c r="L524" s="76"/>
      <c r="M524" s="77"/>
      <c r="N524" s="77"/>
      <c r="O524" s="78"/>
      <c r="P524" s="78"/>
      <c r="Q524" s="76"/>
    </row>
    <row r="525" spans="1:17" ht="19.899999999999999" customHeight="1" x14ac:dyDescent="0.25">
      <c r="A525" s="74"/>
      <c r="B525" s="74"/>
      <c r="C525" s="74"/>
      <c r="D525" s="74"/>
      <c r="E525" s="69"/>
      <c r="F525" s="75"/>
      <c r="G525" s="76"/>
      <c r="H525" s="76"/>
      <c r="I525" s="76"/>
      <c r="J525" s="76"/>
      <c r="K525" s="76"/>
      <c r="L525" s="76"/>
      <c r="M525" s="77"/>
      <c r="N525" s="77"/>
      <c r="O525" s="78"/>
      <c r="P525" s="78"/>
      <c r="Q525" s="76"/>
    </row>
    <row r="526" spans="1:17" ht="19.899999999999999" customHeight="1" x14ac:dyDescent="0.25">
      <c r="A526" s="74"/>
      <c r="B526" s="74"/>
      <c r="C526" s="74"/>
      <c r="D526" s="74"/>
      <c r="E526" s="69"/>
      <c r="F526" s="75"/>
      <c r="G526" s="76"/>
      <c r="H526" s="76"/>
      <c r="I526" s="76"/>
      <c r="J526" s="76"/>
      <c r="K526" s="76"/>
      <c r="L526" s="76"/>
      <c r="M526" s="77"/>
      <c r="N526" s="77"/>
      <c r="O526" s="78"/>
      <c r="P526" s="78"/>
      <c r="Q526" s="76"/>
    </row>
    <row r="527" spans="1:17" ht="19.899999999999999" customHeight="1" x14ac:dyDescent="0.25">
      <c r="A527" s="74"/>
      <c r="B527" s="74"/>
      <c r="C527" s="74"/>
      <c r="D527" s="74"/>
      <c r="E527" s="69"/>
      <c r="F527" s="75"/>
      <c r="G527" s="76"/>
      <c r="H527" s="76"/>
      <c r="I527" s="76"/>
      <c r="J527" s="76"/>
      <c r="K527" s="76"/>
      <c r="L527" s="76"/>
      <c r="M527" s="77"/>
      <c r="N527" s="77"/>
      <c r="O527" s="78"/>
      <c r="P527" s="78"/>
      <c r="Q527" s="76"/>
    </row>
    <row r="528" spans="1:17" ht="19.899999999999999" customHeight="1" x14ac:dyDescent="0.25">
      <c r="A528" s="74"/>
      <c r="B528" s="74"/>
      <c r="C528" s="74"/>
      <c r="D528" s="74"/>
      <c r="E528" s="69"/>
      <c r="F528" s="75"/>
      <c r="G528" s="76"/>
      <c r="H528" s="76"/>
      <c r="I528" s="76"/>
      <c r="J528" s="76"/>
      <c r="K528" s="76"/>
      <c r="L528" s="76"/>
      <c r="M528" s="77"/>
      <c r="N528" s="77"/>
      <c r="O528" s="78"/>
      <c r="P528" s="78"/>
      <c r="Q528" s="76"/>
    </row>
    <row r="529" spans="1:17" ht="19.899999999999999" customHeight="1" x14ac:dyDescent="0.25">
      <c r="A529" s="74"/>
      <c r="B529" s="74"/>
      <c r="C529" s="74"/>
      <c r="D529" s="74"/>
      <c r="E529" s="69"/>
      <c r="F529" s="75"/>
      <c r="G529" s="76"/>
      <c r="H529" s="76"/>
      <c r="I529" s="76"/>
      <c r="J529" s="76"/>
      <c r="K529" s="76"/>
      <c r="L529" s="76"/>
      <c r="M529" s="77"/>
      <c r="N529" s="77"/>
      <c r="O529" s="78"/>
      <c r="P529" s="78"/>
      <c r="Q529" s="76"/>
    </row>
    <row r="530" spans="1:17" ht="19.899999999999999" customHeight="1" x14ac:dyDescent="0.25">
      <c r="A530" s="74"/>
      <c r="B530" s="74"/>
      <c r="C530" s="74"/>
      <c r="D530" s="74"/>
      <c r="E530" s="69"/>
      <c r="F530" s="75"/>
      <c r="G530" s="76"/>
      <c r="H530" s="76"/>
      <c r="I530" s="76"/>
      <c r="J530" s="76"/>
      <c r="K530" s="76"/>
      <c r="L530" s="76"/>
      <c r="M530" s="77"/>
      <c r="N530" s="77"/>
      <c r="O530" s="78"/>
      <c r="P530" s="78"/>
      <c r="Q530" s="76"/>
    </row>
    <row r="531" spans="1:17" ht="19.899999999999999" customHeight="1" x14ac:dyDescent="0.25">
      <c r="A531" s="74"/>
      <c r="B531" s="74"/>
      <c r="C531" s="74"/>
      <c r="D531" s="74"/>
      <c r="E531" s="69"/>
      <c r="F531" s="75"/>
      <c r="G531" s="76"/>
      <c r="H531" s="76"/>
      <c r="I531" s="76"/>
      <c r="J531" s="76"/>
      <c r="K531" s="76"/>
      <c r="L531" s="76"/>
      <c r="M531" s="77"/>
      <c r="N531" s="77"/>
      <c r="O531" s="78"/>
      <c r="P531" s="78"/>
      <c r="Q531" s="76"/>
    </row>
    <row r="532" spans="1:17" ht="19.899999999999999" customHeight="1" x14ac:dyDescent="0.25">
      <c r="A532" s="74"/>
      <c r="B532" s="74"/>
      <c r="C532" s="74"/>
      <c r="D532" s="74"/>
      <c r="E532" s="69"/>
      <c r="F532" s="75"/>
      <c r="G532" s="76"/>
      <c r="H532" s="76"/>
      <c r="I532" s="76"/>
      <c r="J532" s="76"/>
      <c r="K532" s="76"/>
      <c r="L532" s="76"/>
      <c r="M532" s="77"/>
      <c r="N532" s="77"/>
      <c r="O532" s="78"/>
      <c r="P532" s="78"/>
      <c r="Q532" s="76"/>
    </row>
    <row r="533" spans="1:17" ht="19.899999999999999" customHeight="1" x14ac:dyDescent="0.25">
      <c r="A533" s="74"/>
      <c r="B533" s="74"/>
      <c r="C533" s="74"/>
      <c r="D533" s="74"/>
      <c r="E533" s="69"/>
      <c r="F533" s="75"/>
      <c r="G533" s="76"/>
      <c r="H533" s="76"/>
      <c r="I533" s="76"/>
      <c r="J533" s="76"/>
      <c r="K533" s="76"/>
      <c r="L533" s="76"/>
      <c r="M533" s="77"/>
      <c r="N533" s="77"/>
      <c r="O533" s="78"/>
      <c r="P533" s="78"/>
      <c r="Q533" s="76"/>
    </row>
    <row r="534" spans="1:17" ht="19.899999999999999" customHeight="1" x14ac:dyDescent="0.25">
      <c r="A534" s="74"/>
      <c r="B534" s="74"/>
      <c r="C534" s="74"/>
      <c r="D534" s="74"/>
      <c r="E534" s="69"/>
      <c r="F534" s="75"/>
      <c r="G534" s="76"/>
      <c r="H534" s="76"/>
      <c r="I534" s="76"/>
      <c r="J534" s="76"/>
      <c r="K534" s="76"/>
      <c r="L534" s="76"/>
      <c r="M534" s="77"/>
      <c r="N534" s="77"/>
      <c r="O534" s="78"/>
      <c r="P534" s="78"/>
      <c r="Q534" s="76"/>
    </row>
    <row r="535" spans="1:17" ht="19.899999999999999" customHeight="1" x14ac:dyDescent="0.25">
      <c r="A535" s="74"/>
      <c r="B535" s="74"/>
      <c r="C535" s="74"/>
      <c r="D535" s="74"/>
      <c r="E535" s="69"/>
      <c r="F535" s="75"/>
      <c r="G535" s="76"/>
      <c r="H535" s="76"/>
      <c r="I535" s="76"/>
      <c r="J535" s="76"/>
      <c r="K535" s="76"/>
      <c r="L535" s="76"/>
      <c r="M535" s="77"/>
      <c r="N535" s="77"/>
      <c r="O535" s="78"/>
      <c r="P535" s="78"/>
      <c r="Q535" s="76"/>
    </row>
    <row r="536" spans="1:17" ht="19.899999999999999" customHeight="1" x14ac:dyDescent="0.25">
      <c r="A536" s="74"/>
      <c r="B536" s="74"/>
      <c r="C536" s="74"/>
      <c r="D536" s="74"/>
      <c r="E536" s="69"/>
      <c r="F536" s="75"/>
      <c r="G536" s="76"/>
      <c r="H536" s="76"/>
      <c r="I536" s="76"/>
      <c r="J536" s="76"/>
      <c r="K536" s="76"/>
      <c r="L536" s="76"/>
      <c r="M536" s="77"/>
      <c r="N536" s="77"/>
      <c r="O536" s="78"/>
      <c r="P536" s="78"/>
      <c r="Q536" s="76"/>
    </row>
    <row r="537" spans="1:17" ht="19.899999999999999" customHeight="1" x14ac:dyDescent="0.25">
      <c r="A537" s="74"/>
      <c r="B537" s="74"/>
      <c r="C537" s="74"/>
      <c r="D537" s="74"/>
      <c r="E537" s="69"/>
      <c r="F537" s="75"/>
      <c r="G537" s="76"/>
      <c r="H537" s="76"/>
      <c r="I537" s="76"/>
      <c r="J537" s="76"/>
      <c r="K537" s="76"/>
      <c r="L537" s="76"/>
      <c r="M537" s="77"/>
      <c r="N537" s="77"/>
      <c r="O537" s="78"/>
      <c r="P537" s="78"/>
      <c r="Q537" s="76"/>
    </row>
    <row r="538" spans="1:17" ht="19.899999999999999" customHeight="1" x14ac:dyDescent="0.25">
      <c r="A538" s="74"/>
      <c r="B538" s="74"/>
      <c r="C538" s="74"/>
      <c r="D538" s="74"/>
      <c r="E538" s="69"/>
      <c r="F538" s="75"/>
      <c r="G538" s="76"/>
      <c r="H538" s="76"/>
      <c r="I538" s="76"/>
      <c r="J538" s="76"/>
      <c r="K538" s="76"/>
      <c r="L538" s="76"/>
      <c r="M538" s="77"/>
      <c r="N538" s="77"/>
      <c r="O538" s="78"/>
      <c r="P538" s="78"/>
      <c r="Q538" s="76"/>
    </row>
    <row r="539" spans="1:17" ht="19.899999999999999" customHeight="1" x14ac:dyDescent="0.25">
      <c r="A539" s="74"/>
      <c r="B539" s="74"/>
      <c r="C539" s="74"/>
      <c r="D539" s="74"/>
      <c r="E539" s="69"/>
      <c r="F539" s="75"/>
      <c r="G539" s="76"/>
      <c r="H539" s="76"/>
      <c r="I539" s="76"/>
      <c r="J539" s="76"/>
      <c r="K539" s="76"/>
      <c r="L539" s="76"/>
      <c r="M539" s="77"/>
      <c r="N539" s="77"/>
      <c r="O539" s="78"/>
      <c r="P539" s="78"/>
      <c r="Q539" s="76"/>
    </row>
    <row r="540" spans="1:17" ht="19.899999999999999" customHeight="1" x14ac:dyDescent="0.25">
      <c r="A540" s="74"/>
      <c r="B540" s="74"/>
      <c r="C540" s="74"/>
      <c r="D540" s="74"/>
      <c r="E540" s="69"/>
      <c r="F540" s="75"/>
      <c r="G540" s="76"/>
      <c r="H540" s="76"/>
      <c r="I540" s="76"/>
      <c r="J540" s="76"/>
      <c r="K540" s="76"/>
      <c r="L540" s="76"/>
      <c r="M540" s="77"/>
      <c r="N540" s="77"/>
      <c r="O540" s="78"/>
      <c r="P540" s="78"/>
      <c r="Q540" s="76"/>
    </row>
    <row r="541" spans="1:17" ht="19.899999999999999" customHeight="1" x14ac:dyDescent="0.25">
      <c r="A541" s="74"/>
      <c r="B541" s="74"/>
      <c r="C541" s="74"/>
      <c r="D541" s="74"/>
      <c r="E541" s="69"/>
      <c r="F541" s="75"/>
      <c r="G541" s="76"/>
      <c r="H541" s="76"/>
      <c r="I541" s="76"/>
      <c r="J541" s="76"/>
      <c r="K541" s="76"/>
      <c r="L541" s="76"/>
      <c r="M541" s="77"/>
      <c r="N541" s="77"/>
      <c r="O541" s="78"/>
      <c r="P541" s="78"/>
      <c r="Q541" s="76"/>
    </row>
    <row r="542" spans="1:17" ht="19.899999999999999" customHeight="1" x14ac:dyDescent="0.25">
      <c r="A542" s="74"/>
      <c r="B542" s="74"/>
      <c r="C542" s="74"/>
      <c r="D542" s="74"/>
      <c r="E542" s="69"/>
      <c r="F542" s="75"/>
      <c r="G542" s="76"/>
      <c r="H542" s="76"/>
      <c r="I542" s="76"/>
      <c r="J542" s="76"/>
      <c r="K542" s="76"/>
      <c r="L542" s="76"/>
      <c r="M542" s="77"/>
      <c r="N542" s="77"/>
      <c r="O542" s="78"/>
      <c r="P542" s="78"/>
      <c r="Q542" s="76"/>
    </row>
    <row r="543" spans="1:17" ht="19.899999999999999" customHeight="1" x14ac:dyDescent="0.25">
      <c r="A543" s="74"/>
      <c r="B543" s="74"/>
      <c r="C543" s="74"/>
      <c r="D543" s="74"/>
      <c r="E543" s="69"/>
      <c r="F543" s="75"/>
      <c r="G543" s="76"/>
      <c r="H543" s="76"/>
      <c r="I543" s="76"/>
      <c r="J543" s="76"/>
      <c r="K543" s="76"/>
      <c r="L543" s="76"/>
      <c r="M543" s="77"/>
      <c r="N543" s="77"/>
      <c r="O543" s="78"/>
      <c r="P543" s="78"/>
      <c r="Q543" s="76"/>
    </row>
    <row r="544" spans="1:17" ht="19.899999999999999" customHeight="1" x14ac:dyDescent="0.25">
      <c r="A544" s="74"/>
      <c r="B544" s="74"/>
      <c r="C544" s="74"/>
      <c r="D544" s="74"/>
      <c r="E544" s="69"/>
      <c r="F544" s="75"/>
      <c r="G544" s="76"/>
      <c r="H544" s="76"/>
      <c r="I544" s="76"/>
      <c r="J544" s="76"/>
      <c r="K544" s="76"/>
      <c r="L544" s="76"/>
      <c r="M544" s="77"/>
      <c r="N544" s="77"/>
      <c r="O544" s="78"/>
      <c r="P544" s="78"/>
      <c r="Q544" s="76"/>
    </row>
    <row r="545" spans="1:17" ht="19.899999999999999" customHeight="1" x14ac:dyDescent="0.25">
      <c r="A545" s="74"/>
      <c r="B545" s="74"/>
      <c r="C545" s="74"/>
      <c r="D545" s="74"/>
      <c r="E545" s="69"/>
      <c r="F545" s="75"/>
      <c r="G545" s="76"/>
      <c r="H545" s="76"/>
      <c r="I545" s="76"/>
      <c r="J545" s="76"/>
      <c r="K545" s="76"/>
      <c r="L545" s="76"/>
      <c r="M545" s="77"/>
      <c r="N545" s="77"/>
      <c r="O545" s="78"/>
      <c r="P545" s="78"/>
      <c r="Q545" s="76"/>
    </row>
    <row r="546" spans="1:17" ht="19.899999999999999" customHeight="1" x14ac:dyDescent="0.25">
      <c r="A546" s="74"/>
      <c r="B546" s="74"/>
      <c r="C546" s="74"/>
      <c r="D546" s="74"/>
      <c r="E546" s="69"/>
      <c r="F546" s="75"/>
      <c r="G546" s="76"/>
      <c r="H546" s="76"/>
      <c r="I546" s="76"/>
      <c r="J546" s="76"/>
      <c r="K546" s="76"/>
      <c r="L546" s="76"/>
      <c r="M546" s="77"/>
      <c r="N546" s="77"/>
      <c r="O546" s="78"/>
      <c r="P546" s="78"/>
      <c r="Q546" s="76"/>
    </row>
    <row r="547" spans="1:17" ht="19.899999999999999" customHeight="1" x14ac:dyDescent="0.25">
      <c r="A547" s="74"/>
      <c r="B547" s="74"/>
      <c r="C547" s="74"/>
      <c r="D547" s="74"/>
      <c r="E547" s="69"/>
      <c r="F547" s="75"/>
      <c r="G547" s="76"/>
      <c r="H547" s="76"/>
      <c r="I547" s="76"/>
      <c r="J547" s="76"/>
      <c r="K547" s="76"/>
      <c r="L547" s="76"/>
      <c r="M547" s="77"/>
      <c r="N547" s="77"/>
      <c r="O547" s="78"/>
      <c r="P547" s="78"/>
      <c r="Q547" s="76"/>
    </row>
    <row r="548" spans="1:17" ht="19.899999999999999" customHeight="1" x14ac:dyDescent="0.25">
      <c r="A548" s="74"/>
      <c r="B548" s="74"/>
      <c r="C548" s="74"/>
      <c r="D548" s="74"/>
      <c r="E548" s="69"/>
      <c r="F548" s="75"/>
      <c r="G548" s="76"/>
      <c r="H548" s="76"/>
      <c r="I548" s="76"/>
      <c r="J548" s="76"/>
      <c r="K548" s="76"/>
      <c r="L548" s="76"/>
      <c r="M548" s="77"/>
      <c r="N548" s="77"/>
      <c r="O548" s="78"/>
      <c r="P548" s="78"/>
      <c r="Q548" s="76"/>
    </row>
    <row r="549" spans="1:17" ht="19.899999999999999" customHeight="1" x14ac:dyDescent="0.25">
      <c r="A549" s="74"/>
      <c r="B549" s="74"/>
      <c r="C549" s="74"/>
      <c r="D549" s="74"/>
      <c r="E549" s="69"/>
      <c r="F549" s="75"/>
      <c r="G549" s="76"/>
      <c r="H549" s="76"/>
      <c r="I549" s="76"/>
      <c r="J549" s="76"/>
      <c r="K549" s="76"/>
      <c r="L549" s="76"/>
      <c r="M549" s="77"/>
      <c r="N549" s="77"/>
      <c r="O549" s="78"/>
      <c r="P549" s="78"/>
      <c r="Q549" s="76"/>
    </row>
    <row r="550" spans="1:17" ht="19.899999999999999" customHeight="1" x14ac:dyDescent="0.25">
      <c r="A550" s="74"/>
      <c r="B550" s="74"/>
      <c r="C550" s="74"/>
      <c r="D550" s="74"/>
      <c r="E550" s="69"/>
      <c r="F550" s="75"/>
      <c r="G550" s="76"/>
      <c r="H550" s="76"/>
      <c r="I550" s="76"/>
      <c r="J550" s="76"/>
      <c r="K550" s="76"/>
      <c r="L550" s="76"/>
      <c r="M550" s="77"/>
      <c r="N550" s="77"/>
      <c r="O550" s="78"/>
      <c r="P550" s="78"/>
      <c r="Q550" s="76"/>
    </row>
    <row r="551" spans="1:17" ht="19.899999999999999" customHeight="1" x14ac:dyDescent="0.25">
      <c r="A551" s="74"/>
      <c r="B551" s="74"/>
      <c r="C551" s="74"/>
      <c r="D551" s="74"/>
      <c r="E551" s="69"/>
      <c r="F551" s="75"/>
      <c r="G551" s="76"/>
      <c r="H551" s="76"/>
      <c r="I551" s="76"/>
      <c r="J551" s="76"/>
      <c r="K551" s="76"/>
      <c r="L551" s="76"/>
      <c r="M551" s="77"/>
      <c r="N551" s="77"/>
      <c r="O551" s="78"/>
      <c r="P551" s="78"/>
      <c r="Q551" s="76"/>
    </row>
    <row r="552" spans="1:17" ht="19.899999999999999" customHeight="1" x14ac:dyDescent="0.25">
      <c r="A552" s="74"/>
      <c r="B552" s="74"/>
      <c r="C552" s="74"/>
      <c r="D552" s="74"/>
      <c r="E552" s="69"/>
      <c r="F552" s="75"/>
      <c r="G552" s="76"/>
      <c r="H552" s="76"/>
      <c r="I552" s="76"/>
      <c r="J552" s="76"/>
      <c r="K552" s="76"/>
      <c r="L552" s="76"/>
      <c r="M552" s="77"/>
      <c r="N552" s="77"/>
      <c r="O552" s="78"/>
      <c r="P552" s="78"/>
      <c r="Q552" s="76"/>
    </row>
    <row r="553" spans="1:17" ht="19.899999999999999" customHeight="1" x14ac:dyDescent="0.25">
      <c r="A553" s="74"/>
      <c r="B553" s="74"/>
      <c r="C553" s="74"/>
      <c r="D553" s="74"/>
      <c r="E553" s="69"/>
      <c r="F553" s="75"/>
      <c r="G553" s="76"/>
      <c r="H553" s="76"/>
      <c r="I553" s="76"/>
      <c r="J553" s="76"/>
      <c r="K553" s="76"/>
      <c r="L553" s="76"/>
      <c r="M553" s="77"/>
      <c r="N553" s="77"/>
      <c r="O553" s="78"/>
      <c r="P553" s="78"/>
      <c r="Q553" s="76"/>
    </row>
    <row r="554" spans="1:17" ht="19.899999999999999" customHeight="1" x14ac:dyDescent="0.25">
      <c r="A554" s="74"/>
      <c r="B554" s="74"/>
      <c r="C554" s="74"/>
      <c r="D554" s="74"/>
      <c r="E554" s="69"/>
      <c r="F554" s="75"/>
      <c r="G554" s="76"/>
      <c r="H554" s="76"/>
      <c r="I554" s="76"/>
      <c r="J554" s="76"/>
      <c r="K554" s="76"/>
      <c r="L554" s="76"/>
      <c r="M554" s="77"/>
      <c r="N554" s="77"/>
      <c r="O554" s="78"/>
      <c r="P554" s="78"/>
      <c r="Q554" s="76"/>
    </row>
    <row r="555" spans="1:17" ht="19.899999999999999" customHeight="1" x14ac:dyDescent="0.25">
      <c r="A555" s="74"/>
      <c r="B555" s="74"/>
      <c r="C555" s="74"/>
      <c r="D555" s="74"/>
      <c r="E555" s="69"/>
      <c r="F555" s="75"/>
      <c r="G555" s="76"/>
      <c r="H555" s="76"/>
      <c r="I555" s="76"/>
      <c r="J555" s="76"/>
      <c r="K555" s="76"/>
      <c r="L555" s="76"/>
      <c r="M555" s="77"/>
      <c r="N555" s="77"/>
      <c r="O555" s="78"/>
      <c r="P555" s="78"/>
      <c r="Q555" s="76"/>
    </row>
    <row r="556" spans="1:17" ht="19.899999999999999" customHeight="1" x14ac:dyDescent="0.25">
      <c r="A556" s="74"/>
      <c r="B556" s="74"/>
      <c r="C556" s="74"/>
      <c r="D556" s="74"/>
      <c r="E556" s="69"/>
      <c r="F556" s="75"/>
      <c r="G556" s="76"/>
      <c r="H556" s="76"/>
      <c r="I556" s="76"/>
      <c r="J556" s="76"/>
      <c r="K556" s="76"/>
      <c r="L556" s="76"/>
      <c r="M556" s="77"/>
      <c r="N556" s="77"/>
      <c r="O556" s="78"/>
      <c r="P556" s="78"/>
      <c r="Q556" s="76"/>
    </row>
    <row r="557" spans="1:17" ht="19.899999999999999" customHeight="1" x14ac:dyDescent="0.25">
      <c r="A557" s="74"/>
      <c r="B557" s="74"/>
      <c r="C557" s="74"/>
      <c r="D557" s="74"/>
      <c r="E557" s="69"/>
      <c r="F557" s="75"/>
      <c r="G557" s="76"/>
      <c r="H557" s="76"/>
      <c r="I557" s="76"/>
      <c r="J557" s="76"/>
      <c r="K557" s="76"/>
      <c r="L557" s="76"/>
      <c r="M557" s="77"/>
      <c r="N557" s="77"/>
      <c r="O557" s="78"/>
      <c r="P557" s="78"/>
      <c r="Q557" s="76"/>
    </row>
    <row r="558" spans="1:17" ht="19.899999999999999" customHeight="1" x14ac:dyDescent="0.25">
      <c r="A558" s="74"/>
      <c r="B558" s="74"/>
      <c r="C558" s="74"/>
      <c r="D558" s="74"/>
      <c r="E558" s="69"/>
      <c r="F558" s="75"/>
      <c r="G558" s="76"/>
      <c r="H558" s="76"/>
      <c r="I558" s="76"/>
      <c r="J558" s="76"/>
      <c r="K558" s="76"/>
      <c r="L558" s="76"/>
      <c r="M558" s="77"/>
      <c r="N558" s="77"/>
      <c r="O558" s="78"/>
      <c r="P558" s="78"/>
      <c r="Q558" s="76"/>
    </row>
    <row r="559" spans="1:17" ht="19.899999999999999" customHeight="1" x14ac:dyDescent="0.25">
      <c r="A559" s="74"/>
      <c r="B559" s="74"/>
      <c r="C559" s="74"/>
      <c r="D559" s="74"/>
      <c r="E559" s="69"/>
      <c r="F559" s="75"/>
      <c r="G559" s="76"/>
      <c r="H559" s="76"/>
      <c r="I559" s="76"/>
      <c r="J559" s="76"/>
      <c r="K559" s="76"/>
      <c r="L559" s="76"/>
      <c r="M559" s="77"/>
      <c r="N559" s="77"/>
      <c r="O559" s="78"/>
      <c r="P559" s="78"/>
      <c r="Q559" s="76"/>
    </row>
    <row r="560" spans="1:17" ht="19.899999999999999" customHeight="1" x14ac:dyDescent="0.25">
      <c r="A560" s="74"/>
      <c r="B560" s="74"/>
      <c r="C560" s="74"/>
      <c r="D560" s="74"/>
      <c r="E560" s="69"/>
      <c r="F560" s="75"/>
      <c r="G560" s="76"/>
      <c r="H560" s="76"/>
      <c r="I560" s="76"/>
      <c r="J560" s="76"/>
      <c r="K560" s="76"/>
      <c r="L560" s="76"/>
      <c r="M560" s="77"/>
      <c r="N560" s="77"/>
      <c r="O560" s="78"/>
      <c r="P560" s="78"/>
      <c r="Q560" s="76"/>
    </row>
    <row r="561" spans="1:17" ht="19.899999999999999" customHeight="1" x14ac:dyDescent="0.25">
      <c r="A561" s="74"/>
      <c r="B561" s="74"/>
      <c r="C561" s="74"/>
      <c r="D561" s="74"/>
      <c r="E561" s="69"/>
      <c r="F561" s="75"/>
      <c r="G561" s="76"/>
      <c r="H561" s="76"/>
      <c r="I561" s="76"/>
      <c r="J561" s="76"/>
      <c r="K561" s="76"/>
      <c r="L561" s="76"/>
      <c r="M561" s="77"/>
      <c r="N561" s="77"/>
      <c r="O561" s="78"/>
      <c r="P561" s="78"/>
      <c r="Q561" s="76"/>
    </row>
    <row r="562" spans="1:17" ht="19.899999999999999" customHeight="1" x14ac:dyDescent="0.25">
      <c r="A562" s="74"/>
      <c r="B562" s="74"/>
      <c r="C562" s="74"/>
      <c r="D562" s="74"/>
      <c r="E562" s="69"/>
      <c r="F562" s="75"/>
      <c r="G562" s="76"/>
      <c r="H562" s="76"/>
      <c r="I562" s="76"/>
      <c r="J562" s="76"/>
      <c r="K562" s="76"/>
      <c r="L562" s="76"/>
      <c r="M562" s="77"/>
      <c r="N562" s="77"/>
      <c r="O562" s="78"/>
      <c r="P562" s="78"/>
      <c r="Q562" s="76"/>
    </row>
    <row r="563" spans="1:17" ht="19.899999999999999" customHeight="1" x14ac:dyDescent="0.25">
      <c r="A563" s="74"/>
      <c r="B563" s="74"/>
      <c r="C563" s="74"/>
      <c r="D563" s="74"/>
      <c r="E563" s="69"/>
      <c r="F563" s="75"/>
      <c r="G563" s="76"/>
      <c r="H563" s="76"/>
      <c r="I563" s="76"/>
      <c r="J563" s="76"/>
      <c r="K563" s="76"/>
      <c r="L563" s="76"/>
      <c r="M563" s="77"/>
      <c r="N563" s="77"/>
      <c r="O563" s="78"/>
      <c r="P563" s="78"/>
      <c r="Q563" s="76"/>
    </row>
    <row r="564" spans="1:17" ht="19.899999999999999" customHeight="1" x14ac:dyDescent="0.25">
      <c r="A564" s="74"/>
      <c r="B564" s="74"/>
      <c r="C564" s="74"/>
      <c r="D564" s="74"/>
      <c r="E564" s="69"/>
      <c r="F564" s="75"/>
      <c r="G564" s="76"/>
      <c r="H564" s="76"/>
      <c r="I564" s="76"/>
      <c r="J564" s="76"/>
      <c r="K564" s="76"/>
      <c r="L564" s="76"/>
      <c r="M564" s="77"/>
      <c r="N564" s="77"/>
      <c r="O564" s="78"/>
      <c r="P564" s="78"/>
      <c r="Q564" s="76"/>
    </row>
    <row r="565" spans="1:17" ht="19.899999999999999" customHeight="1" x14ac:dyDescent="0.25">
      <c r="A565" s="74"/>
      <c r="B565" s="74"/>
      <c r="C565" s="74"/>
      <c r="D565" s="74"/>
      <c r="E565" s="69"/>
      <c r="F565" s="75"/>
      <c r="G565" s="76"/>
      <c r="H565" s="76"/>
      <c r="I565" s="76"/>
      <c r="J565" s="76"/>
      <c r="K565" s="76"/>
      <c r="L565" s="76"/>
      <c r="M565" s="77"/>
      <c r="N565" s="77"/>
      <c r="O565" s="78"/>
      <c r="P565" s="78"/>
      <c r="Q565" s="76"/>
    </row>
    <row r="566" spans="1:17" ht="19.899999999999999" customHeight="1" x14ac:dyDescent="0.25">
      <c r="A566" s="74"/>
      <c r="B566" s="74"/>
      <c r="C566" s="74"/>
      <c r="D566" s="74"/>
      <c r="E566" s="69"/>
      <c r="F566" s="75"/>
      <c r="G566" s="76"/>
      <c r="H566" s="76"/>
      <c r="I566" s="76"/>
      <c r="J566" s="76"/>
      <c r="K566" s="76"/>
      <c r="L566" s="76"/>
      <c r="M566" s="77"/>
      <c r="N566" s="77"/>
      <c r="O566" s="78"/>
      <c r="P566" s="78"/>
      <c r="Q566" s="76"/>
    </row>
    <row r="567" spans="1:17" ht="19.899999999999999" customHeight="1" x14ac:dyDescent="0.25">
      <c r="A567" s="74"/>
      <c r="B567" s="74"/>
      <c r="C567" s="74"/>
      <c r="D567" s="74"/>
      <c r="E567" s="69"/>
      <c r="F567" s="75"/>
      <c r="G567" s="76"/>
      <c r="H567" s="76"/>
      <c r="I567" s="76"/>
      <c r="J567" s="76"/>
      <c r="K567" s="76"/>
      <c r="L567" s="76"/>
      <c r="M567" s="77"/>
      <c r="N567" s="77"/>
      <c r="O567" s="78"/>
      <c r="P567" s="78"/>
      <c r="Q567" s="76"/>
    </row>
    <row r="568" spans="1:17" ht="19.899999999999999" customHeight="1" x14ac:dyDescent="0.25">
      <c r="A568" s="74"/>
      <c r="B568" s="74"/>
      <c r="C568" s="74"/>
      <c r="D568" s="74"/>
      <c r="E568" s="69"/>
      <c r="F568" s="75"/>
      <c r="G568" s="76"/>
      <c r="H568" s="76"/>
      <c r="I568" s="76"/>
      <c r="J568" s="76"/>
      <c r="K568" s="76"/>
      <c r="L568" s="76"/>
      <c r="M568" s="77"/>
      <c r="N568" s="77"/>
      <c r="O568" s="78"/>
      <c r="P568" s="78"/>
      <c r="Q568" s="76"/>
    </row>
    <row r="569" spans="1:17" ht="19.899999999999999" customHeight="1" x14ac:dyDescent="0.25">
      <c r="A569" s="74"/>
      <c r="B569" s="74"/>
      <c r="C569" s="74"/>
      <c r="D569" s="74"/>
      <c r="E569" s="69"/>
      <c r="F569" s="75"/>
      <c r="G569" s="76"/>
      <c r="H569" s="76"/>
      <c r="I569" s="76"/>
      <c r="J569" s="76"/>
      <c r="K569" s="76"/>
      <c r="L569" s="76"/>
      <c r="M569" s="77"/>
      <c r="N569" s="77"/>
      <c r="O569" s="78"/>
      <c r="P569" s="78"/>
      <c r="Q569" s="76"/>
    </row>
    <row r="570" spans="1:17" ht="19.899999999999999" customHeight="1" x14ac:dyDescent="0.25">
      <c r="A570" s="74"/>
      <c r="B570" s="74"/>
      <c r="C570" s="74"/>
      <c r="D570" s="74"/>
      <c r="E570" s="69"/>
      <c r="F570" s="75"/>
      <c r="G570" s="76"/>
      <c r="H570" s="76"/>
      <c r="I570" s="76"/>
      <c r="J570" s="76"/>
      <c r="K570" s="76"/>
      <c r="L570" s="76"/>
      <c r="M570" s="77"/>
      <c r="N570" s="77"/>
      <c r="O570" s="78"/>
      <c r="P570" s="78"/>
      <c r="Q570" s="76"/>
    </row>
    <row r="571" spans="1:17" ht="19.899999999999999" customHeight="1" x14ac:dyDescent="0.25">
      <c r="A571" s="74"/>
      <c r="B571" s="74"/>
      <c r="C571" s="74"/>
      <c r="D571" s="74"/>
      <c r="E571" s="69"/>
      <c r="F571" s="75"/>
      <c r="G571" s="76"/>
      <c r="H571" s="76"/>
      <c r="I571" s="76"/>
      <c r="J571" s="76"/>
      <c r="K571" s="76"/>
      <c r="L571" s="76"/>
      <c r="M571" s="77"/>
      <c r="N571" s="77"/>
      <c r="O571" s="78"/>
      <c r="P571" s="78"/>
      <c r="Q571" s="76"/>
    </row>
    <row r="572" spans="1:17" ht="19.899999999999999" customHeight="1" x14ac:dyDescent="0.25">
      <c r="A572" s="74"/>
      <c r="B572" s="74"/>
      <c r="C572" s="74"/>
      <c r="D572" s="74"/>
      <c r="E572" s="69"/>
      <c r="F572" s="75"/>
      <c r="G572" s="76"/>
      <c r="H572" s="76"/>
      <c r="I572" s="76"/>
      <c r="J572" s="76"/>
      <c r="K572" s="76"/>
      <c r="L572" s="76"/>
      <c r="M572" s="77"/>
      <c r="N572" s="77"/>
      <c r="O572" s="78"/>
      <c r="P572" s="78"/>
      <c r="Q572" s="76"/>
    </row>
    <row r="573" spans="1:17" ht="19.899999999999999" customHeight="1" x14ac:dyDescent="0.25">
      <c r="A573" s="74"/>
      <c r="B573" s="74"/>
      <c r="C573" s="74"/>
      <c r="D573" s="74"/>
      <c r="E573" s="69"/>
      <c r="F573" s="75"/>
      <c r="G573" s="76"/>
      <c r="H573" s="76"/>
      <c r="I573" s="76"/>
      <c r="J573" s="76"/>
      <c r="K573" s="76"/>
      <c r="L573" s="76"/>
      <c r="M573" s="77"/>
      <c r="N573" s="77"/>
      <c r="O573" s="78"/>
      <c r="P573" s="78"/>
      <c r="Q573" s="76"/>
    </row>
    <row r="574" spans="1:17" ht="19.899999999999999" customHeight="1" x14ac:dyDescent="0.25">
      <c r="A574" s="74"/>
      <c r="B574" s="74"/>
      <c r="C574" s="74"/>
      <c r="D574" s="74"/>
      <c r="E574" s="69"/>
      <c r="F574" s="75"/>
      <c r="G574" s="76"/>
      <c r="H574" s="76"/>
      <c r="I574" s="76"/>
      <c r="J574" s="76"/>
      <c r="K574" s="76"/>
      <c r="L574" s="76"/>
      <c r="M574" s="77"/>
      <c r="N574" s="77"/>
      <c r="O574" s="78"/>
      <c r="P574" s="78"/>
      <c r="Q574" s="76"/>
    </row>
    <row r="575" spans="1:17" ht="19.899999999999999" customHeight="1" x14ac:dyDescent="0.25">
      <c r="A575" s="74"/>
      <c r="B575" s="74"/>
      <c r="C575" s="74"/>
      <c r="D575" s="74"/>
      <c r="E575" s="69"/>
      <c r="F575" s="75"/>
      <c r="G575" s="76"/>
      <c r="H575" s="76"/>
      <c r="I575" s="76"/>
      <c r="J575" s="76"/>
      <c r="K575" s="76"/>
      <c r="L575" s="76"/>
      <c r="M575" s="77"/>
      <c r="N575" s="77"/>
      <c r="O575" s="78"/>
      <c r="P575" s="78"/>
      <c r="Q575" s="76"/>
    </row>
    <row r="576" spans="1:17" ht="19.899999999999999" customHeight="1" x14ac:dyDescent="0.25">
      <c r="A576" s="74"/>
      <c r="B576" s="74"/>
      <c r="C576" s="74"/>
      <c r="D576" s="74"/>
      <c r="E576" s="69"/>
      <c r="F576" s="75"/>
      <c r="G576" s="76"/>
      <c r="H576" s="76"/>
      <c r="I576" s="76"/>
      <c r="J576" s="76"/>
      <c r="K576" s="76"/>
      <c r="L576" s="76"/>
      <c r="M576" s="77"/>
      <c r="N576" s="77"/>
      <c r="O576" s="78"/>
      <c r="P576" s="78"/>
      <c r="Q576" s="76"/>
    </row>
    <row r="577" spans="1:17" ht="19.899999999999999" customHeight="1" x14ac:dyDescent="0.25">
      <c r="A577" s="74"/>
      <c r="B577" s="74"/>
      <c r="C577" s="74"/>
      <c r="D577" s="74"/>
      <c r="E577" s="69"/>
      <c r="F577" s="75"/>
      <c r="G577" s="76"/>
      <c r="H577" s="76"/>
      <c r="I577" s="76"/>
      <c r="J577" s="76"/>
      <c r="K577" s="76"/>
      <c r="L577" s="76"/>
      <c r="M577" s="77"/>
      <c r="N577" s="77"/>
      <c r="O577" s="78"/>
      <c r="P577" s="78"/>
      <c r="Q577" s="76"/>
    </row>
    <row r="578" spans="1:17" ht="19.899999999999999" customHeight="1" x14ac:dyDescent="0.25">
      <c r="A578" s="74"/>
      <c r="B578" s="74"/>
      <c r="C578" s="74"/>
      <c r="D578" s="74"/>
      <c r="E578" s="69"/>
      <c r="F578" s="75"/>
      <c r="G578" s="76"/>
      <c r="H578" s="76"/>
      <c r="I578" s="76"/>
      <c r="J578" s="76"/>
      <c r="K578" s="76"/>
      <c r="L578" s="76"/>
      <c r="M578" s="77"/>
      <c r="N578" s="77"/>
      <c r="O578" s="78"/>
      <c r="P578" s="78"/>
      <c r="Q578" s="76"/>
    </row>
    <row r="579" spans="1:17" ht="19.899999999999999" customHeight="1" x14ac:dyDescent="0.25">
      <c r="A579" s="74"/>
      <c r="B579" s="74"/>
      <c r="C579" s="74"/>
      <c r="D579" s="74"/>
      <c r="E579" s="69"/>
      <c r="F579" s="75"/>
      <c r="G579" s="76"/>
      <c r="H579" s="76"/>
      <c r="I579" s="76"/>
      <c r="J579" s="76"/>
      <c r="K579" s="76"/>
      <c r="L579" s="76"/>
      <c r="M579" s="77"/>
      <c r="N579" s="77"/>
      <c r="O579" s="78"/>
      <c r="P579" s="78"/>
      <c r="Q579" s="76"/>
    </row>
    <row r="580" spans="1:17" ht="19.899999999999999" customHeight="1" x14ac:dyDescent="0.25">
      <c r="A580" s="74"/>
      <c r="B580" s="74"/>
      <c r="C580" s="74"/>
      <c r="D580" s="74"/>
      <c r="E580" s="69"/>
      <c r="F580" s="75"/>
      <c r="G580" s="76"/>
      <c r="H580" s="76"/>
      <c r="I580" s="76"/>
      <c r="J580" s="76"/>
      <c r="K580" s="76"/>
      <c r="L580" s="76"/>
      <c r="M580" s="77"/>
      <c r="N580" s="77"/>
      <c r="O580" s="78"/>
      <c r="P580" s="78"/>
      <c r="Q580" s="76"/>
    </row>
    <row r="581" spans="1:17" ht="19.899999999999999" customHeight="1" x14ac:dyDescent="0.25">
      <c r="A581" s="74"/>
      <c r="B581" s="74"/>
      <c r="C581" s="74"/>
      <c r="D581" s="74"/>
      <c r="E581" s="69"/>
      <c r="F581" s="75"/>
      <c r="G581" s="76"/>
      <c r="H581" s="76"/>
      <c r="I581" s="76"/>
      <c r="J581" s="76"/>
      <c r="K581" s="76"/>
      <c r="L581" s="76"/>
      <c r="M581" s="77"/>
      <c r="N581" s="77"/>
      <c r="O581" s="78"/>
      <c r="P581" s="78"/>
      <c r="Q581" s="76"/>
    </row>
    <row r="582" spans="1:17" ht="19.899999999999999" customHeight="1" x14ac:dyDescent="0.25">
      <c r="A582" s="74"/>
      <c r="B582" s="74"/>
      <c r="C582" s="74"/>
      <c r="D582" s="74"/>
      <c r="E582" s="69"/>
      <c r="F582" s="75"/>
      <c r="G582" s="76"/>
      <c r="H582" s="76"/>
      <c r="I582" s="76"/>
      <c r="J582" s="76"/>
      <c r="K582" s="76"/>
      <c r="L582" s="76"/>
      <c r="M582" s="77"/>
      <c r="N582" s="77"/>
      <c r="O582" s="78"/>
      <c r="P582" s="78"/>
      <c r="Q582" s="76"/>
    </row>
    <row r="583" spans="1:17" ht="19.899999999999999" customHeight="1" x14ac:dyDescent="0.25">
      <c r="A583" s="74"/>
      <c r="B583" s="74"/>
      <c r="C583" s="74"/>
      <c r="D583" s="74"/>
      <c r="E583" s="69"/>
      <c r="F583" s="75"/>
      <c r="G583" s="76"/>
      <c r="H583" s="76"/>
      <c r="I583" s="76"/>
      <c r="J583" s="76"/>
      <c r="K583" s="76"/>
      <c r="L583" s="76"/>
      <c r="M583" s="77"/>
      <c r="N583" s="77"/>
      <c r="O583" s="78"/>
      <c r="P583" s="78"/>
      <c r="Q583" s="76"/>
    </row>
    <row r="584" spans="1:17" ht="19.899999999999999" customHeight="1" x14ac:dyDescent="0.25">
      <c r="A584" s="74"/>
      <c r="B584" s="74"/>
      <c r="C584" s="74"/>
      <c r="D584" s="74"/>
      <c r="E584" s="69"/>
      <c r="F584" s="75"/>
      <c r="G584" s="76"/>
      <c r="H584" s="76"/>
      <c r="I584" s="76"/>
      <c r="J584" s="76"/>
      <c r="K584" s="76"/>
      <c r="L584" s="76"/>
      <c r="M584" s="77"/>
      <c r="N584" s="77"/>
      <c r="O584" s="78"/>
      <c r="P584" s="78"/>
      <c r="Q584" s="76"/>
    </row>
    <row r="585" spans="1:17" ht="19.899999999999999" customHeight="1" x14ac:dyDescent="0.25">
      <c r="A585" s="74"/>
      <c r="B585" s="74"/>
      <c r="C585" s="74"/>
      <c r="D585" s="74"/>
      <c r="E585" s="69"/>
      <c r="F585" s="75"/>
      <c r="G585" s="76"/>
      <c r="H585" s="76"/>
      <c r="I585" s="76"/>
      <c r="J585" s="76"/>
      <c r="K585" s="76"/>
      <c r="L585" s="76"/>
      <c r="M585" s="77"/>
      <c r="N585" s="77"/>
      <c r="O585" s="78"/>
      <c r="P585" s="78"/>
      <c r="Q585" s="76"/>
    </row>
    <row r="586" spans="1:17" ht="19.899999999999999" customHeight="1" x14ac:dyDescent="0.25">
      <c r="A586" s="74"/>
      <c r="B586" s="74"/>
      <c r="C586" s="74"/>
      <c r="D586" s="74"/>
      <c r="E586" s="69"/>
      <c r="F586" s="75"/>
      <c r="G586" s="76"/>
      <c r="H586" s="76"/>
      <c r="I586" s="76"/>
      <c r="J586" s="76"/>
      <c r="K586" s="76"/>
      <c r="L586" s="76"/>
      <c r="M586" s="77"/>
      <c r="N586" s="77"/>
      <c r="O586" s="78"/>
      <c r="P586" s="78"/>
      <c r="Q586" s="76"/>
    </row>
    <row r="587" spans="1:17" ht="19.899999999999999" customHeight="1" x14ac:dyDescent="0.25">
      <c r="A587" s="74"/>
      <c r="B587" s="74"/>
      <c r="C587" s="74"/>
      <c r="D587" s="74"/>
      <c r="E587" s="69"/>
      <c r="F587" s="75"/>
      <c r="G587" s="76"/>
      <c r="H587" s="76"/>
      <c r="I587" s="76"/>
      <c r="J587" s="76"/>
      <c r="K587" s="76"/>
      <c r="L587" s="76"/>
      <c r="M587" s="77"/>
      <c r="N587" s="77"/>
      <c r="O587" s="78"/>
      <c r="P587" s="78"/>
      <c r="Q587" s="76"/>
    </row>
    <row r="588" spans="1:17" ht="19.899999999999999" customHeight="1" x14ac:dyDescent="0.25">
      <c r="A588" s="74"/>
      <c r="B588" s="74"/>
      <c r="C588" s="74"/>
      <c r="D588" s="74"/>
      <c r="E588" s="69"/>
      <c r="F588" s="75"/>
      <c r="G588" s="76"/>
      <c r="H588" s="76"/>
      <c r="I588" s="76"/>
      <c r="J588" s="76"/>
      <c r="K588" s="76"/>
      <c r="L588" s="76"/>
      <c r="M588" s="77"/>
      <c r="N588" s="77"/>
      <c r="O588" s="78"/>
      <c r="P588" s="78"/>
      <c r="Q588" s="76"/>
    </row>
    <row r="589" spans="1:17" ht="19.899999999999999" customHeight="1" x14ac:dyDescent="0.25">
      <c r="A589" s="74"/>
      <c r="B589" s="74"/>
      <c r="C589" s="74"/>
      <c r="D589" s="74"/>
      <c r="E589" s="69"/>
      <c r="F589" s="75"/>
      <c r="G589" s="76"/>
      <c r="H589" s="76"/>
      <c r="I589" s="76"/>
      <c r="J589" s="76"/>
      <c r="K589" s="76"/>
      <c r="L589" s="76"/>
      <c r="M589" s="77"/>
      <c r="N589" s="77"/>
      <c r="O589" s="78"/>
      <c r="P589" s="78"/>
      <c r="Q589" s="76"/>
    </row>
    <row r="590" spans="1:17" ht="19.899999999999999" customHeight="1" x14ac:dyDescent="0.25">
      <c r="A590" s="74"/>
      <c r="B590" s="74"/>
      <c r="C590" s="74"/>
      <c r="D590" s="74"/>
      <c r="E590" s="69"/>
      <c r="F590" s="75"/>
      <c r="G590" s="76"/>
      <c r="H590" s="76"/>
      <c r="I590" s="76"/>
      <c r="J590" s="76"/>
      <c r="K590" s="76"/>
      <c r="L590" s="76"/>
      <c r="M590" s="77"/>
      <c r="N590" s="77"/>
      <c r="O590" s="78"/>
      <c r="P590" s="78"/>
      <c r="Q590" s="76"/>
    </row>
    <row r="591" spans="1:17" ht="19.899999999999999" customHeight="1" x14ac:dyDescent="0.25">
      <c r="A591" s="74"/>
      <c r="B591" s="74"/>
      <c r="C591" s="74"/>
      <c r="D591" s="74"/>
      <c r="E591" s="69"/>
      <c r="F591" s="75"/>
      <c r="G591" s="76"/>
      <c r="H591" s="76"/>
      <c r="I591" s="76"/>
      <c r="J591" s="76"/>
      <c r="K591" s="76"/>
      <c r="L591" s="76"/>
      <c r="M591" s="77"/>
      <c r="N591" s="77"/>
      <c r="O591" s="78"/>
      <c r="P591" s="78"/>
      <c r="Q591" s="76"/>
    </row>
    <row r="592" spans="1:17" ht="19.899999999999999" customHeight="1" x14ac:dyDescent="0.25">
      <c r="A592" s="74"/>
      <c r="B592" s="74"/>
      <c r="C592" s="74"/>
      <c r="D592" s="74"/>
      <c r="E592" s="69"/>
      <c r="F592" s="75"/>
      <c r="G592" s="76"/>
      <c r="H592" s="76"/>
      <c r="I592" s="76"/>
      <c r="J592" s="76"/>
      <c r="K592" s="76"/>
      <c r="L592" s="76"/>
      <c r="M592" s="77"/>
      <c r="N592" s="77"/>
      <c r="O592" s="78"/>
      <c r="P592" s="78"/>
      <c r="Q592" s="76"/>
    </row>
    <row r="593" spans="1:17" ht="19.899999999999999" customHeight="1" x14ac:dyDescent="0.25">
      <c r="A593" s="74"/>
      <c r="B593" s="74"/>
      <c r="C593" s="74"/>
      <c r="D593" s="74"/>
      <c r="E593" s="69"/>
      <c r="F593" s="75"/>
      <c r="G593" s="76"/>
      <c r="H593" s="76"/>
      <c r="I593" s="76"/>
      <c r="J593" s="76"/>
      <c r="K593" s="76"/>
      <c r="L593" s="76"/>
      <c r="M593" s="77"/>
      <c r="N593" s="77"/>
      <c r="O593" s="78"/>
      <c r="P593" s="78"/>
      <c r="Q593" s="76"/>
    </row>
    <row r="594" spans="1:17" ht="19.899999999999999" customHeight="1" x14ac:dyDescent="0.25">
      <c r="A594" s="74"/>
      <c r="B594" s="74"/>
      <c r="C594" s="74"/>
      <c r="D594" s="74"/>
      <c r="E594" s="69"/>
      <c r="F594" s="75"/>
      <c r="G594" s="76"/>
      <c r="H594" s="76"/>
      <c r="I594" s="76"/>
      <c r="J594" s="76"/>
      <c r="K594" s="76"/>
      <c r="L594" s="76"/>
      <c r="M594" s="77"/>
      <c r="N594" s="77"/>
      <c r="O594" s="78"/>
      <c r="P594" s="78"/>
      <c r="Q594" s="76"/>
    </row>
    <row r="595" spans="1:17" ht="19.899999999999999" customHeight="1" x14ac:dyDescent="0.25">
      <c r="A595" s="74"/>
      <c r="B595" s="74"/>
      <c r="C595" s="74"/>
      <c r="D595" s="74"/>
      <c r="E595" s="69"/>
      <c r="F595" s="75"/>
      <c r="G595" s="76"/>
      <c r="H595" s="76"/>
      <c r="I595" s="76"/>
      <c r="J595" s="76"/>
      <c r="K595" s="76"/>
      <c r="L595" s="76"/>
      <c r="M595" s="77"/>
      <c r="N595" s="77"/>
      <c r="O595" s="78"/>
      <c r="P595" s="78"/>
      <c r="Q595" s="76"/>
    </row>
    <row r="596" spans="1:17" ht="19.899999999999999" customHeight="1" x14ac:dyDescent="0.25">
      <c r="A596" s="74"/>
      <c r="B596" s="74"/>
      <c r="C596" s="74"/>
      <c r="D596" s="74"/>
      <c r="E596" s="69"/>
      <c r="F596" s="75"/>
      <c r="G596" s="76"/>
      <c r="H596" s="76"/>
      <c r="I596" s="76"/>
      <c r="J596" s="76"/>
      <c r="K596" s="76"/>
      <c r="L596" s="76"/>
      <c r="M596" s="77"/>
      <c r="N596" s="77"/>
      <c r="O596" s="78"/>
      <c r="P596" s="78"/>
      <c r="Q596" s="76"/>
    </row>
    <row r="597" spans="1:17" ht="19.899999999999999" customHeight="1" x14ac:dyDescent="0.25">
      <c r="A597" s="74"/>
      <c r="B597" s="74"/>
      <c r="C597" s="74"/>
      <c r="D597" s="74"/>
      <c r="E597" s="69"/>
      <c r="F597" s="75"/>
      <c r="G597" s="76"/>
      <c r="H597" s="76"/>
      <c r="I597" s="76"/>
      <c r="J597" s="76"/>
      <c r="K597" s="76"/>
      <c r="L597" s="76"/>
      <c r="M597" s="77"/>
      <c r="N597" s="77"/>
      <c r="O597" s="78"/>
      <c r="P597" s="78"/>
      <c r="Q597" s="76"/>
    </row>
    <row r="598" spans="1:17" ht="19.899999999999999" customHeight="1" x14ac:dyDescent="0.25">
      <c r="A598" s="74"/>
      <c r="B598" s="74"/>
      <c r="C598" s="74"/>
      <c r="D598" s="74"/>
      <c r="E598" s="69"/>
      <c r="F598" s="75"/>
      <c r="G598" s="76"/>
      <c r="H598" s="76"/>
      <c r="I598" s="76"/>
      <c r="J598" s="76"/>
      <c r="K598" s="76"/>
      <c r="L598" s="76"/>
      <c r="M598" s="77"/>
      <c r="N598" s="77"/>
      <c r="O598" s="78"/>
      <c r="P598" s="78"/>
      <c r="Q598" s="76"/>
    </row>
    <row r="599" spans="1:17" ht="19.899999999999999" customHeight="1" x14ac:dyDescent="0.25">
      <c r="A599" s="74"/>
      <c r="B599" s="74"/>
      <c r="C599" s="74"/>
      <c r="D599" s="74"/>
      <c r="E599" s="69"/>
      <c r="F599" s="75"/>
      <c r="G599" s="76"/>
      <c r="H599" s="76"/>
      <c r="I599" s="76"/>
      <c r="J599" s="76"/>
      <c r="K599" s="76"/>
      <c r="L599" s="76"/>
      <c r="M599" s="77"/>
      <c r="N599" s="77"/>
      <c r="O599" s="78"/>
      <c r="P599" s="78"/>
      <c r="Q599" s="76"/>
    </row>
    <row r="600" spans="1:17" ht="19.899999999999999" customHeight="1" x14ac:dyDescent="0.25">
      <c r="A600" s="74"/>
      <c r="B600" s="74"/>
      <c r="C600" s="74"/>
      <c r="D600" s="74"/>
      <c r="E600" s="69"/>
      <c r="F600" s="75"/>
      <c r="G600" s="76"/>
      <c r="H600" s="76"/>
      <c r="I600" s="76"/>
      <c r="J600" s="76"/>
      <c r="K600" s="76"/>
      <c r="L600" s="76"/>
      <c r="M600" s="77"/>
      <c r="N600" s="77"/>
      <c r="O600" s="78"/>
      <c r="P600" s="78"/>
      <c r="Q600" s="76"/>
    </row>
    <row r="601" spans="1:17" ht="19.899999999999999" customHeight="1" x14ac:dyDescent="0.25">
      <c r="A601" s="74"/>
      <c r="B601" s="74"/>
      <c r="C601" s="74"/>
      <c r="D601" s="74"/>
      <c r="E601" s="69"/>
      <c r="F601" s="75"/>
      <c r="G601" s="76"/>
      <c r="H601" s="76"/>
      <c r="I601" s="76"/>
      <c r="J601" s="76"/>
      <c r="K601" s="76"/>
      <c r="L601" s="76"/>
      <c r="M601" s="77"/>
      <c r="N601" s="77"/>
      <c r="O601" s="78"/>
      <c r="P601" s="78"/>
      <c r="Q601" s="76"/>
    </row>
    <row r="602" spans="1:17" ht="19.899999999999999" customHeight="1" x14ac:dyDescent="0.25">
      <c r="A602" s="74"/>
      <c r="B602" s="74"/>
      <c r="C602" s="74"/>
      <c r="D602" s="74"/>
      <c r="E602" s="69"/>
      <c r="F602" s="75"/>
      <c r="G602" s="76"/>
      <c r="H602" s="76"/>
      <c r="I602" s="76"/>
      <c r="J602" s="76"/>
      <c r="K602" s="76"/>
      <c r="L602" s="76"/>
      <c r="M602" s="77"/>
      <c r="N602" s="77"/>
      <c r="O602" s="78"/>
      <c r="P602" s="78"/>
      <c r="Q602" s="76"/>
    </row>
    <row r="603" spans="1:17" ht="19.899999999999999" customHeight="1" x14ac:dyDescent="0.25">
      <c r="A603" s="74"/>
      <c r="B603" s="74"/>
      <c r="C603" s="74"/>
      <c r="D603" s="74"/>
      <c r="E603" s="69"/>
      <c r="F603" s="75"/>
      <c r="G603" s="76"/>
      <c r="H603" s="76"/>
      <c r="I603" s="76"/>
      <c r="J603" s="76"/>
      <c r="K603" s="76"/>
      <c r="L603" s="76"/>
      <c r="M603" s="77"/>
      <c r="N603" s="77"/>
      <c r="O603" s="78"/>
      <c r="P603" s="78"/>
      <c r="Q603" s="76"/>
    </row>
    <row r="604" spans="1:17" ht="19.899999999999999" customHeight="1" x14ac:dyDescent="0.25">
      <c r="A604" s="74"/>
      <c r="B604" s="74"/>
      <c r="C604" s="74"/>
      <c r="D604" s="74"/>
      <c r="E604" s="69"/>
      <c r="F604" s="75"/>
      <c r="G604" s="76"/>
      <c r="H604" s="76"/>
      <c r="I604" s="76"/>
      <c r="J604" s="76"/>
      <c r="K604" s="76"/>
      <c r="L604" s="76"/>
      <c r="M604" s="77"/>
      <c r="N604" s="77"/>
      <c r="O604" s="78"/>
      <c r="P604" s="78"/>
      <c r="Q604" s="76"/>
    </row>
    <row r="605" spans="1:17" ht="19.899999999999999" customHeight="1" x14ac:dyDescent="0.25">
      <c r="A605" s="74"/>
      <c r="B605" s="74"/>
      <c r="C605" s="74"/>
      <c r="D605" s="74"/>
      <c r="E605" s="69"/>
      <c r="F605" s="75"/>
      <c r="G605" s="76"/>
      <c r="H605" s="76"/>
      <c r="I605" s="76"/>
      <c r="J605" s="76"/>
      <c r="K605" s="76"/>
      <c r="L605" s="76"/>
      <c r="M605" s="77"/>
      <c r="N605" s="77"/>
      <c r="O605" s="78"/>
      <c r="P605" s="78"/>
      <c r="Q605" s="76"/>
    </row>
    <row r="606" spans="1:17" ht="19.899999999999999" customHeight="1" x14ac:dyDescent="0.25">
      <c r="A606" s="74"/>
      <c r="B606" s="74"/>
      <c r="C606" s="74"/>
      <c r="D606" s="74"/>
      <c r="E606" s="69"/>
      <c r="F606" s="75"/>
      <c r="G606" s="76"/>
      <c r="H606" s="76"/>
      <c r="I606" s="76"/>
      <c r="J606" s="76"/>
      <c r="K606" s="76"/>
      <c r="L606" s="76"/>
      <c r="M606" s="77"/>
      <c r="N606" s="77"/>
      <c r="O606" s="78"/>
      <c r="P606" s="78"/>
      <c r="Q606" s="76"/>
    </row>
    <row r="607" spans="1:17" ht="19.899999999999999" customHeight="1" x14ac:dyDescent="0.25">
      <c r="A607" s="74"/>
      <c r="B607" s="74"/>
      <c r="C607" s="74"/>
      <c r="D607" s="74"/>
      <c r="E607" s="69"/>
      <c r="F607" s="75"/>
      <c r="G607" s="76"/>
      <c r="H607" s="76"/>
      <c r="I607" s="76"/>
      <c r="J607" s="76"/>
      <c r="K607" s="76"/>
      <c r="L607" s="76"/>
      <c r="M607" s="77"/>
      <c r="N607" s="77"/>
      <c r="O607" s="78"/>
      <c r="P607" s="78"/>
      <c r="Q607" s="76"/>
    </row>
    <row r="608" spans="1:17" ht="19.899999999999999" customHeight="1" x14ac:dyDescent="0.25">
      <c r="A608" s="74"/>
      <c r="B608" s="74"/>
      <c r="C608" s="74"/>
      <c r="D608" s="74"/>
      <c r="E608" s="69"/>
      <c r="F608" s="75"/>
      <c r="G608" s="76"/>
      <c r="H608" s="76"/>
      <c r="I608" s="76"/>
      <c r="J608" s="76"/>
      <c r="K608" s="76"/>
      <c r="L608" s="76"/>
      <c r="M608" s="77"/>
      <c r="N608" s="77"/>
      <c r="O608" s="78"/>
      <c r="P608" s="78"/>
      <c r="Q608" s="76"/>
    </row>
    <row r="609" spans="1:17" ht="19.899999999999999" customHeight="1" x14ac:dyDescent="0.25">
      <c r="A609" s="74"/>
      <c r="B609" s="74"/>
      <c r="C609" s="74"/>
      <c r="D609" s="74"/>
      <c r="E609" s="69"/>
      <c r="F609" s="75"/>
      <c r="G609" s="76"/>
      <c r="H609" s="76"/>
      <c r="I609" s="76"/>
      <c r="J609" s="76"/>
      <c r="K609" s="76"/>
      <c r="L609" s="76"/>
      <c r="M609" s="77"/>
      <c r="N609" s="77"/>
      <c r="O609" s="78"/>
      <c r="P609" s="78"/>
      <c r="Q609" s="76"/>
    </row>
    <row r="610" spans="1:17" ht="19.899999999999999" customHeight="1" x14ac:dyDescent="0.25">
      <c r="A610" s="74"/>
      <c r="B610" s="74"/>
      <c r="C610" s="74"/>
      <c r="D610" s="74"/>
      <c r="E610" s="69"/>
      <c r="F610" s="75"/>
      <c r="G610" s="76"/>
      <c r="H610" s="76"/>
      <c r="I610" s="76"/>
      <c r="J610" s="76"/>
      <c r="K610" s="76"/>
      <c r="L610" s="76"/>
      <c r="M610" s="77"/>
      <c r="N610" s="77"/>
      <c r="O610" s="78"/>
      <c r="P610" s="78"/>
      <c r="Q610" s="76"/>
    </row>
    <row r="611" spans="1:17" ht="19.899999999999999" customHeight="1" x14ac:dyDescent="0.25">
      <c r="A611" s="74"/>
      <c r="B611" s="74"/>
      <c r="C611" s="74"/>
      <c r="D611" s="74"/>
      <c r="E611" s="69"/>
      <c r="F611" s="75"/>
      <c r="G611" s="76"/>
      <c r="H611" s="76"/>
      <c r="I611" s="76"/>
      <c r="J611" s="76"/>
      <c r="K611" s="76"/>
      <c r="L611" s="76"/>
      <c r="M611" s="77"/>
      <c r="N611" s="77"/>
      <c r="O611" s="78"/>
      <c r="P611" s="78"/>
      <c r="Q611" s="76"/>
    </row>
    <row r="612" spans="1:17" ht="19.899999999999999" customHeight="1" x14ac:dyDescent="0.25">
      <c r="A612" s="74"/>
      <c r="B612" s="74"/>
      <c r="C612" s="74"/>
      <c r="D612" s="74"/>
      <c r="E612" s="69"/>
      <c r="F612" s="75"/>
      <c r="G612" s="76"/>
      <c r="H612" s="76"/>
      <c r="I612" s="76"/>
      <c r="J612" s="76"/>
      <c r="K612" s="76"/>
      <c r="L612" s="76"/>
      <c r="M612" s="77"/>
      <c r="N612" s="77"/>
      <c r="O612" s="78"/>
      <c r="P612" s="78"/>
      <c r="Q612" s="76"/>
    </row>
    <row r="613" spans="1:17" ht="19.899999999999999" customHeight="1" x14ac:dyDescent="0.25">
      <c r="A613" s="74"/>
      <c r="B613" s="74"/>
      <c r="C613" s="74"/>
      <c r="D613" s="74"/>
      <c r="E613" s="69"/>
      <c r="F613" s="75"/>
      <c r="G613" s="76"/>
      <c r="H613" s="76"/>
      <c r="I613" s="76"/>
      <c r="J613" s="76"/>
      <c r="K613" s="76"/>
      <c r="L613" s="76"/>
      <c r="M613" s="77"/>
      <c r="N613" s="77"/>
      <c r="O613" s="78"/>
      <c r="P613" s="78"/>
      <c r="Q613" s="76"/>
    </row>
    <row r="614" spans="1:17" ht="19.899999999999999" customHeight="1" x14ac:dyDescent="0.25">
      <c r="A614" s="74"/>
      <c r="B614" s="74"/>
      <c r="C614" s="74"/>
      <c r="D614" s="74"/>
      <c r="E614" s="69"/>
      <c r="F614" s="75"/>
      <c r="G614" s="76"/>
      <c r="H614" s="76"/>
      <c r="I614" s="76"/>
      <c r="J614" s="76"/>
      <c r="K614" s="76"/>
      <c r="L614" s="76"/>
      <c r="M614" s="77"/>
      <c r="N614" s="77"/>
      <c r="O614" s="78"/>
      <c r="P614" s="78"/>
      <c r="Q614" s="76"/>
    </row>
    <row r="615" spans="1:17" ht="19.899999999999999" customHeight="1" x14ac:dyDescent="0.25">
      <c r="A615" s="74"/>
      <c r="B615" s="74"/>
      <c r="C615" s="74"/>
      <c r="D615" s="74"/>
      <c r="E615" s="69"/>
      <c r="F615" s="75"/>
      <c r="G615" s="76"/>
      <c r="H615" s="76"/>
      <c r="I615" s="76"/>
      <c r="J615" s="76"/>
      <c r="K615" s="76"/>
      <c r="L615" s="76"/>
      <c r="M615" s="77"/>
      <c r="N615" s="77"/>
      <c r="O615" s="78"/>
      <c r="P615" s="78"/>
      <c r="Q615" s="76"/>
    </row>
    <row r="616" spans="1:17" ht="19.899999999999999" customHeight="1" x14ac:dyDescent="0.25">
      <c r="A616" s="74"/>
      <c r="B616" s="74"/>
      <c r="C616" s="74"/>
      <c r="D616" s="74"/>
      <c r="E616" s="69"/>
      <c r="F616" s="75"/>
      <c r="G616" s="76"/>
      <c r="H616" s="76"/>
      <c r="I616" s="76"/>
      <c r="J616" s="76"/>
      <c r="K616" s="76"/>
      <c r="L616" s="76"/>
      <c r="M616" s="77"/>
      <c r="N616" s="77"/>
      <c r="O616" s="78"/>
      <c r="P616" s="78"/>
      <c r="Q616" s="76"/>
    </row>
    <row r="617" spans="1:17" ht="19.899999999999999" customHeight="1" x14ac:dyDescent="0.25">
      <c r="A617" s="74"/>
      <c r="B617" s="74"/>
      <c r="C617" s="74"/>
      <c r="D617" s="74"/>
      <c r="E617" s="69"/>
      <c r="F617" s="75"/>
      <c r="G617" s="76"/>
      <c r="H617" s="76"/>
      <c r="I617" s="76"/>
      <c r="J617" s="76"/>
      <c r="K617" s="76"/>
      <c r="L617" s="76"/>
      <c r="M617" s="77"/>
      <c r="N617" s="77"/>
      <c r="O617" s="78"/>
      <c r="P617" s="78"/>
      <c r="Q617" s="76"/>
    </row>
    <row r="618" spans="1:17" ht="19.899999999999999" customHeight="1" x14ac:dyDescent="0.25">
      <c r="A618" s="74"/>
      <c r="B618" s="74"/>
      <c r="C618" s="74"/>
      <c r="D618" s="74"/>
      <c r="E618" s="69"/>
      <c r="F618" s="75"/>
      <c r="G618" s="76"/>
      <c r="H618" s="76"/>
      <c r="I618" s="76"/>
      <c r="J618" s="76"/>
      <c r="K618" s="76"/>
      <c r="L618" s="76"/>
      <c r="M618" s="77"/>
      <c r="N618" s="77"/>
      <c r="O618" s="78"/>
      <c r="P618" s="78"/>
      <c r="Q618" s="76"/>
    </row>
    <row r="619" spans="1:17" ht="19.899999999999999" customHeight="1" x14ac:dyDescent="0.25">
      <c r="A619" s="74"/>
      <c r="B619" s="74"/>
      <c r="C619" s="74"/>
      <c r="D619" s="74"/>
      <c r="E619" s="69"/>
      <c r="F619" s="75"/>
      <c r="G619" s="76"/>
      <c r="H619" s="76"/>
      <c r="I619" s="76"/>
      <c r="J619" s="76"/>
      <c r="K619" s="76"/>
      <c r="L619" s="76"/>
      <c r="M619" s="77"/>
      <c r="N619" s="77"/>
      <c r="O619" s="78"/>
      <c r="P619" s="78"/>
      <c r="Q619" s="76"/>
    </row>
    <row r="620" spans="1:17" ht="19.899999999999999" customHeight="1" x14ac:dyDescent="0.25">
      <c r="A620" s="74"/>
      <c r="B620" s="74"/>
      <c r="C620" s="74"/>
      <c r="D620" s="74"/>
      <c r="E620" s="69"/>
      <c r="F620" s="75"/>
      <c r="G620" s="76"/>
      <c r="H620" s="76"/>
      <c r="I620" s="76"/>
      <c r="J620" s="76"/>
      <c r="K620" s="76"/>
      <c r="L620" s="76"/>
      <c r="M620" s="77"/>
      <c r="N620" s="77"/>
      <c r="O620" s="78"/>
      <c r="P620" s="78"/>
      <c r="Q620" s="76"/>
    </row>
    <row r="621" spans="1:17" ht="19.899999999999999" customHeight="1" x14ac:dyDescent="0.25">
      <c r="A621" s="74"/>
      <c r="B621" s="74"/>
      <c r="C621" s="74"/>
      <c r="D621" s="74"/>
      <c r="E621" s="69"/>
      <c r="F621" s="75"/>
      <c r="G621" s="76"/>
      <c r="H621" s="76"/>
      <c r="I621" s="76"/>
      <c r="J621" s="76"/>
      <c r="K621" s="76"/>
      <c r="L621" s="76"/>
      <c r="M621" s="77"/>
      <c r="N621" s="77"/>
      <c r="O621" s="78"/>
      <c r="P621" s="78"/>
      <c r="Q621" s="76"/>
    </row>
    <row r="622" spans="1:17" ht="19.899999999999999" customHeight="1" x14ac:dyDescent="0.25">
      <c r="A622" s="74"/>
      <c r="B622" s="74"/>
      <c r="C622" s="74"/>
      <c r="D622" s="74"/>
      <c r="E622" s="69"/>
      <c r="F622" s="75"/>
      <c r="G622" s="76"/>
      <c r="H622" s="76"/>
      <c r="I622" s="76"/>
      <c r="J622" s="76"/>
      <c r="K622" s="76"/>
      <c r="L622" s="76"/>
      <c r="M622" s="77"/>
      <c r="N622" s="77"/>
      <c r="O622" s="78"/>
      <c r="P622" s="78"/>
      <c r="Q622" s="76"/>
    </row>
    <row r="623" spans="1:17" ht="19.899999999999999" customHeight="1" x14ac:dyDescent="0.25">
      <c r="A623" s="74"/>
      <c r="B623" s="74"/>
      <c r="C623" s="74"/>
      <c r="D623" s="74"/>
      <c r="E623" s="69"/>
      <c r="F623" s="75"/>
      <c r="G623" s="76"/>
      <c r="H623" s="76"/>
      <c r="I623" s="76"/>
      <c r="J623" s="76"/>
      <c r="K623" s="76"/>
      <c r="L623" s="76"/>
      <c r="M623" s="77"/>
      <c r="N623" s="77"/>
      <c r="O623" s="78"/>
      <c r="P623" s="78"/>
      <c r="Q623" s="76"/>
    </row>
    <row r="624" spans="1:17" ht="19.899999999999999" customHeight="1" x14ac:dyDescent="0.25">
      <c r="A624" s="74"/>
      <c r="B624" s="74"/>
      <c r="C624" s="74"/>
      <c r="D624" s="74"/>
      <c r="E624" s="69"/>
      <c r="F624" s="75"/>
      <c r="G624" s="76"/>
      <c r="H624" s="76"/>
      <c r="I624" s="76"/>
      <c r="J624" s="76"/>
      <c r="K624" s="76"/>
      <c r="L624" s="76"/>
      <c r="M624" s="77"/>
      <c r="N624" s="77"/>
      <c r="O624" s="78"/>
      <c r="P624" s="78"/>
      <c r="Q624" s="76"/>
    </row>
    <row r="625" spans="1:17" ht="19.899999999999999" customHeight="1" x14ac:dyDescent="0.25">
      <c r="A625" s="74"/>
      <c r="B625" s="74"/>
      <c r="C625" s="74"/>
      <c r="D625" s="74"/>
      <c r="E625" s="69"/>
      <c r="F625" s="75"/>
      <c r="G625" s="76"/>
      <c r="H625" s="76"/>
      <c r="I625" s="76"/>
      <c r="J625" s="76"/>
      <c r="K625" s="76"/>
      <c r="L625" s="76"/>
      <c r="M625" s="77"/>
      <c r="N625" s="77"/>
      <c r="O625" s="78"/>
      <c r="P625" s="78"/>
      <c r="Q625" s="76"/>
    </row>
    <row r="626" spans="1:17" ht="19.899999999999999" customHeight="1" x14ac:dyDescent="0.25">
      <c r="A626" s="74"/>
      <c r="B626" s="74"/>
      <c r="C626" s="74"/>
      <c r="D626" s="74"/>
      <c r="E626" s="69"/>
      <c r="F626" s="75"/>
      <c r="G626" s="76"/>
      <c r="H626" s="76"/>
      <c r="I626" s="76"/>
      <c r="J626" s="76"/>
      <c r="K626" s="76"/>
      <c r="L626" s="76"/>
      <c r="M626" s="77"/>
      <c r="N626" s="77"/>
      <c r="O626" s="78"/>
      <c r="P626" s="78"/>
      <c r="Q626" s="76"/>
    </row>
    <row r="627" spans="1:17" ht="19.899999999999999" customHeight="1" x14ac:dyDescent="0.25">
      <c r="A627" s="74"/>
      <c r="B627" s="74"/>
      <c r="C627" s="74"/>
      <c r="D627" s="74"/>
      <c r="E627" s="69"/>
      <c r="F627" s="75"/>
      <c r="G627" s="76"/>
      <c r="H627" s="76"/>
      <c r="I627" s="76"/>
      <c r="J627" s="76"/>
      <c r="K627" s="76"/>
      <c r="L627" s="76"/>
      <c r="M627" s="77"/>
      <c r="N627" s="77"/>
      <c r="O627" s="78"/>
      <c r="P627" s="78"/>
      <c r="Q627" s="76"/>
    </row>
    <row r="628" spans="1:17" ht="19.899999999999999" customHeight="1" x14ac:dyDescent="0.25">
      <c r="A628" s="74"/>
      <c r="B628" s="74"/>
      <c r="C628" s="74"/>
      <c r="D628" s="74"/>
      <c r="E628" s="69"/>
      <c r="F628" s="75"/>
      <c r="G628" s="76"/>
      <c r="H628" s="76"/>
      <c r="I628" s="76"/>
      <c r="J628" s="76"/>
      <c r="K628" s="76"/>
      <c r="L628" s="76"/>
      <c r="M628" s="77"/>
      <c r="N628" s="77"/>
      <c r="O628" s="78"/>
      <c r="P628" s="78"/>
      <c r="Q628" s="76"/>
    </row>
    <row r="629" spans="1:17" ht="19.899999999999999" customHeight="1" x14ac:dyDescent="0.25">
      <c r="A629" s="74"/>
      <c r="B629" s="74"/>
      <c r="C629" s="74"/>
      <c r="D629" s="74"/>
      <c r="E629" s="69"/>
      <c r="F629" s="75"/>
      <c r="G629" s="76"/>
      <c r="H629" s="76"/>
      <c r="I629" s="76"/>
      <c r="J629" s="76"/>
      <c r="K629" s="76"/>
      <c r="L629" s="76"/>
      <c r="M629" s="77"/>
      <c r="N629" s="77"/>
      <c r="O629" s="78"/>
      <c r="P629" s="78"/>
      <c r="Q629" s="76"/>
    </row>
    <row r="630" spans="1:17" ht="19.899999999999999" customHeight="1" x14ac:dyDescent="0.25">
      <c r="A630" s="74"/>
      <c r="B630" s="74"/>
      <c r="C630" s="74"/>
      <c r="D630" s="74"/>
      <c r="E630" s="69"/>
      <c r="F630" s="75"/>
      <c r="G630" s="76"/>
      <c r="H630" s="76"/>
      <c r="I630" s="76"/>
      <c r="J630" s="76"/>
      <c r="K630" s="76"/>
      <c r="L630" s="76"/>
      <c r="M630" s="77"/>
      <c r="N630" s="77"/>
      <c r="O630" s="78"/>
      <c r="P630" s="78"/>
      <c r="Q630" s="76"/>
    </row>
    <row r="631" spans="1:17" ht="19.899999999999999" customHeight="1" x14ac:dyDescent="0.25">
      <c r="A631" s="74"/>
      <c r="B631" s="74"/>
      <c r="C631" s="74"/>
      <c r="D631" s="74"/>
      <c r="E631" s="69"/>
      <c r="F631" s="75"/>
      <c r="G631" s="76"/>
      <c r="H631" s="76"/>
      <c r="I631" s="76"/>
      <c r="J631" s="76"/>
      <c r="K631" s="76"/>
      <c r="L631" s="76"/>
      <c r="M631" s="77"/>
      <c r="N631" s="77"/>
      <c r="O631" s="78"/>
      <c r="P631" s="78"/>
      <c r="Q631" s="76"/>
    </row>
    <row r="632" spans="1:17" ht="19.899999999999999" customHeight="1" x14ac:dyDescent="0.25">
      <c r="A632" s="74"/>
      <c r="B632" s="74"/>
      <c r="C632" s="74"/>
      <c r="D632" s="74"/>
      <c r="E632" s="69"/>
      <c r="F632" s="75"/>
      <c r="G632" s="76"/>
      <c r="H632" s="76"/>
      <c r="I632" s="76"/>
      <c r="J632" s="76"/>
      <c r="K632" s="76"/>
      <c r="L632" s="76"/>
      <c r="M632" s="77"/>
      <c r="N632" s="77"/>
      <c r="O632" s="78"/>
      <c r="P632" s="78"/>
      <c r="Q632" s="76"/>
    </row>
    <row r="633" spans="1:17" ht="19.899999999999999" customHeight="1" x14ac:dyDescent="0.25">
      <c r="A633" s="74"/>
      <c r="B633" s="74"/>
      <c r="C633" s="74"/>
      <c r="D633" s="74"/>
      <c r="E633" s="69"/>
      <c r="F633" s="75"/>
      <c r="G633" s="76"/>
      <c r="H633" s="76"/>
      <c r="I633" s="76"/>
      <c r="J633" s="76"/>
      <c r="K633" s="76"/>
      <c r="L633" s="76"/>
      <c r="M633" s="77"/>
      <c r="N633" s="77"/>
      <c r="O633" s="78"/>
      <c r="P633" s="78"/>
      <c r="Q633" s="76"/>
    </row>
    <row r="634" spans="1:17" ht="19.899999999999999" customHeight="1" x14ac:dyDescent="0.25">
      <c r="A634" s="74"/>
      <c r="B634" s="74"/>
      <c r="C634" s="74"/>
      <c r="D634" s="74"/>
      <c r="E634" s="69"/>
      <c r="F634" s="75"/>
      <c r="G634" s="76"/>
      <c r="H634" s="76"/>
      <c r="I634" s="76"/>
      <c r="J634" s="76"/>
      <c r="K634" s="76"/>
      <c r="L634" s="76"/>
      <c r="M634" s="77"/>
      <c r="N634" s="77"/>
      <c r="O634" s="78"/>
      <c r="P634" s="78"/>
      <c r="Q634" s="76"/>
    </row>
    <row r="635" spans="1:17" ht="19.899999999999999" customHeight="1" x14ac:dyDescent="0.25">
      <c r="A635" s="74"/>
      <c r="B635" s="74"/>
      <c r="C635" s="74"/>
      <c r="D635" s="74"/>
      <c r="E635" s="69"/>
      <c r="F635" s="75"/>
      <c r="G635" s="76"/>
      <c r="H635" s="76"/>
      <c r="I635" s="76"/>
      <c r="J635" s="76"/>
      <c r="K635" s="76"/>
      <c r="L635" s="76"/>
      <c r="M635" s="77"/>
      <c r="N635" s="77"/>
      <c r="O635" s="78"/>
      <c r="P635" s="78"/>
      <c r="Q635" s="76"/>
    </row>
    <row r="636" spans="1:17" ht="19.899999999999999" customHeight="1" x14ac:dyDescent="0.25">
      <c r="A636" s="74"/>
      <c r="B636" s="74"/>
      <c r="C636" s="74"/>
      <c r="D636" s="74"/>
      <c r="E636" s="69"/>
      <c r="F636" s="75"/>
      <c r="G636" s="76"/>
      <c r="H636" s="76"/>
      <c r="I636" s="76"/>
      <c r="J636" s="76"/>
      <c r="K636" s="76"/>
      <c r="L636" s="76"/>
      <c r="M636" s="77"/>
      <c r="N636" s="77"/>
      <c r="O636" s="78"/>
      <c r="P636" s="78"/>
      <c r="Q636" s="76"/>
    </row>
    <row r="637" spans="1:17" ht="19.899999999999999" customHeight="1" x14ac:dyDescent="0.25">
      <c r="A637" s="74"/>
      <c r="B637" s="74"/>
      <c r="C637" s="74"/>
      <c r="D637" s="74"/>
      <c r="E637" s="69"/>
      <c r="F637" s="75"/>
      <c r="G637" s="76"/>
      <c r="H637" s="76"/>
      <c r="I637" s="76"/>
      <c r="J637" s="76"/>
      <c r="K637" s="76"/>
      <c r="L637" s="76"/>
      <c r="M637" s="77"/>
      <c r="N637" s="77"/>
      <c r="O637" s="78"/>
      <c r="P637" s="78"/>
      <c r="Q637" s="76"/>
    </row>
    <row r="638" spans="1:17" ht="19.899999999999999" customHeight="1" x14ac:dyDescent="0.25">
      <c r="A638" s="74"/>
      <c r="B638" s="74"/>
      <c r="C638" s="74"/>
      <c r="D638" s="74"/>
      <c r="E638" s="69"/>
      <c r="F638" s="75"/>
      <c r="G638" s="76"/>
      <c r="H638" s="76"/>
      <c r="I638" s="76"/>
      <c r="J638" s="76"/>
      <c r="K638" s="76"/>
      <c r="L638" s="76"/>
      <c r="M638" s="77"/>
      <c r="N638" s="77"/>
      <c r="O638" s="78"/>
      <c r="P638" s="78"/>
      <c r="Q638" s="76"/>
    </row>
    <row r="639" spans="1:17" ht="19.899999999999999" customHeight="1" x14ac:dyDescent="0.25">
      <c r="A639" s="74"/>
      <c r="B639" s="74"/>
      <c r="C639" s="74"/>
      <c r="D639" s="74"/>
      <c r="E639" s="69"/>
      <c r="F639" s="75"/>
      <c r="G639" s="76"/>
      <c r="H639" s="76"/>
      <c r="I639" s="76"/>
      <c r="J639" s="76"/>
      <c r="K639" s="76"/>
      <c r="L639" s="76"/>
      <c r="M639" s="77"/>
      <c r="N639" s="77"/>
      <c r="O639" s="78"/>
      <c r="P639" s="78"/>
      <c r="Q639" s="76"/>
    </row>
    <row r="640" spans="1:17" ht="19.899999999999999" customHeight="1" x14ac:dyDescent="0.25">
      <c r="A640" s="74"/>
      <c r="B640" s="74"/>
      <c r="C640" s="74"/>
      <c r="D640" s="74"/>
      <c r="E640" s="69"/>
      <c r="F640" s="75"/>
      <c r="G640" s="76"/>
      <c r="H640" s="76"/>
      <c r="I640" s="76"/>
      <c r="J640" s="76"/>
      <c r="K640" s="76"/>
      <c r="L640" s="76"/>
      <c r="M640" s="77"/>
      <c r="N640" s="77"/>
      <c r="O640" s="78"/>
      <c r="P640" s="78"/>
      <c r="Q640" s="76"/>
    </row>
    <row r="641" spans="1:17" ht="19.899999999999999" customHeight="1" x14ac:dyDescent="0.25">
      <c r="A641" s="74"/>
      <c r="B641" s="74"/>
      <c r="C641" s="74"/>
      <c r="D641" s="74"/>
      <c r="E641" s="69"/>
      <c r="F641" s="75"/>
      <c r="G641" s="76"/>
      <c r="H641" s="76"/>
      <c r="I641" s="76"/>
      <c r="J641" s="76"/>
      <c r="K641" s="76"/>
      <c r="L641" s="76"/>
      <c r="M641" s="77"/>
      <c r="N641" s="77"/>
      <c r="O641" s="78"/>
      <c r="P641" s="78"/>
      <c r="Q641" s="76"/>
    </row>
    <row r="642" spans="1:17" ht="19.899999999999999" customHeight="1" x14ac:dyDescent="0.25">
      <c r="A642" s="74"/>
      <c r="B642" s="74"/>
      <c r="C642" s="74"/>
      <c r="D642" s="74"/>
      <c r="E642" s="69"/>
      <c r="F642" s="75"/>
      <c r="G642" s="76"/>
      <c r="H642" s="76"/>
      <c r="I642" s="76"/>
      <c r="J642" s="76"/>
      <c r="K642" s="76"/>
      <c r="L642" s="76"/>
      <c r="M642" s="77"/>
      <c r="N642" s="77"/>
      <c r="O642" s="78"/>
      <c r="P642" s="78"/>
      <c r="Q642" s="76"/>
    </row>
    <row r="643" spans="1:17" ht="19.899999999999999" customHeight="1" x14ac:dyDescent="0.25">
      <c r="A643" s="74"/>
      <c r="B643" s="74"/>
      <c r="C643" s="74"/>
      <c r="D643" s="74"/>
      <c r="E643" s="69"/>
      <c r="F643" s="75"/>
      <c r="G643" s="76"/>
      <c r="H643" s="76"/>
      <c r="I643" s="76"/>
      <c r="J643" s="76"/>
      <c r="K643" s="76"/>
      <c r="L643" s="76"/>
      <c r="M643" s="77"/>
      <c r="N643" s="77"/>
      <c r="O643" s="78"/>
      <c r="P643" s="78"/>
      <c r="Q643" s="76"/>
    </row>
    <row r="644" spans="1:17" ht="19.899999999999999" customHeight="1" x14ac:dyDescent="0.25">
      <c r="A644" s="74"/>
      <c r="B644" s="74"/>
      <c r="C644" s="74"/>
      <c r="D644" s="74"/>
      <c r="E644" s="69"/>
      <c r="F644" s="75"/>
      <c r="G644" s="76"/>
      <c r="H644" s="76"/>
      <c r="I644" s="76"/>
      <c r="J644" s="76"/>
      <c r="K644" s="76"/>
      <c r="L644" s="76"/>
      <c r="M644" s="77"/>
      <c r="N644" s="77"/>
      <c r="O644" s="78"/>
      <c r="P644" s="78"/>
      <c r="Q644" s="76"/>
    </row>
    <row r="645" spans="1:17" ht="19.899999999999999" customHeight="1" x14ac:dyDescent="0.25">
      <c r="A645" s="74"/>
      <c r="B645" s="74"/>
      <c r="C645" s="74"/>
      <c r="D645" s="74"/>
      <c r="E645" s="69"/>
      <c r="F645" s="75"/>
      <c r="G645" s="76"/>
      <c r="H645" s="76"/>
      <c r="I645" s="76"/>
      <c r="J645" s="76"/>
      <c r="K645" s="76"/>
      <c r="L645" s="76"/>
      <c r="M645" s="77"/>
      <c r="N645" s="77"/>
      <c r="O645" s="78"/>
      <c r="P645" s="78"/>
      <c r="Q645" s="76"/>
    </row>
    <row r="646" spans="1:17" ht="19.899999999999999" customHeight="1" x14ac:dyDescent="0.25">
      <c r="A646" s="74"/>
      <c r="B646" s="74"/>
      <c r="C646" s="74"/>
      <c r="D646" s="74"/>
      <c r="E646" s="69"/>
      <c r="F646" s="75"/>
      <c r="G646" s="76"/>
      <c r="H646" s="76"/>
      <c r="I646" s="76"/>
      <c r="J646" s="76"/>
      <c r="K646" s="76"/>
      <c r="L646" s="76"/>
      <c r="M646" s="77"/>
      <c r="N646" s="77"/>
      <c r="O646" s="78"/>
      <c r="P646" s="78"/>
      <c r="Q646" s="76"/>
    </row>
    <row r="647" spans="1:17" ht="19.899999999999999" customHeight="1" x14ac:dyDescent="0.25">
      <c r="A647" s="74"/>
      <c r="B647" s="74"/>
      <c r="C647" s="74"/>
      <c r="D647" s="74"/>
      <c r="E647" s="69"/>
      <c r="F647" s="75"/>
      <c r="G647" s="76"/>
      <c r="H647" s="76"/>
      <c r="I647" s="76"/>
      <c r="J647" s="76"/>
      <c r="K647" s="76"/>
      <c r="L647" s="76"/>
      <c r="M647" s="77"/>
      <c r="N647" s="77"/>
      <c r="O647" s="78"/>
      <c r="P647" s="78"/>
      <c r="Q647" s="76"/>
    </row>
    <row r="648" spans="1:17" ht="19.899999999999999" customHeight="1" x14ac:dyDescent="0.25">
      <c r="A648" s="74"/>
      <c r="B648" s="74"/>
      <c r="C648" s="74"/>
      <c r="D648" s="74"/>
      <c r="E648" s="69"/>
      <c r="F648" s="75"/>
      <c r="G648" s="76"/>
      <c r="H648" s="76"/>
      <c r="I648" s="76"/>
      <c r="J648" s="76"/>
      <c r="K648" s="76"/>
      <c r="L648" s="76"/>
      <c r="M648" s="77"/>
      <c r="N648" s="77"/>
      <c r="O648" s="78"/>
      <c r="P648" s="78"/>
      <c r="Q648" s="76"/>
    </row>
    <row r="649" spans="1:17" ht="19.899999999999999" customHeight="1" x14ac:dyDescent="0.25">
      <c r="A649" s="74"/>
      <c r="B649" s="74"/>
      <c r="C649" s="74"/>
      <c r="D649" s="74"/>
      <c r="E649" s="69"/>
      <c r="F649" s="75"/>
      <c r="G649" s="76"/>
      <c r="H649" s="76"/>
      <c r="I649" s="76"/>
      <c r="J649" s="76"/>
      <c r="K649" s="76"/>
      <c r="L649" s="76"/>
      <c r="M649" s="77"/>
      <c r="N649" s="77"/>
      <c r="O649" s="78"/>
      <c r="P649" s="78"/>
      <c r="Q649" s="76"/>
    </row>
    <row r="650" spans="1:17" ht="19.899999999999999" customHeight="1" x14ac:dyDescent="0.25">
      <c r="A650" s="74"/>
      <c r="B650" s="74"/>
      <c r="C650" s="74"/>
      <c r="D650" s="74"/>
      <c r="E650" s="69"/>
      <c r="F650" s="75"/>
      <c r="G650" s="76"/>
      <c r="H650" s="76"/>
      <c r="I650" s="76"/>
      <c r="J650" s="76"/>
      <c r="K650" s="76"/>
      <c r="L650" s="76"/>
      <c r="M650" s="77"/>
      <c r="N650" s="77"/>
      <c r="O650" s="78"/>
      <c r="P650" s="78"/>
      <c r="Q650" s="76"/>
    </row>
    <row r="651" spans="1:17" ht="19.899999999999999" customHeight="1" x14ac:dyDescent="0.25">
      <c r="A651" s="74"/>
      <c r="B651" s="74"/>
      <c r="C651" s="74"/>
      <c r="D651" s="74"/>
      <c r="E651" s="69"/>
      <c r="F651" s="75"/>
      <c r="G651" s="76"/>
      <c r="H651" s="76"/>
      <c r="I651" s="76"/>
      <c r="J651" s="76"/>
      <c r="K651" s="76"/>
      <c r="L651" s="76"/>
      <c r="M651" s="77"/>
      <c r="N651" s="77"/>
      <c r="O651" s="78"/>
      <c r="P651" s="78"/>
      <c r="Q651" s="76"/>
    </row>
    <row r="652" spans="1:17" ht="19.899999999999999" customHeight="1" x14ac:dyDescent="0.25">
      <c r="A652" s="74"/>
      <c r="B652" s="74"/>
      <c r="C652" s="74"/>
      <c r="D652" s="74"/>
      <c r="E652" s="69"/>
      <c r="F652" s="75"/>
      <c r="G652" s="76"/>
      <c r="H652" s="76"/>
      <c r="I652" s="76"/>
      <c r="J652" s="76"/>
      <c r="K652" s="76"/>
      <c r="L652" s="76"/>
      <c r="M652" s="77"/>
      <c r="N652" s="77"/>
      <c r="O652" s="78"/>
      <c r="P652" s="78"/>
      <c r="Q652" s="76"/>
    </row>
    <row r="653" spans="1:17" ht="19.899999999999999" customHeight="1" x14ac:dyDescent="0.25">
      <c r="A653" s="74"/>
      <c r="B653" s="74"/>
      <c r="C653" s="74"/>
      <c r="D653" s="74"/>
      <c r="E653" s="69"/>
      <c r="F653" s="75"/>
      <c r="G653" s="76"/>
      <c r="H653" s="76"/>
      <c r="I653" s="76"/>
      <c r="J653" s="76"/>
      <c r="K653" s="76"/>
      <c r="L653" s="76"/>
      <c r="M653" s="77"/>
      <c r="N653" s="77"/>
      <c r="O653" s="78"/>
      <c r="P653" s="78"/>
      <c r="Q653" s="76"/>
    </row>
    <row r="654" spans="1:17" ht="19.899999999999999" customHeight="1" x14ac:dyDescent="0.25">
      <c r="A654" s="74"/>
      <c r="B654" s="74"/>
      <c r="C654" s="74"/>
      <c r="D654" s="74"/>
      <c r="E654" s="69"/>
      <c r="F654" s="75"/>
      <c r="G654" s="76"/>
      <c r="H654" s="76"/>
      <c r="I654" s="76"/>
      <c r="J654" s="76"/>
      <c r="K654" s="76"/>
      <c r="L654" s="76"/>
      <c r="M654" s="77"/>
      <c r="N654" s="77"/>
      <c r="O654" s="78"/>
      <c r="P654" s="78"/>
      <c r="Q654" s="76"/>
    </row>
    <row r="655" spans="1:17" ht="19.899999999999999" customHeight="1" x14ac:dyDescent="0.25">
      <c r="A655" s="74"/>
      <c r="B655" s="74"/>
      <c r="C655" s="74"/>
      <c r="D655" s="74"/>
      <c r="E655" s="69"/>
      <c r="F655" s="75"/>
      <c r="G655" s="76"/>
      <c r="H655" s="76"/>
      <c r="I655" s="76"/>
      <c r="J655" s="76"/>
      <c r="K655" s="76"/>
      <c r="L655" s="76"/>
      <c r="M655" s="77"/>
      <c r="N655" s="77"/>
      <c r="O655" s="78"/>
      <c r="P655" s="78"/>
      <c r="Q655" s="76"/>
    </row>
    <row r="656" spans="1:17" ht="19.899999999999999" customHeight="1" x14ac:dyDescent="0.25">
      <c r="A656" s="74"/>
      <c r="B656" s="74"/>
      <c r="C656" s="74"/>
      <c r="D656" s="74"/>
      <c r="E656" s="69"/>
      <c r="F656" s="75"/>
      <c r="G656" s="76"/>
      <c r="H656" s="76"/>
      <c r="I656" s="76"/>
      <c r="J656" s="76"/>
      <c r="K656" s="76"/>
      <c r="L656" s="76"/>
      <c r="M656" s="77"/>
      <c r="N656" s="77"/>
      <c r="O656" s="78"/>
      <c r="P656" s="78"/>
      <c r="Q656" s="76"/>
    </row>
    <row r="657" spans="1:17" ht="19.899999999999999" customHeight="1" x14ac:dyDescent="0.25">
      <c r="A657" s="74"/>
      <c r="B657" s="74"/>
      <c r="C657" s="74"/>
      <c r="D657" s="74"/>
      <c r="E657" s="69"/>
      <c r="F657" s="75"/>
      <c r="G657" s="76"/>
      <c r="H657" s="76"/>
      <c r="I657" s="76"/>
      <c r="J657" s="76"/>
      <c r="K657" s="76"/>
      <c r="L657" s="76"/>
      <c r="M657" s="77"/>
      <c r="N657" s="77"/>
      <c r="O657" s="78"/>
      <c r="P657" s="78"/>
      <c r="Q657" s="76"/>
    </row>
    <row r="658" spans="1:17" ht="19.899999999999999" customHeight="1" x14ac:dyDescent="0.25">
      <c r="A658" s="74"/>
      <c r="B658" s="74"/>
      <c r="C658" s="74"/>
      <c r="D658" s="74"/>
      <c r="E658" s="69"/>
      <c r="F658" s="75"/>
      <c r="G658" s="76"/>
      <c r="H658" s="76"/>
      <c r="I658" s="76"/>
      <c r="J658" s="76"/>
      <c r="K658" s="76"/>
      <c r="L658" s="76"/>
      <c r="M658" s="77"/>
      <c r="N658" s="77"/>
      <c r="O658" s="78"/>
      <c r="P658" s="78"/>
      <c r="Q658" s="76"/>
    </row>
    <row r="659" spans="1:17" ht="19.899999999999999" customHeight="1" x14ac:dyDescent="0.25">
      <c r="A659" s="74"/>
      <c r="B659" s="74"/>
      <c r="C659" s="74"/>
      <c r="D659" s="74"/>
      <c r="E659" s="69"/>
      <c r="F659" s="75"/>
      <c r="G659" s="76"/>
      <c r="H659" s="76"/>
      <c r="I659" s="76"/>
      <c r="J659" s="76"/>
      <c r="K659" s="76"/>
      <c r="L659" s="76"/>
      <c r="M659" s="77"/>
      <c r="N659" s="77"/>
      <c r="O659" s="78"/>
      <c r="P659" s="78"/>
      <c r="Q659" s="76"/>
    </row>
    <row r="660" spans="1:17" ht="19.899999999999999" customHeight="1" x14ac:dyDescent="0.25">
      <c r="A660" s="74"/>
      <c r="B660" s="74"/>
      <c r="C660" s="74"/>
      <c r="D660" s="74"/>
      <c r="E660" s="69"/>
      <c r="F660" s="75"/>
      <c r="G660" s="76"/>
      <c r="H660" s="76"/>
      <c r="I660" s="76"/>
      <c r="J660" s="76"/>
      <c r="K660" s="76"/>
      <c r="L660" s="76"/>
      <c r="M660" s="77"/>
      <c r="N660" s="77"/>
      <c r="O660" s="78"/>
      <c r="P660" s="78"/>
      <c r="Q660" s="76"/>
    </row>
    <row r="661" spans="1:17" ht="19.899999999999999" customHeight="1" x14ac:dyDescent="0.25">
      <c r="A661" s="74"/>
      <c r="B661" s="74"/>
      <c r="C661" s="74"/>
      <c r="D661" s="74"/>
      <c r="E661" s="69"/>
      <c r="F661" s="75"/>
      <c r="G661" s="76"/>
      <c r="H661" s="76"/>
      <c r="I661" s="76"/>
      <c r="J661" s="76"/>
      <c r="K661" s="76"/>
      <c r="L661" s="76"/>
      <c r="M661" s="77"/>
      <c r="N661" s="77"/>
      <c r="O661" s="78"/>
      <c r="P661" s="78"/>
      <c r="Q661" s="76"/>
    </row>
    <row r="662" spans="1:17" ht="19.899999999999999" customHeight="1" x14ac:dyDescent="0.25">
      <c r="A662" s="74"/>
      <c r="B662" s="74"/>
      <c r="C662" s="74"/>
      <c r="D662" s="74"/>
      <c r="E662" s="69"/>
      <c r="F662" s="75"/>
      <c r="G662" s="76"/>
      <c r="H662" s="76"/>
      <c r="I662" s="76"/>
      <c r="J662" s="76"/>
      <c r="K662" s="76"/>
      <c r="L662" s="76"/>
      <c r="M662" s="77"/>
      <c r="N662" s="77"/>
      <c r="O662" s="78"/>
      <c r="P662" s="78"/>
      <c r="Q662" s="76"/>
    </row>
    <row r="663" spans="1:17" ht="19.899999999999999" customHeight="1" x14ac:dyDescent="0.25">
      <c r="A663" s="74"/>
      <c r="B663" s="74"/>
      <c r="C663" s="74"/>
      <c r="D663" s="74"/>
      <c r="E663" s="69"/>
      <c r="F663" s="75"/>
      <c r="G663" s="76"/>
      <c r="H663" s="76"/>
      <c r="I663" s="76"/>
      <c r="J663" s="76"/>
      <c r="K663" s="76"/>
      <c r="L663" s="76"/>
      <c r="M663" s="77"/>
      <c r="N663" s="77"/>
      <c r="O663" s="78"/>
      <c r="P663" s="78"/>
      <c r="Q663" s="76"/>
    </row>
    <row r="664" spans="1:17" ht="19.899999999999999" customHeight="1" x14ac:dyDescent="0.25">
      <c r="A664" s="74"/>
      <c r="B664" s="74"/>
      <c r="C664" s="74"/>
      <c r="D664" s="74"/>
      <c r="E664" s="69"/>
      <c r="F664" s="75"/>
      <c r="G664" s="76"/>
      <c r="H664" s="76"/>
      <c r="I664" s="76"/>
      <c r="J664" s="76"/>
      <c r="K664" s="76"/>
      <c r="L664" s="76"/>
      <c r="M664" s="77"/>
      <c r="N664" s="77"/>
      <c r="O664" s="78"/>
      <c r="P664" s="78"/>
      <c r="Q664" s="76"/>
    </row>
    <row r="665" spans="1:17" ht="19.899999999999999" customHeight="1" x14ac:dyDescent="0.25">
      <c r="A665" s="74"/>
      <c r="B665" s="74"/>
      <c r="C665" s="74"/>
      <c r="D665" s="74"/>
      <c r="E665" s="69"/>
      <c r="F665" s="75"/>
      <c r="G665" s="76"/>
      <c r="H665" s="76"/>
      <c r="I665" s="76"/>
      <c r="J665" s="76"/>
      <c r="K665" s="76"/>
      <c r="L665" s="76"/>
      <c r="M665" s="77"/>
      <c r="N665" s="77"/>
      <c r="O665" s="78"/>
      <c r="P665" s="78"/>
      <c r="Q665" s="76"/>
    </row>
    <row r="666" spans="1:17" ht="19.899999999999999" customHeight="1" x14ac:dyDescent="0.25">
      <c r="A666" s="74"/>
      <c r="B666" s="74"/>
      <c r="C666" s="74"/>
      <c r="D666" s="74"/>
      <c r="E666" s="69"/>
      <c r="F666" s="75"/>
      <c r="G666" s="76"/>
      <c r="H666" s="76"/>
      <c r="I666" s="76"/>
      <c r="J666" s="76"/>
      <c r="K666" s="76"/>
      <c r="L666" s="76"/>
      <c r="M666" s="77"/>
      <c r="N666" s="77"/>
      <c r="O666" s="78"/>
      <c r="P666" s="78"/>
      <c r="Q666" s="76"/>
    </row>
    <row r="667" spans="1:17" ht="19.899999999999999" customHeight="1" x14ac:dyDescent="0.25">
      <c r="A667" s="74"/>
      <c r="B667" s="74"/>
      <c r="C667" s="74"/>
      <c r="D667" s="74"/>
      <c r="E667" s="69"/>
      <c r="F667" s="75"/>
      <c r="G667" s="76"/>
      <c r="H667" s="76"/>
      <c r="I667" s="76"/>
      <c r="J667" s="76"/>
      <c r="K667" s="76"/>
      <c r="L667" s="76"/>
      <c r="M667" s="77"/>
      <c r="N667" s="77"/>
      <c r="O667" s="78"/>
      <c r="P667" s="78"/>
      <c r="Q667" s="76"/>
    </row>
    <row r="668" spans="1:17" ht="19.899999999999999" customHeight="1" x14ac:dyDescent="0.25">
      <c r="A668" s="74"/>
      <c r="B668" s="74"/>
      <c r="C668" s="74"/>
      <c r="D668" s="74"/>
      <c r="E668" s="69"/>
      <c r="F668" s="75"/>
      <c r="G668" s="76"/>
      <c r="H668" s="76"/>
      <c r="I668" s="76"/>
      <c r="J668" s="76"/>
      <c r="K668" s="76"/>
      <c r="L668" s="76"/>
      <c r="M668" s="77"/>
      <c r="N668" s="77"/>
      <c r="O668" s="78"/>
      <c r="P668" s="78"/>
      <c r="Q668" s="76"/>
    </row>
    <row r="669" spans="1:17" ht="19.899999999999999" customHeight="1" x14ac:dyDescent="0.25">
      <c r="A669" s="74"/>
      <c r="B669" s="74"/>
      <c r="C669" s="74"/>
      <c r="D669" s="74"/>
      <c r="E669" s="69"/>
      <c r="F669" s="75"/>
      <c r="G669" s="76"/>
      <c r="H669" s="76"/>
      <c r="I669" s="76"/>
      <c r="J669" s="76"/>
      <c r="K669" s="76"/>
      <c r="L669" s="76"/>
      <c r="M669" s="77"/>
      <c r="N669" s="77"/>
      <c r="O669" s="78"/>
      <c r="P669" s="78"/>
      <c r="Q669" s="76"/>
    </row>
    <row r="670" spans="1:17" ht="19.899999999999999" customHeight="1" x14ac:dyDescent="0.25">
      <c r="A670" s="74"/>
      <c r="B670" s="74"/>
      <c r="C670" s="74"/>
      <c r="D670" s="74"/>
      <c r="E670" s="69"/>
      <c r="F670" s="75"/>
      <c r="G670" s="76"/>
      <c r="H670" s="76"/>
      <c r="I670" s="76"/>
      <c r="J670" s="76"/>
      <c r="K670" s="76"/>
      <c r="L670" s="76"/>
      <c r="M670" s="77"/>
      <c r="N670" s="77"/>
      <c r="O670" s="78"/>
      <c r="P670" s="78"/>
      <c r="Q670" s="76"/>
    </row>
    <row r="671" spans="1:17" ht="19.899999999999999" customHeight="1" x14ac:dyDescent="0.25">
      <c r="A671" s="74"/>
      <c r="B671" s="74"/>
      <c r="C671" s="74"/>
      <c r="D671" s="74"/>
      <c r="E671" s="69"/>
      <c r="F671" s="75"/>
      <c r="G671" s="76"/>
      <c r="H671" s="76"/>
      <c r="I671" s="76"/>
      <c r="J671" s="76"/>
      <c r="K671" s="76"/>
      <c r="L671" s="76"/>
      <c r="M671" s="77"/>
      <c r="N671" s="77"/>
      <c r="O671" s="78"/>
      <c r="P671" s="78"/>
      <c r="Q671" s="76"/>
    </row>
    <row r="672" spans="1:17" ht="19.899999999999999" customHeight="1" x14ac:dyDescent="0.25">
      <c r="A672" s="74"/>
      <c r="B672" s="74"/>
      <c r="C672" s="74"/>
      <c r="D672" s="74"/>
      <c r="E672" s="69"/>
      <c r="F672" s="75"/>
      <c r="G672" s="76"/>
      <c r="H672" s="76"/>
      <c r="I672" s="76"/>
      <c r="J672" s="76"/>
      <c r="K672" s="76"/>
      <c r="L672" s="76"/>
      <c r="M672" s="77"/>
      <c r="N672" s="77"/>
      <c r="O672" s="78"/>
      <c r="P672" s="78"/>
      <c r="Q672" s="76"/>
    </row>
    <row r="673" spans="1:17" ht="19.899999999999999" customHeight="1" x14ac:dyDescent="0.25">
      <c r="A673" s="74"/>
      <c r="B673" s="74"/>
      <c r="C673" s="74"/>
      <c r="D673" s="74"/>
      <c r="E673" s="69"/>
      <c r="F673" s="75"/>
      <c r="G673" s="76"/>
      <c r="H673" s="76"/>
      <c r="I673" s="76"/>
      <c r="J673" s="76"/>
      <c r="K673" s="76"/>
      <c r="L673" s="76"/>
      <c r="M673" s="77"/>
      <c r="N673" s="77"/>
      <c r="O673" s="78"/>
      <c r="P673" s="78"/>
      <c r="Q673" s="76"/>
    </row>
    <row r="674" spans="1:17" ht="19.899999999999999" customHeight="1" x14ac:dyDescent="0.25">
      <c r="A674" s="74"/>
      <c r="B674" s="74"/>
      <c r="C674" s="74"/>
      <c r="D674" s="74"/>
      <c r="E674" s="69"/>
      <c r="F674" s="75"/>
      <c r="G674" s="76"/>
      <c r="H674" s="76"/>
      <c r="I674" s="76"/>
      <c r="J674" s="76"/>
      <c r="K674" s="76"/>
      <c r="L674" s="76"/>
      <c r="M674" s="77"/>
      <c r="N674" s="77"/>
      <c r="O674" s="78"/>
      <c r="P674" s="78"/>
      <c r="Q674" s="76"/>
    </row>
    <row r="675" spans="1:17" ht="19.899999999999999" customHeight="1" x14ac:dyDescent="0.25">
      <c r="A675" s="74"/>
      <c r="B675" s="74"/>
      <c r="C675" s="74"/>
      <c r="D675" s="74"/>
      <c r="E675" s="69"/>
      <c r="F675" s="75"/>
      <c r="G675" s="76"/>
      <c r="H675" s="76"/>
      <c r="I675" s="76"/>
      <c r="J675" s="76"/>
      <c r="K675" s="76"/>
      <c r="L675" s="76"/>
      <c r="M675" s="77"/>
      <c r="N675" s="77"/>
      <c r="O675" s="78"/>
      <c r="P675" s="78"/>
      <c r="Q675" s="76"/>
    </row>
    <row r="676" spans="1:17" ht="19.899999999999999" customHeight="1" x14ac:dyDescent="0.25">
      <c r="A676" s="74"/>
      <c r="B676" s="74"/>
      <c r="C676" s="74"/>
      <c r="D676" s="74"/>
      <c r="E676" s="69"/>
      <c r="F676" s="75"/>
      <c r="G676" s="76"/>
      <c r="H676" s="76"/>
      <c r="I676" s="76"/>
      <c r="J676" s="76"/>
      <c r="K676" s="76"/>
      <c r="L676" s="76"/>
      <c r="M676" s="77"/>
      <c r="N676" s="77"/>
      <c r="O676" s="78"/>
      <c r="P676" s="78"/>
      <c r="Q676" s="76"/>
    </row>
    <row r="677" spans="1:17" ht="19.899999999999999" customHeight="1" x14ac:dyDescent="0.25">
      <c r="A677" s="74"/>
      <c r="B677" s="74"/>
      <c r="C677" s="74"/>
      <c r="D677" s="74"/>
      <c r="E677" s="69"/>
      <c r="F677" s="75"/>
      <c r="G677" s="76"/>
      <c r="H677" s="76"/>
      <c r="I677" s="76"/>
      <c r="J677" s="76"/>
      <c r="K677" s="76"/>
      <c r="L677" s="76"/>
      <c r="M677" s="77"/>
      <c r="N677" s="77"/>
      <c r="O677" s="78"/>
      <c r="P677" s="78"/>
      <c r="Q677" s="76"/>
    </row>
    <row r="678" spans="1:17" ht="19.899999999999999" customHeight="1" x14ac:dyDescent="0.25">
      <c r="A678" s="74"/>
      <c r="B678" s="74"/>
      <c r="C678" s="74"/>
      <c r="D678" s="74"/>
      <c r="E678" s="69"/>
      <c r="F678" s="75"/>
      <c r="G678" s="76"/>
      <c r="H678" s="76"/>
      <c r="I678" s="76"/>
      <c r="J678" s="76"/>
      <c r="K678" s="76"/>
      <c r="L678" s="76"/>
      <c r="M678" s="77"/>
      <c r="N678" s="77"/>
      <c r="O678" s="78"/>
      <c r="P678" s="78"/>
      <c r="Q678" s="76"/>
    </row>
    <row r="679" spans="1:17" ht="19.899999999999999" customHeight="1" x14ac:dyDescent="0.25">
      <c r="A679" s="74"/>
      <c r="B679" s="74"/>
      <c r="C679" s="74"/>
      <c r="D679" s="74"/>
      <c r="E679" s="69"/>
      <c r="F679" s="75"/>
      <c r="G679" s="76"/>
      <c r="H679" s="76"/>
      <c r="I679" s="76"/>
      <c r="J679" s="76"/>
      <c r="K679" s="76"/>
      <c r="L679" s="76"/>
      <c r="M679" s="77"/>
      <c r="N679" s="77"/>
      <c r="O679" s="78"/>
      <c r="P679" s="78"/>
      <c r="Q679" s="76"/>
    </row>
    <row r="680" spans="1:17" ht="19.899999999999999" customHeight="1" x14ac:dyDescent="0.25">
      <c r="A680" s="74"/>
      <c r="B680" s="74"/>
      <c r="C680" s="74"/>
      <c r="D680" s="74"/>
      <c r="E680" s="69"/>
      <c r="F680" s="75"/>
      <c r="G680" s="76"/>
      <c r="H680" s="76"/>
      <c r="I680" s="76"/>
      <c r="J680" s="76"/>
      <c r="K680" s="76"/>
      <c r="L680" s="76"/>
      <c r="M680" s="77"/>
      <c r="N680" s="77"/>
      <c r="O680" s="78"/>
      <c r="P680" s="78"/>
      <c r="Q680" s="76"/>
    </row>
    <row r="681" spans="1:17" ht="19.899999999999999" customHeight="1" x14ac:dyDescent="0.25">
      <c r="A681" s="74"/>
      <c r="B681" s="74"/>
      <c r="C681" s="74"/>
      <c r="D681" s="74"/>
      <c r="E681" s="69"/>
      <c r="F681" s="75"/>
      <c r="G681" s="76"/>
      <c r="H681" s="76"/>
      <c r="I681" s="76"/>
      <c r="J681" s="76"/>
      <c r="K681" s="76"/>
      <c r="L681" s="76"/>
      <c r="M681" s="77"/>
      <c r="N681" s="77"/>
      <c r="O681" s="78"/>
      <c r="P681" s="78"/>
      <c r="Q681" s="76"/>
    </row>
    <row r="682" spans="1:17" ht="19.899999999999999" customHeight="1" x14ac:dyDescent="0.25">
      <c r="A682" s="74"/>
      <c r="B682" s="74"/>
      <c r="C682" s="74"/>
      <c r="D682" s="74"/>
      <c r="E682" s="69"/>
      <c r="F682" s="75"/>
      <c r="G682" s="76"/>
      <c r="H682" s="76"/>
      <c r="I682" s="76"/>
      <c r="J682" s="76"/>
      <c r="K682" s="76"/>
      <c r="L682" s="76"/>
      <c r="M682" s="77"/>
      <c r="N682" s="77"/>
      <c r="O682" s="78"/>
      <c r="P682" s="78"/>
      <c r="Q682" s="76"/>
    </row>
    <row r="683" spans="1:17" ht="19.899999999999999" customHeight="1" x14ac:dyDescent="0.25">
      <c r="A683" s="74"/>
      <c r="B683" s="74"/>
      <c r="C683" s="74"/>
      <c r="D683" s="74"/>
      <c r="E683" s="69"/>
      <c r="F683" s="75"/>
      <c r="G683" s="76"/>
      <c r="H683" s="76"/>
      <c r="I683" s="76"/>
      <c r="J683" s="76"/>
      <c r="K683" s="76"/>
      <c r="L683" s="76"/>
      <c r="M683" s="77"/>
      <c r="N683" s="77"/>
      <c r="O683" s="78"/>
      <c r="P683" s="78"/>
      <c r="Q683" s="76"/>
    </row>
    <row r="684" spans="1:17" ht="19.899999999999999" customHeight="1" x14ac:dyDescent="0.25">
      <c r="A684" s="74"/>
      <c r="B684" s="74"/>
      <c r="C684" s="74"/>
      <c r="D684" s="74"/>
      <c r="E684" s="69"/>
      <c r="F684" s="75"/>
      <c r="G684" s="76"/>
      <c r="H684" s="76"/>
      <c r="I684" s="76"/>
      <c r="J684" s="76"/>
      <c r="K684" s="76"/>
      <c r="L684" s="76"/>
      <c r="M684" s="77"/>
      <c r="N684" s="77"/>
      <c r="O684" s="78"/>
      <c r="P684" s="78"/>
      <c r="Q684" s="76"/>
    </row>
    <row r="685" spans="1:17" ht="19.899999999999999" customHeight="1" x14ac:dyDescent="0.25">
      <c r="A685" s="74"/>
      <c r="B685" s="74"/>
      <c r="C685" s="74"/>
      <c r="D685" s="74"/>
      <c r="E685" s="69"/>
      <c r="F685" s="75"/>
      <c r="G685" s="76"/>
      <c r="H685" s="76"/>
      <c r="I685" s="76"/>
      <c r="J685" s="76"/>
      <c r="K685" s="76"/>
      <c r="L685" s="76"/>
      <c r="M685" s="77"/>
      <c r="N685" s="77"/>
      <c r="O685" s="78"/>
      <c r="P685" s="78"/>
      <c r="Q685" s="76"/>
    </row>
    <row r="686" spans="1:17" ht="19.899999999999999" customHeight="1" x14ac:dyDescent="0.25">
      <c r="A686" s="74"/>
      <c r="B686" s="74"/>
      <c r="C686" s="74"/>
      <c r="D686" s="74"/>
      <c r="E686" s="69"/>
      <c r="F686" s="75"/>
      <c r="G686" s="76"/>
      <c r="H686" s="76"/>
      <c r="I686" s="76"/>
      <c r="J686" s="76"/>
      <c r="K686" s="76"/>
      <c r="L686" s="76"/>
      <c r="M686" s="77"/>
      <c r="N686" s="77"/>
      <c r="O686" s="78"/>
      <c r="P686" s="78"/>
      <c r="Q686" s="76"/>
    </row>
    <row r="687" spans="1:17" ht="19.899999999999999" customHeight="1" x14ac:dyDescent="0.25">
      <c r="A687" s="74"/>
      <c r="B687" s="74"/>
      <c r="C687" s="74"/>
      <c r="D687" s="74"/>
      <c r="E687" s="69"/>
      <c r="F687" s="75"/>
      <c r="G687" s="76"/>
      <c r="H687" s="76"/>
      <c r="I687" s="76"/>
      <c r="J687" s="76"/>
      <c r="K687" s="76"/>
      <c r="L687" s="76"/>
      <c r="M687" s="77"/>
      <c r="N687" s="77"/>
      <c r="O687" s="78"/>
      <c r="P687" s="78"/>
      <c r="Q687" s="76"/>
    </row>
    <row r="688" spans="1:17" ht="19.899999999999999" customHeight="1" x14ac:dyDescent="0.25">
      <c r="A688" s="74"/>
      <c r="B688" s="74"/>
      <c r="C688" s="74"/>
      <c r="D688" s="74"/>
      <c r="E688" s="69"/>
      <c r="F688" s="75"/>
      <c r="G688" s="76"/>
      <c r="H688" s="76"/>
      <c r="I688" s="76"/>
      <c r="J688" s="76"/>
      <c r="K688" s="76"/>
      <c r="L688" s="76"/>
      <c r="M688" s="77"/>
      <c r="N688" s="77"/>
      <c r="O688" s="78"/>
      <c r="P688" s="78"/>
      <c r="Q688" s="76"/>
    </row>
    <row r="689" spans="1:17" ht="19.899999999999999" customHeight="1" x14ac:dyDescent="0.25">
      <c r="A689" s="74"/>
      <c r="B689" s="74"/>
      <c r="C689" s="74"/>
      <c r="D689" s="74"/>
      <c r="E689" s="69"/>
      <c r="F689" s="75"/>
      <c r="G689" s="76"/>
      <c r="H689" s="76"/>
      <c r="I689" s="76"/>
      <c r="J689" s="76"/>
      <c r="K689" s="76"/>
      <c r="L689" s="76"/>
      <c r="M689" s="77"/>
      <c r="N689" s="77"/>
      <c r="O689" s="78"/>
      <c r="P689" s="78"/>
      <c r="Q689" s="76"/>
    </row>
    <row r="690" spans="1:17" ht="19.899999999999999" customHeight="1" x14ac:dyDescent="0.25">
      <c r="A690" s="74"/>
      <c r="B690" s="74"/>
      <c r="C690" s="74"/>
      <c r="D690" s="74"/>
      <c r="E690" s="69"/>
      <c r="F690" s="75"/>
      <c r="G690" s="76"/>
      <c r="H690" s="76"/>
      <c r="I690" s="76"/>
      <c r="J690" s="76"/>
      <c r="K690" s="76"/>
      <c r="L690" s="76"/>
      <c r="M690" s="77"/>
      <c r="N690" s="77"/>
      <c r="O690" s="78"/>
      <c r="P690" s="78"/>
      <c r="Q690" s="76"/>
    </row>
    <row r="691" spans="1:17" ht="19.899999999999999" customHeight="1" x14ac:dyDescent="0.25">
      <c r="A691" s="74"/>
      <c r="B691" s="74"/>
      <c r="C691" s="74"/>
      <c r="D691" s="74"/>
      <c r="E691" s="69"/>
      <c r="F691" s="75"/>
      <c r="G691" s="76"/>
      <c r="H691" s="76"/>
      <c r="I691" s="76"/>
      <c r="J691" s="76"/>
      <c r="K691" s="76"/>
      <c r="L691" s="76"/>
      <c r="M691" s="77"/>
      <c r="N691" s="77"/>
      <c r="O691" s="78"/>
      <c r="P691" s="78"/>
      <c r="Q691" s="76"/>
    </row>
    <row r="692" spans="1:17" ht="19.899999999999999" customHeight="1" x14ac:dyDescent="0.25">
      <c r="A692" s="74"/>
      <c r="B692" s="74"/>
      <c r="C692" s="74"/>
      <c r="D692" s="74"/>
      <c r="E692" s="69"/>
      <c r="F692" s="75"/>
      <c r="G692" s="76"/>
      <c r="H692" s="76"/>
      <c r="I692" s="76"/>
      <c r="J692" s="76"/>
      <c r="K692" s="76"/>
      <c r="L692" s="76"/>
      <c r="M692" s="77"/>
      <c r="N692" s="77"/>
      <c r="O692" s="78"/>
      <c r="P692" s="78"/>
      <c r="Q692" s="76"/>
    </row>
    <row r="693" spans="1:17" ht="19.899999999999999" customHeight="1" x14ac:dyDescent="0.25">
      <c r="A693" s="74"/>
      <c r="B693" s="74"/>
      <c r="C693" s="74"/>
      <c r="D693" s="74"/>
      <c r="E693" s="69"/>
      <c r="F693" s="75"/>
      <c r="G693" s="76"/>
      <c r="H693" s="76"/>
      <c r="I693" s="76"/>
      <c r="J693" s="76"/>
      <c r="K693" s="76"/>
      <c r="L693" s="76"/>
      <c r="M693" s="77"/>
      <c r="N693" s="77"/>
      <c r="O693" s="78"/>
      <c r="P693" s="78"/>
      <c r="Q693" s="76"/>
    </row>
    <row r="694" spans="1:17" ht="19.899999999999999" customHeight="1" x14ac:dyDescent="0.25">
      <c r="A694" s="74"/>
      <c r="B694" s="74"/>
      <c r="C694" s="74"/>
      <c r="D694" s="74"/>
      <c r="E694" s="69"/>
      <c r="F694" s="75"/>
      <c r="G694" s="76"/>
      <c r="H694" s="76"/>
      <c r="I694" s="76"/>
      <c r="J694" s="76"/>
      <c r="K694" s="76"/>
      <c r="L694" s="76"/>
      <c r="M694" s="77"/>
      <c r="N694" s="77"/>
      <c r="O694" s="78"/>
      <c r="P694" s="78"/>
      <c r="Q694" s="76"/>
    </row>
    <row r="695" spans="1:17" ht="19.899999999999999" customHeight="1" x14ac:dyDescent="0.25">
      <c r="A695" s="74"/>
      <c r="B695" s="74"/>
      <c r="C695" s="74"/>
      <c r="D695" s="74"/>
      <c r="E695" s="69"/>
      <c r="F695" s="75"/>
      <c r="G695" s="76"/>
      <c r="H695" s="76"/>
      <c r="I695" s="76"/>
      <c r="J695" s="76"/>
      <c r="K695" s="76"/>
      <c r="L695" s="76"/>
      <c r="M695" s="77"/>
      <c r="N695" s="77"/>
      <c r="O695" s="78"/>
      <c r="P695" s="78"/>
      <c r="Q695" s="76"/>
    </row>
    <row r="696" spans="1:17" ht="19.899999999999999" customHeight="1" x14ac:dyDescent="0.25">
      <c r="A696" s="74"/>
      <c r="B696" s="74"/>
      <c r="C696" s="74"/>
      <c r="D696" s="74"/>
      <c r="E696" s="69"/>
      <c r="F696" s="75"/>
      <c r="G696" s="76"/>
      <c r="H696" s="76"/>
      <c r="I696" s="76"/>
      <c r="J696" s="76"/>
      <c r="K696" s="76"/>
      <c r="L696" s="76"/>
      <c r="M696" s="77"/>
      <c r="N696" s="77"/>
      <c r="O696" s="78"/>
      <c r="P696" s="78"/>
      <c r="Q696" s="76"/>
    </row>
    <row r="697" spans="1:17" ht="19.899999999999999" customHeight="1" x14ac:dyDescent="0.25">
      <c r="A697" s="74"/>
      <c r="B697" s="74"/>
      <c r="C697" s="74"/>
      <c r="D697" s="74"/>
      <c r="E697" s="69"/>
      <c r="F697" s="75"/>
      <c r="G697" s="76"/>
      <c r="H697" s="76"/>
      <c r="I697" s="76"/>
      <c r="J697" s="76"/>
      <c r="K697" s="76"/>
      <c r="L697" s="76"/>
      <c r="M697" s="77"/>
      <c r="N697" s="77"/>
      <c r="O697" s="78"/>
      <c r="P697" s="78"/>
      <c r="Q697" s="76"/>
    </row>
    <row r="698" spans="1:17" ht="19.899999999999999" customHeight="1" x14ac:dyDescent="0.25">
      <c r="A698" s="74"/>
      <c r="B698" s="74"/>
      <c r="C698" s="74"/>
      <c r="D698" s="74"/>
      <c r="E698" s="69"/>
      <c r="F698" s="75"/>
      <c r="G698" s="76"/>
      <c r="H698" s="76"/>
      <c r="I698" s="76"/>
      <c r="J698" s="76"/>
      <c r="K698" s="76"/>
      <c r="L698" s="76"/>
      <c r="M698" s="77"/>
      <c r="N698" s="77"/>
      <c r="O698" s="78"/>
      <c r="P698" s="78"/>
      <c r="Q698" s="76"/>
    </row>
    <row r="699" spans="1:17" ht="19.899999999999999" customHeight="1" x14ac:dyDescent="0.25">
      <c r="A699" s="74"/>
      <c r="B699" s="74"/>
      <c r="C699" s="74"/>
      <c r="D699" s="74"/>
      <c r="E699" s="69"/>
      <c r="F699" s="75"/>
      <c r="G699" s="76"/>
      <c r="H699" s="76"/>
      <c r="I699" s="76"/>
      <c r="J699" s="76"/>
      <c r="K699" s="76"/>
      <c r="L699" s="76"/>
      <c r="M699" s="77"/>
      <c r="N699" s="77"/>
      <c r="O699" s="78"/>
      <c r="P699" s="78"/>
      <c r="Q699" s="76"/>
    </row>
    <row r="700" spans="1:17" ht="19.899999999999999" customHeight="1" x14ac:dyDescent="0.25">
      <c r="A700" s="74"/>
      <c r="B700" s="74"/>
      <c r="C700" s="74"/>
      <c r="D700" s="74"/>
      <c r="E700" s="69"/>
      <c r="F700" s="75"/>
      <c r="G700" s="76"/>
      <c r="H700" s="76"/>
      <c r="I700" s="76"/>
      <c r="J700" s="76"/>
      <c r="K700" s="76"/>
      <c r="L700" s="76"/>
      <c r="M700" s="77"/>
      <c r="N700" s="77"/>
      <c r="O700" s="78"/>
      <c r="P700" s="78"/>
      <c r="Q700" s="76"/>
    </row>
    <row r="701" spans="1:17" ht="19.899999999999999" customHeight="1" x14ac:dyDescent="0.25">
      <c r="A701" s="74"/>
      <c r="B701" s="74"/>
      <c r="C701" s="74"/>
      <c r="D701" s="74"/>
      <c r="E701" s="69"/>
      <c r="F701" s="75"/>
      <c r="G701" s="76"/>
      <c r="H701" s="76"/>
      <c r="I701" s="76"/>
      <c r="J701" s="76"/>
      <c r="K701" s="76"/>
      <c r="L701" s="76"/>
      <c r="M701" s="77"/>
      <c r="N701" s="77"/>
      <c r="O701" s="78"/>
      <c r="P701" s="78"/>
      <c r="Q701" s="76"/>
    </row>
    <row r="702" spans="1:17" ht="19.899999999999999" customHeight="1" x14ac:dyDescent="0.25">
      <c r="A702" s="74"/>
      <c r="B702" s="74"/>
      <c r="C702" s="74"/>
      <c r="D702" s="74"/>
      <c r="E702" s="69"/>
      <c r="F702" s="75"/>
      <c r="G702" s="76"/>
      <c r="H702" s="76"/>
      <c r="I702" s="76"/>
      <c r="J702" s="76"/>
      <c r="K702" s="76"/>
      <c r="L702" s="76"/>
      <c r="M702" s="77"/>
      <c r="N702" s="77"/>
      <c r="O702" s="78"/>
      <c r="P702" s="78"/>
      <c r="Q702" s="76"/>
    </row>
    <row r="703" spans="1:17" ht="19.899999999999999" customHeight="1" x14ac:dyDescent="0.25">
      <c r="A703" s="74"/>
      <c r="B703" s="74"/>
      <c r="C703" s="74"/>
      <c r="D703" s="74"/>
      <c r="E703" s="69"/>
      <c r="F703" s="75"/>
      <c r="G703" s="76"/>
      <c r="H703" s="76"/>
      <c r="I703" s="76"/>
      <c r="J703" s="76"/>
      <c r="K703" s="76"/>
      <c r="L703" s="76"/>
      <c r="M703" s="77"/>
      <c r="N703" s="77"/>
      <c r="O703" s="78"/>
      <c r="P703" s="78"/>
      <c r="Q703" s="76"/>
    </row>
    <row r="704" spans="1:17" ht="19.899999999999999" customHeight="1" x14ac:dyDescent="0.25">
      <c r="A704" s="74"/>
      <c r="B704" s="74"/>
      <c r="C704" s="74"/>
      <c r="D704" s="74"/>
      <c r="E704" s="69"/>
      <c r="F704" s="75"/>
      <c r="G704" s="76"/>
      <c r="H704" s="76"/>
      <c r="I704" s="76"/>
      <c r="J704" s="76"/>
      <c r="K704" s="76"/>
      <c r="L704" s="76"/>
      <c r="M704" s="77"/>
      <c r="N704" s="77"/>
      <c r="O704" s="78"/>
      <c r="P704" s="78"/>
      <c r="Q704" s="76"/>
    </row>
    <row r="705" spans="1:17" ht="19.899999999999999" customHeight="1" x14ac:dyDescent="0.25">
      <c r="A705" s="74"/>
      <c r="B705" s="74"/>
      <c r="C705" s="74"/>
      <c r="D705" s="74"/>
      <c r="E705" s="69"/>
      <c r="F705" s="75"/>
      <c r="G705" s="76"/>
      <c r="H705" s="76"/>
      <c r="I705" s="76"/>
      <c r="J705" s="76"/>
      <c r="K705" s="76"/>
      <c r="L705" s="76"/>
      <c r="M705" s="77"/>
      <c r="N705" s="77"/>
      <c r="O705" s="78"/>
      <c r="P705" s="78"/>
      <c r="Q705" s="76"/>
    </row>
    <row r="706" spans="1:17" ht="19.899999999999999" customHeight="1" x14ac:dyDescent="0.25">
      <c r="A706" s="74"/>
      <c r="B706" s="74"/>
      <c r="C706" s="74"/>
      <c r="D706" s="74"/>
      <c r="E706" s="69"/>
      <c r="F706" s="75"/>
      <c r="G706" s="76"/>
      <c r="H706" s="76"/>
      <c r="I706" s="76"/>
      <c r="J706" s="76"/>
      <c r="K706" s="76"/>
      <c r="L706" s="76"/>
      <c r="M706" s="77"/>
      <c r="N706" s="77"/>
      <c r="O706" s="78"/>
      <c r="P706" s="78"/>
      <c r="Q706" s="76"/>
    </row>
    <row r="707" spans="1:17" ht="19.899999999999999" customHeight="1" x14ac:dyDescent="0.25">
      <c r="A707" s="74"/>
      <c r="B707" s="74"/>
      <c r="C707" s="74"/>
      <c r="D707" s="74"/>
      <c r="E707" s="69"/>
      <c r="F707" s="75"/>
      <c r="G707" s="76"/>
      <c r="H707" s="76"/>
      <c r="I707" s="76"/>
      <c r="J707" s="76"/>
      <c r="K707" s="76"/>
      <c r="L707" s="76"/>
      <c r="M707" s="77"/>
      <c r="N707" s="77"/>
      <c r="O707" s="78"/>
      <c r="P707" s="78"/>
      <c r="Q707" s="76"/>
    </row>
    <row r="708" spans="1:17" ht="19.899999999999999" customHeight="1" x14ac:dyDescent="0.25">
      <c r="A708" s="74"/>
      <c r="B708" s="74"/>
      <c r="C708" s="74"/>
      <c r="D708" s="74"/>
      <c r="E708" s="69"/>
      <c r="F708" s="75"/>
      <c r="G708" s="76"/>
      <c r="H708" s="76"/>
      <c r="I708" s="76"/>
      <c r="J708" s="76"/>
      <c r="K708" s="76"/>
      <c r="L708" s="76"/>
      <c r="M708" s="77"/>
      <c r="N708" s="77"/>
      <c r="O708" s="78"/>
      <c r="P708" s="78"/>
      <c r="Q708" s="76"/>
    </row>
    <row r="709" spans="1:17" ht="19.899999999999999" customHeight="1" x14ac:dyDescent="0.25">
      <c r="A709" s="74"/>
      <c r="B709" s="74"/>
      <c r="C709" s="74"/>
      <c r="D709" s="74"/>
      <c r="E709" s="69"/>
      <c r="F709" s="75"/>
      <c r="G709" s="76"/>
      <c r="H709" s="76"/>
      <c r="I709" s="76"/>
      <c r="J709" s="76"/>
      <c r="K709" s="76"/>
      <c r="L709" s="76"/>
      <c r="M709" s="77"/>
      <c r="N709" s="77"/>
      <c r="O709" s="78"/>
      <c r="P709" s="78"/>
      <c r="Q709" s="76"/>
    </row>
    <row r="710" spans="1:17" ht="19.899999999999999" customHeight="1" x14ac:dyDescent="0.25">
      <c r="A710" s="74"/>
      <c r="B710" s="74"/>
      <c r="C710" s="74"/>
      <c r="D710" s="74"/>
      <c r="E710" s="69"/>
      <c r="F710" s="75"/>
      <c r="G710" s="76"/>
      <c r="H710" s="76"/>
      <c r="I710" s="76"/>
      <c r="J710" s="76"/>
      <c r="K710" s="76"/>
      <c r="L710" s="76"/>
      <c r="M710" s="77"/>
      <c r="N710" s="77"/>
      <c r="O710" s="78"/>
      <c r="P710" s="78"/>
      <c r="Q710" s="76"/>
    </row>
    <row r="711" spans="1:17" ht="19.899999999999999" customHeight="1" x14ac:dyDescent="0.25">
      <c r="A711" s="74"/>
      <c r="B711" s="74"/>
      <c r="C711" s="74"/>
      <c r="D711" s="74"/>
      <c r="E711" s="69"/>
      <c r="F711" s="75"/>
      <c r="G711" s="76"/>
      <c r="H711" s="76"/>
      <c r="I711" s="76"/>
      <c r="J711" s="76"/>
      <c r="K711" s="76"/>
      <c r="L711" s="76"/>
      <c r="M711" s="77"/>
      <c r="N711" s="77"/>
      <c r="O711" s="78"/>
      <c r="P711" s="78"/>
      <c r="Q711" s="76"/>
    </row>
    <row r="712" spans="1:17" ht="19.899999999999999" customHeight="1" x14ac:dyDescent="0.25">
      <c r="A712" s="74"/>
      <c r="B712" s="74"/>
      <c r="C712" s="74"/>
      <c r="D712" s="74"/>
      <c r="E712" s="69"/>
      <c r="F712" s="75"/>
      <c r="G712" s="76"/>
      <c r="H712" s="76"/>
      <c r="I712" s="76"/>
      <c r="J712" s="76"/>
      <c r="K712" s="76"/>
      <c r="L712" s="76"/>
      <c r="M712" s="77"/>
      <c r="N712" s="77"/>
      <c r="O712" s="78"/>
      <c r="P712" s="78"/>
      <c r="Q712" s="76"/>
    </row>
    <row r="713" spans="1:17" ht="19.899999999999999" customHeight="1" x14ac:dyDescent="0.25">
      <c r="A713" s="74"/>
      <c r="B713" s="74"/>
      <c r="C713" s="74"/>
      <c r="D713" s="74"/>
      <c r="E713" s="69"/>
      <c r="F713" s="75"/>
      <c r="G713" s="76"/>
      <c r="H713" s="76"/>
      <c r="I713" s="76"/>
      <c r="J713" s="76"/>
      <c r="K713" s="76"/>
      <c r="L713" s="76"/>
      <c r="M713" s="77"/>
      <c r="N713" s="77"/>
      <c r="O713" s="78"/>
      <c r="P713" s="78"/>
      <c r="Q713" s="76"/>
    </row>
    <row r="714" spans="1:17" ht="19.899999999999999" customHeight="1" x14ac:dyDescent="0.25">
      <c r="A714" s="74"/>
      <c r="B714" s="74"/>
      <c r="C714" s="74"/>
      <c r="D714" s="74"/>
      <c r="E714" s="69"/>
      <c r="F714" s="75"/>
      <c r="G714" s="76"/>
      <c r="H714" s="76"/>
      <c r="I714" s="76"/>
      <c r="J714" s="76"/>
      <c r="K714" s="76"/>
      <c r="L714" s="76"/>
      <c r="M714" s="77"/>
      <c r="N714" s="77"/>
      <c r="O714" s="78"/>
      <c r="P714" s="78"/>
      <c r="Q714" s="76"/>
    </row>
    <row r="715" spans="1:17" ht="19.899999999999999" customHeight="1" x14ac:dyDescent="0.25">
      <c r="A715" s="74"/>
      <c r="B715" s="74"/>
      <c r="C715" s="74"/>
      <c r="D715" s="74"/>
      <c r="E715" s="69"/>
      <c r="F715" s="75"/>
      <c r="G715" s="76"/>
      <c r="H715" s="76"/>
      <c r="I715" s="76"/>
      <c r="J715" s="76"/>
      <c r="K715" s="76"/>
      <c r="L715" s="76"/>
      <c r="M715" s="77"/>
      <c r="N715" s="77"/>
      <c r="O715" s="78"/>
      <c r="P715" s="78"/>
      <c r="Q715" s="76"/>
    </row>
    <row r="716" spans="1:17" ht="19.899999999999999" customHeight="1" x14ac:dyDescent="0.25">
      <c r="A716" s="74"/>
      <c r="B716" s="74"/>
      <c r="C716" s="74"/>
      <c r="D716" s="74"/>
      <c r="E716" s="69"/>
      <c r="F716" s="75"/>
      <c r="G716" s="76"/>
      <c r="H716" s="76"/>
      <c r="I716" s="76"/>
      <c r="J716" s="76"/>
      <c r="K716" s="76"/>
      <c r="L716" s="76"/>
      <c r="M716" s="77"/>
      <c r="N716" s="77"/>
      <c r="O716" s="78"/>
      <c r="P716" s="78"/>
      <c r="Q716" s="76"/>
    </row>
    <row r="717" spans="1:17" ht="19.899999999999999" customHeight="1" x14ac:dyDescent="0.25">
      <c r="A717" s="74"/>
      <c r="B717" s="74"/>
      <c r="C717" s="74"/>
      <c r="D717" s="74"/>
      <c r="E717" s="69"/>
      <c r="F717" s="75"/>
      <c r="G717" s="76"/>
      <c r="H717" s="76"/>
      <c r="I717" s="76"/>
      <c r="J717" s="76"/>
      <c r="K717" s="76"/>
      <c r="L717" s="76"/>
      <c r="M717" s="77"/>
      <c r="N717" s="77"/>
      <c r="O717" s="78"/>
      <c r="P717" s="78"/>
      <c r="Q717" s="76"/>
    </row>
    <row r="718" spans="1:17" ht="19.899999999999999" customHeight="1" x14ac:dyDescent="0.25">
      <c r="A718" s="74"/>
      <c r="B718" s="74"/>
      <c r="C718" s="74"/>
      <c r="D718" s="74"/>
      <c r="E718" s="69"/>
      <c r="F718" s="75"/>
      <c r="G718" s="76"/>
      <c r="H718" s="76"/>
      <c r="I718" s="76"/>
      <c r="J718" s="76"/>
      <c r="K718" s="76"/>
      <c r="L718" s="76"/>
      <c r="M718" s="77"/>
      <c r="N718" s="77"/>
      <c r="O718" s="78"/>
      <c r="P718" s="78"/>
      <c r="Q718" s="76"/>
    </row>
    <row r="719" spans="1:17" ht="19.899999999999999" customHeight="1" x14ac:dyDescent="0.25">
      <c r="A719" s="74"/>
      <c r="B719" s="74"/>
      <c r="C719" s="74"/>
      <c r="D719" s="74"/>
      <c r="E719" s="69"/>
      <c r="F719" s="75"/>
      <c r="G719" s="76"/>
      <c r="H719" s="76"/>
      <c r="I719" s="76"/>
      <c r="J719" s="76"/>
      <c r="K719" s="76"/>
      <c r="L719" s="76"/>
      <c r="M719" s="77"/>
      <c r="N719" s="77"/>
      <c r="O719" s="78"/>
      <c r="P719" s="78"/>
      <c r="Q719" s="76"/>
    </row>
    <row r="720" spans="1:17" ht="19.899999999999999" customHeight="1" x14ac:dyDescent="0.25">
      <c r="A720" s="74"/>
      <c r="B720" s="74"/>
      <c r="C720" s="74"/>
      <c r="D720" s="74"/>
      <c r="E720" s="69"/>
      <c r="F720" s="75"/>
      <c r="G720" s="76"/>
      <c r="H720" s="76"/>
      <c r="I720" s="76"/>
      <c r="J720" s="76"/>
      <c r="K720" s="76"/>
      <c r="L720" s="76"/>
      <c r="M720" s="77"/>
      <c r="N720" s="77"/>
      <c r="O720" s="78"/>
      <c r="P720" s="78"/>
      <c r="Q720" s="76"/>
    </row>
    <row r="721" spans="1:17" ht="19.899999999999999" customHeight="1" x14ac:dyDescent="0.25">
      <c r="A721" s="74"/>
      <c r="B721" s="74"/>
      <c r="C721" s="74"/>
      <c r="D721" s="74"/>
      <c r="E721" s="69"/>
      <c r="F721" s="75"/>
      <c r="G721" s="76"/>
      <c r="H721" s="76"/>
      <c r="I721" s="76"/>
      <c r="J721" s="76"/>
      <c r="K721" s="76"/>
      <c r="L721" s="76"/>
      <c r="M721" s="77"/>
      <c r="N721" s="77"/>
      <c r="O721" s="78"/>
      <c r="P721" s="78"/>
      <c r="Q721" s="76"/>
    </row>
    <row r="722" spans="1:17" ht="19.899999999999999" customHeight="1" x14ac:dyDescent="0.25">
      <c r="A722" s="74"/>
      <c r="B722" s="74"/>
      <c r="C722" s="74"/>
      <c r="D722" s="74"/>
      <c r="E722" s="69"/>
      <c r="F722" s="75"/>
      <c r="G722" s="76"/>
      <c r="H722" s="76"/>
      <c r="I722" s="76"/>
      <c r="J722" s="76"/>
      <c r="K722" s="76"/>
      <c r="L722" s="76"/>
      <c r="M722" s="77"/>
      <c r="N722" s="77"/>
      <c r="O722" s="78"/>
      <c r="P722" s="78"/>
      <c r="Q722" s="76"/>
    </row>
    <row r="723" spans="1:17" ht="19.899999999999999" customHeight="1" x14ac:dyDescent="0.25">
      <c r="A723" s="74"/>
      <c r="B723" s="74"/>
      <c r="C723" s="74"/>
      <c r="D723" s="74"/>
      <c r="E723" s="69"/>
      <c r="F723" s="75"/>
      <c r="G723" s="76"/>
      <c r="H723" s="76"/>
      <c r="I723" s="76"/>
      <c r="J723" s="76"/>
      <c r="K723" s="76"/>
      <c r="L723" s="76"/>
      <c r="M723" s="77"/>
      <c r="N723" s="77"/>
      <c r="O723" s="78"/>
      <c r="P723" s="78"/>
      <c r="Q723" s="76"/>
    </row>
    <row r="724" spans="1:17" ht="19.899999999999999" customHeight="1" x14ac:dyDescent="0.25">
      <c r="A724" s="74"/>
      <c r="B724" s="74"/>
      <c r="C724" s="74"/>
      <c r="D724" s="74"/>
      <c r="E724" s="69"/>
      <c r="F724" s="75"/>
      <c r="G724" s="76"/>
      <c r="H724" s="76"/>
      <c r="I724" s="76"/>
      <c r="J724" s="76"/>
      <c r="K724" s="76"/>
      <c r="L724" s="76"/>
      <c r="M724" s="77"/>
      <c r="N724" s="77"/>
      <c r="O724" s="78"/>
      <c r="P724" s="78"/>
      <c r="Q724" s="76"/>
    </row>
    <row r="725" spans="1:17" ht="19.899999999999999" customHeight="1" x14ac:dyDescent="0.25">
      <c r="A725" s="74"/>
      <c r="B725" s="74"/>
      <c r="C725" s="74"/>
      <c r="D725" s="74"/>
      <c r="E725" s="69"/>
      <c r="F725" s="75"/>
      <c r="G725" s="76"/>
      <c r="H725" s="76"/>
      <c r="I725" s="76"/>
      <c r="J725" s="76"/>
      <c r="K725" s="76"/>
      <c r="L725" s="76"/>
      <c r="M725" s="77"/>
      <c r="N725" s="77"/>
      <c r="O725" s="78"/>
      <c r="P725" s="78"/>
      <c r="Q725" s="76"/>
    </row>
    <row r="726" spans="1:17" ht="19.899999999999999" customHeight="1" x14ac:dyDescent="0.25">
      <c r="A726" s="74"/>
      <c r="B726" s="74"/>
      <c r="C726" s="74"/>
      <c r="D726" s="74"/>
      <c r="E726" s="69"/>
      <c r="F726" s="75"/>
      <c r="G726" s="76"/>
      <c r="H726" s="76"/>
      <c r="I726" s="76"/>
      <c r="J726" s="76"/>
      <c r="K726" s="76"/>
      <c r="L726" s="76"/>
      <c r="M726" s="77"/>
      <c r="N726" s="77"/>
      <c r="O726" s="78"/>
      <c r="P726" s="78"/>
      <c r="Q726" s="76"/>
    </row>
    <row r="727" spans="1:17" ht="19.899999999999999" customHeight="1" x14ac:dyDescent="0.25">
      <c r="A727" s="74"/>
      <c r="B727" s="74"/>
      <c r="C727" s="74"/>
      <c r="D727" s="74"/>
      <c r="E727" s="69"/>
      <c r="F727" s="75"/>
      <c r="G727" s="76"/>
      <c r="H727" s="76"/>
      <c r="I727" s="76"/>
      <c r="J727" s="76"/>
      <c r="K727" s="76"/>
      <c r="L727" s="76"/>
      <c r="M727" s="77"/>
      <c r="N727" s="77"/>
      <c r="O727" s="78"/>
      <c r="P727" s="78"/>
      <c r="Q727" s="76"/>
    </row>
    <row r="728" spans="1:17" ht="19.899999999999999" customHeight="1" x14ac:dyDescent="0.25">
      <c r="A728" s="74"/>
      <c r="B728" s="74"/>
      <c r="C728" s="74"/>
      <c r="D728" s="74"/>
      <c r="E728" s="69"/>
      <c r="F728" s="75"/>
      <c r="G728" s="76"/>
      <c r="H728" s="76"/>
      <c r="I728" s="76"/>
      <c r="J728" s="76"/>
      <c r="K728" s="76"/>
      <c r="L728" s="76"/>
      <c r="M728" s="77"/>
      <c r="N728" s="77"/>
      <c r="O728" s="78"/>
      <c r="P728" s="78"/>
      <c r="Q728" s="76"/>
    </row>
    <row r="729" spans="1:17" ht="19.899999999999999" customHeight="1" x14ac:dyDescent="0.25">
      <c r="A729" s="74"/>
      <c r="B729" s="74"/>
      <c r="C729" s="74"/>
      <c r="D729" s="74"/>
      <c r="E729" s="69"/>
      <c r="F729" s="75"/>
      <c r="G729" s="76"/>
      <c r="H729" s="76"/>
      <c r="I729" s="76"/>
      <c r="J729" s="76"/>
      <c r="K729" s="76"/>
      <c r="L729" s="76"/>
      <c r="M729" s="77"/>
      <c r="N729" s="77"/>
      <c r="O729" s="78"/>
      <c r="P729" s="78"/>
      <c r="Q729" s="76"/>
    </row>
    <row r="730" spans="1:17" ht="19.899999999999999" customHeight="1" x14ac:dyDescent="0.25">
      <c r="A730" s="74"/>
      <c r="B730" s="74"/>
      <c r="C730" s="74"/>
      <c r="D730" s="74"/>
      <c r="E730" s="69"/>
      <c r="F730" s="75"/>
      <c r="G730" s="76"/>
      <c r="H730" s="76"/>
      <c r="I730" s="76"/>
      <c r="J730" s="76"/>
      <c r="K730" s="76"/>
      <c r="L730" s="76"/>
      <c r="M730" s="77"/>
      <c r="N730" s="77"/>
      <c r="O730" s="78"/>
      <c r="P730" s="78"/>
      <c r="Q730" s="76"/>
    </row>
    <row r="731" spans="1:17" ht="19.899999999999999" customHeight="1" x14ac:dyDescent="0.25">
      <c r="A731" s="74"/>
      <c r="B731" s="74"/>
      <c r="C731" s="74"/>
      <c r="D731" s="74"/>
      <c r="E731" s="69"/>
      <c r="F731" s="75"/>
      <c r="G731" s="76"/>
      <c r="H731" s="76"/>
      <c r="I731" s="76"/>
      <c r="J731" s="76"/>
      <c r="K731" s="76"/>
      <c r="L731" s="76"/>
      <c r="M731" s="77"/>
      <c r="N731" s="77"/>
      <c r="O731" s="78"/>
      <c r="P731" s="78"/>
      <c r="Q731" s="76"/>
    </row>
    <row r="732" spans="1:17" ht="19.899999999999999" customHeight="1" x14ac:dyDescent="0.25">
      <c r="A732" s="74"/>
      <c r="B732" s="74"/>
      <c r="C732" s="74"/>
      <c r="D732" s="74"/>
      <c r="E732" s="69"/>
      <c r="F732" s="75"/>
      <c r="G732" s="76"/>
      <c r="H732" s="76"/>
      <c r="I732" s="76"/>
      <c r="J732" s="76"/>
      <c r="K732" s="76"/>
      <c r="L732" s="76"/>
      <c r="M732" s="77"/>
      <c r="N732" s="77"/>
      <c r="O732" s="78"/>
      <c r="P732" s="78"/>
      <c r="Q732" s="76"/>
    </row>
    <row r="733" spans="1:17" ht="19.899999999999999" customHeight="1" x14ac:dyDescent="0.25">
      <c r="A733" s="74"/>
      <c r="B733" s="74"/>
      <c r="C733" s="74"/>
      <c r="D733" s="74"/>
      <c r="E733" s="69"/>
      <c r="F733" s="75"/>
      <c r="G733" s="76"/>
      <c r="H733" s="76"/>
      <c r="I733" s="76"/>
      <c r="J733" s="76"/>
      <c r="K733" s="76"/>
      <c r="L733" s="76"/>
      <c r="M733" s="77"/>
      <c r="N733" s="77"/>
      <c r="O733" s="78"/>
      <c r="P733" s="78"/>
      <c r="Q733" s="76"/>
    </row>
    <row r="734" spans="1:17" ht="19.899999999999999" customHeight="1" x14ac:dyDescent="0.25">
      <c r="A734" s="74"/>
      <c r="B734" s="74"/>
      <c r="C734" s="74"/>
      <c r="D734" s="74"/>
      <c r="E734" s="69"/>
      <c r="F734" s="75"/>
      <c r="G734" s="76"/>
      <c r="H734" s="76"/>
      <c r="I734" s="76"/>
      <c r="J734" s="76"/>
      <c r="K734" s="76"/>
      <c r="L734" s="76"/>
      <c r="M734" s="77"/>
      <c r="N734" s="77"/>
      <c r="O734" s="78"/>
      <c r="P734" s="78"/>
      <c r="Q734" s="76"/>
    </row>
    <row r="735" spans="1:17" ht="19.899999999999999" customHeight="1" x14ac:dyDescent="0.25">
      <c r="A735" s="74"/>
      <c r="B735" s="74"/>
      <c r="C735" s="74"/>
      <c r="D735" s="74"/>
      <c r="E735" s="69"/>
      <c r="F735" s="75"/>
      <c r="G735" s="76"/>
      <c r="H735" s="76"/>
      <c r="I735" s="76"/>
      <c r="J735" s="76"/>
      <c r="K735" s="76"/>
      <c r="L735" s="76"/>
      <c r="M735" s="77"/>
      <c r="N735" s="77"/>
      <c r="O735" s="78"/>
      <c r="P735" s="78"/>
      <c r="Q735" s="76"/>
    </row>
    <row r="736" spans="1:17" ht="19.899999999999999" customHeight="1" x14ac:dyDescent="0.25">
      <c r="A736" s="74"/>
      <c r="B736" s="74"/>
      <c r="C736" s="74"/>
      <c r="D736" s="74"/>
      <c r="E736" s="69"/>
      <c r="F736" s="75"/>
      <c r="G736" s="76"/>
      <c r="H736" s="76"/>
      <c r="I736" s="76"/>
      <c r="J736" s="76"/>
      <c r="K736" s="76"/>
      <c r="L736" s="76"/>
      <c r="M736" s="77"/>
      <c r="N736" s="77"/>
      <c r="O736" s="78"/>
      <c r="P736" s="78"/>
      <c r="Q736" s="76"/>
    </row>
    <row r="737" spans="1:17" ht="19.899999999999999" customHeight="1" x14ac:dyDescent="0.25">
      <c r="A737" s="74"/>
      <c r="B737" s="74"/>
      <c r="C737" s="74"/>
      <c r="D737" s="74"/>
      <c r="E737" s="69"/>
      <c r="F737" s="75"/>
      <c r="G737" s="76"/>
      <c r="H737" s="76"/>
      <c r="I737" s="76"/>
      <c r="J737" s="76"/>
      <c r="K737" s="76"/>
      <c r="L737" s="76"/>
      <c r="M737" s="77"/>
      <c r="N737" s="77"/>
      <c r="O737" s="78"/>
      <c r="P737" s="78"/>
      <c r="Q737" s="76"/>
    </row>
    <row r="738" spans="1:17" ht="19.899999999999999" customHeight="1" x14ac:dyDescent="0.25">
      <c r="A738" s="74"/>
      <c r="B738" s="74"/>
      <c r="C738" s="74"/>
      <c r="D738" s="74"/>
      <c r="E738" s="69"/>
      <c r="F738" s="75"/>
      <c r="G738" s="76"/>
      <c r="H738" s="76"/>
      <c r="I738" s="76"/>
      <c r="J738" s="76"/>
      <c r="K738" s="76"/>
      <c r="L738" s="76"/>
      <c r="M738" s="77"/>
      <c r="N738" s="77"/>
      <c r="O738" s="78"/>
      <c r="P738" s="78"/>
      <c r="Q738" s="76"/>
    </row>
    <row r="739" spans="1:17" ht="19.899999999999999" customHeight="1" x14ac:dyDescent="0.25">
      <c r="A739" s="74"/>
      <c r="B739" s="74"/>
      <c r="C739" s="74"/>
      <c r="D739" s="74"/>
      <c r="E739" s="69"/>
      <c r="F739" s="75"/>
      <c r="G739" s="76"/>
      <c r="H739" s="76"/>
      <c r="I739" s="76"/>
      <c r="J739" s="76"/>
      <c r="K739" s="76"/>
      <c r="L739" s="76"/>
      <c r="M739" s="77"/>
      <c r="N739" s="77"/>
      <c r="O739" s="78"/>
      <c r="P739" s="78"/>
      <c r="Q739" s="76"/>
    </row>
    <row r="740" spans="1:17" ht="19.899999999999999" customHeight="1" x14ac:dyDescent="0.25">
      <c r="A740" s="74"/>
      <c r="B740" s="74"/>
      <c r="C740" s="74"/>
      <c r="D740" s="74"/>
      <c r="E740" s="69"/>
      <c r="F740" s="75"/>
      <c r="G740" s="76"/>
      <c r="H740" s="76"/>
      <c r="I740" s="76"/>
      <c r="J740" s="76"/>
      <c r="K740" s="76"/>
      <c r="L740" s="76"/>
      <c r="M740" s="77"/>
      <c r="N740" s="77"/>
      <c r="O740" s="78"/>
      <c r="P740" s="78"/>
      <c r="Q740" s="76"/>
    </row>
    <row r="741" spans="1:17" ht="19.899999999999999" customHeight="1" x14ac:dyDescent="0.25">
      <c r="A741" s="74"/>
      <c r="B741" s="74"/>
      <c r="C741" s="74"/>
      <c r="D741" s="74"/>
      <c r="E741" s="69"/>
      <c r="F741" s="75"/>
      <c r="G741" s="76"/>
      <c r="H741" s="76"/>
      <c r="I741" s="76"/>
      <c r="J741" s="76"/>
      <c r="K741" s="76"/>
      <c r="L741" s="76"/>
      <c r="M741" s="77"/>
      <c r="N741" s="77"/>
      <c r="O741" s="78"/>
      <c r="P741" s="78"/>
      <c r="Q741" s="76"/>
    </row>
    <row r="742" spans="1:17" ht="19.899999999999999" customHeight="1" x14ac:dyDescent="0.25">
      <c r="A742" s="74"/>
      <c r="B742" s="74"/>
      <c r="C742" s="74"/>
      <c r="D742" s="74"/>
      <c r="E742" s="69"/>
      <c r="F742" s="75"/>
      <c r="G742" s="76"/>
      <c r="H742" s="76"/>
      <c r="I742" s="76"/>
      <c r="J742" s="76"/>
      <c r="K742" s="76"/>
      <c r="L742" s="76"/>
      <c r="M742" s="77"/>
      <c r="N742" s="77"/>
      <c r="O742" s="78"/>
      <c r="P742" s="78"/>
      <c r="Q742" s="76"/>
    </row>
    <row r="743" spans="1:17" ht="19.899999999999999" customHeight="1" x14ac:dyDescent="0.25">
      <c r="A743" s="74"/>
      <c r="B743" s="74"/>
      <c r="C743" s="74"/>
      <c r="D743" s="74"/>
      <c r="E743" s="69"/>
      <c r="F743" s="75"/>
      <c r="G743" s="76"/>
      <c r="H743" s="76"/>
      <c r="I743" s="76"/>
      <c r="J743" s="76"/>
      <c r="K743" s="76"/>
      <c r="L743" s="76"/>
      <c r="M743" s="77"/>
      <c r="N743" s="77"/>
      <c r="O743" s="78"/>
      <c r="P743" s="78"/>
      <c r="Q743" s="76"/>
    </row>
    <row r="744" spans="1:17" ht="19.899999999999999" customHeight="1" x14ac:dyDescent="0.25">
      <c r="A744" s="74"/>
      <c r="B744" s="74"/>
      <c r="C744" s="74"/>
      <c r="D744" s="74"/>
      <c r="E744" s="69"/>
      <c r="F744" s="75"/>
      <c r="G744" s="76"/>
      <c r="H744" s="76"/>
      <c r="I744" s="76"/>
      <c r="J744" s="76"/>
      <c r="K744" s="76"/>
      <c r="L744" s="76"/>
      <c r="M744" s="77"/>
      <c r="N744" s="77"/>
      <c r="O744" s="78"/>
      <c r="P744" s="78"/>
      <c r="Q744" s="76"/>
    </row>
    <row r="745" spans="1:17" ht="19.899999999999999" customHeight="1" x14ac:dyDescent="0.25">
      <c r="A745" s="74"/>
      <c r="B745" s="74"/>
      <c r="C745" s="74"/>
      <c r="D745" s="74"/>
      <c r="E745" s="69"/>
      <c r="F745" s="75"/>
      <c r="G745" s="76"/>
      <c r="H745" s="76"/>
      <c r="I745" s="76"/>
      <c r="J745" s="76"/>
      <c r="K745" s="76"/>
      <c r="L745" s="76"/>
      <c r="M745" s="77"/>
      <c r="N745" s="77"/>
      <c r="O745" s="78"/>
      <c r="P745" s="78"/>
      <c r="Q745" s="76"/>
    </row>
    <row r="746" spans="1:17" ht="19.899999999999999" customHeight="1" x14ac:dyDescent="0.25">
      <c r="A746" s="74"/>
      <c r="B746" s="74"/>
      <c r="C746" s="74"/>
      <c r="D746" s="74"/>
      <c r="E746" s="69"/>
      <c r="F746" s="75"/>
      <c r="G746" s="76"/>
      <c r="H746" s="76"/>
      <c r="I746" s="76"/>
      <c r="J746" s="76"/>
      <c r="K746" s="76"/>
      <c r="L746" s="76"/>
      <c r="M746" s="77"/>
      <c r="N746" s="77"/>
      <c r="O746" s="78"/>
      <c r="P746" s="78"/>
      <c r="Q746" s="76"/>
    </row>
    <row r="747" spans="1:17" ht="19.899999999999999" customHeight="1" x14ac:dyDescent="0.25">
      <c r="A747" s="74"/>
      <c r="B747" s="74"/>
      <c r="C747" s="74"/>
      <c r="D747" s="74"/>
      <c r="E747" s="69"/>
      <c r="F747" s="75"/>
      <c r="G747" s="76"/>
      <c r="H747" s="76"/>
      <c r="I747" s="76"/>
      <c r="J747" s="76"/>
      <c r="K747" s="76"/>
      <c r="L747" s="76"/>
      <c r="M747" s="77"/>
      <c r="N747" s="77"/>
      <c r="O747" s="78"/>
      <c r="P747" s="78"/>
      <c r="Q747" s="76"/>
    </row>
    <row r="748" spans="1:17" ht="19.899999999999999" customHeight="1" x14ac:dyDescent="0.25">
      <c r="A748" s="74"/>
      <c r="B748" s="74"/>
      <c r="C748" s="74"/>
      <c r="D748" s="74"/>
      <c r="E748" s="69"/>
      <c r="F748" s="75"/>
      <c r="G748" s="76"/>
      <c r="H748" s="76"/>
      <c r="I748" s="76"/>
      <c r="J748" s="76"/>
      <c r="K748" s="76"/>
      <c r="L748" s="76"/>
      <c r="M748" s="77"/>
      <c r="N748" s="77"/>
      <c r="O748" s="78"/>
      <c r="P748" s="78"/>
      <c r="Q748" s="76"/>
    </row>
    <row r="749" spans="1:17" ht="19.899999999999999" customHeight="1" x14ac:dyDescent="0.25">
      <c r="A749" s="74"/>
      <c r="B749" s="74"/>
      <c r="C749" s="74"/>
      <c r="D749" s="74"/>
      <c r="E749" s="69"/>
      <c r="F749" s="75"/>
      <c r="G749" s="76"/>
      <c r="H749" s="76"/>
      <c r="I749" s="76"/>
      <c r="J749" s="76"/>
      <c r="K749" s="76"/>
      <c r="L749" s="76"/>
      <c r="M749" s="77"/>
      <c r="N749" s="77"/>
      <c r="O749" s="78"/>
      <c r="P749" s="78"/>
      <c r="Q749" s="76"/>
    </row>
    <row r="750" spans="1:17" ht="19.899999999999999" customHeight="1" x14ac:dyDescent="0.25">
      <c r="A750" s="74"/>
      <c r="B750" s="74"/>
      <c r="C750" s="74"/>
      <c r="D750" s="74"/>
      <c r="E750" s="69"/>
      <c r="F750" s="75"/>
      <c r="G750" s="76"/>
      <c r="H750" s="76"/>
      <c r="I750" s="76"/>
      <c r="J750" s="76"/>
      <c r="K750" s="76"/>
      <c r="L750" s="76"/>
      <c r="M750" s="77"/>
      <c r="N750" s="77"/>
      <c r="O750" s="78"/>
      <c r="P750" s="78"/>
      <c r="Q750" s="76"/>
    </row>
    <row r="751" spans="1:17" ht="19.899999999999999" customHeight="1" x14ac:dyDescent="0.25">
      <c r="A751" s="74"/>
      <c r="B751" s="74"/>
      <c r="C751" s="74"/>
      <c r="D751" s="74"/>
      <c r="E751" s="69"/>
      <c r="F751" s="75"/>
      <c r="G751" s="76"/>
      <c r="H751" s="76"/>
      <c r="I751" s="76"/>
      <c r="J751" s="76"/>
      <c r="K751" s="76"/>
      <c r="L751" s="76"/>
      <c r="M751" s="77"/>
      <c r="N751" s="77"/>
      <c r="O751" s="78"/>
      <c r="P751" s="78"/>
      <c r="Q751" s="76"/>
    </row>
    <row r="752" spans="1:17" ht="19.899999999999999" customHeight="1" x14ac:dyDescent="0.25">
      <c r="A752" s="74"/>
      <c r="B752" s="74"/>
      <c r="C752" s="74"/>
      <c r="D752" s="74"/>
      <c r="E752" s="69"/>
      <c r="F752" s="75"/>
      <c r="G752" s="76"/>
      <c r="H752" s="76"/>
      <c r="I752" s="76"/>
      <c r="J752" s="76"/>
      <c r="K752" s="76"/>
      <c r="L752" s="76"/>
      <c r="M752" s="77"/>
      <c r="N752" s="77"/>
      <c r="O752" s="78"/>
      <c r="P752" s="78"/>
      <c r="Q752" s="76"/>
    </row>
    <row r="753" spans="1:17" ht="19.899999999999999" customHeight="1" x14ac:dyDescent="0.25">
      <c r="A753" s="74"/>
      <c r="B753" s="74"/>
      <c r="C753" s="74"/>
      <c r="D753" s="74"/>
      <c r="E753" s="69"/>
      <c r="F753" s="75"/>
      <c r="G753" s="76"/>
      <c r="H753" s="76"/>
      <c r="I753" s="76"/>
      <c r="J753" s="76"/>
      <c r="K753" s="76"/>
      <c r="L753" s="76"/>
      <c r="M753" s="77"/>
      <c r="N753" s="77"/>
      <c r="O753" s="78"/>
      <c r="P753" s="78"/>
      <c r="Q753" s="76"/>
    </row>
    <row r="754" spans="1:17" ht="19.899999999999999" customHeight="1" x14ac:dyDescent="0.25">
      <c r="A754" s="74"/>
      <c r="B754" s="74"/>
      <c r="C754" s="74"/>
      <c r="D754" s="74"/>
      <c r="E754" s="69"/>
      <c r="F754" s="75"/>
      <c r="G754" s="76"/>
      <c r="H754" s="76"/>
      <c r="I754" s="76"/>
      <c r="J754" s="76"/>
      <c r="K754" s="76"/>
      <c r="L754" s="76"/>
      <c r="M754" s="77"/>
      <c r="N754" s="77"/>
      <c r="O754" s="78"/>
      <c r="P754" s="78"/>
      <c r="Q754" s="76"/>
    </row>
    <row r="755" spans="1:17" ht="19.899999999999999" customHeight="1" x14ac:dyDescent="0.25">
      <c r="A755" s="74"/>
      <c r="B755" s="74"/>
      <c r="C755" s="74"/>
      <c r="D755" s="74"/>
      <c r="E755" s="69"/>
      <c r="F755" s="75"/>
      <c r="G755" s="76"/>
      <c r="H755" s="76"/>
      <c r="I755" s="76"/>
      <c r="J755" s="76"/>
      <c r="K755" s="76"/>
      <c r="L755" s="76"/>
      <c r="M755" s="77"/>
      <c r="N755" s="77"/>
      <c r="O755" s="78"/>
      <c r="P755" s="78"/>
      <c r="Q755" s="76"/>
    </row>
    <row r="756" spans="1:17" ht="19.899999999999999" customHeight="1" x14ac:dyDescent="0.25">
      <c r="A756" s="74"/>
      <c r="B756" s="74"/>
      <c r="C756" s="74"/>
      <c r="D756" s="74"/>
      <c r="E756" s="69"/>
      <c r="F756" s="75"/>
      <c r="G756" s="76"/>
      <c r="H756" s="76"/>
      <c r="I756" s="76"/>
      <c r="J756" s="76"/>
      <c r="K756" s="76"/>
      <c r="L756" s="76"/>
      <c r="M756" s="77"/>
      <c r="N756" s="77"/>
      <c r="O756" s="78"/>
      <c r="P756" s="78"/>
      <c r="Q756" s="76"/>
    </row>
    <row r="757" spans="1:17" ht="19.899999999999999" customHeight="1" x14ac:dyDescent="0.25">
      <c r="A757" s="74"/>
      <c r="B757" s="74"/>
      <c r="C757" s="74"/>
      <c r="D757" s="74"/>
      <c r="E757" s="69"/>
      <c r="F757" s="75"/>
      <c r="G757" s="76"/>
      <c r="H757" s="76"/>
      <c r="I757" s="76"/>
      <c r="J757" s="76"/>
      <c r="K757" s="76"/>
      <c r="L757" s="76"/>
      <c r="M757" s="77"/>
      <c r="N757" s="77"/>
      <c r="O757" s="78"/>
      <c r="P757" s="78"/>
      <c r="Q757" s="76"/>
    </row>
    <row r="758" spans="1:17" ht="19.899999999999999" customHeight="1" x14ac:dyDescent="0.25">
      <c r="A758" s="74"/>
      <c r="B758" s="74"/>
      <c r="C758" s="74"/>
      <c r="D758" s="74"/>
      <c r="E758" s="69"/>
      <c r="F758" s="75"/>
      <c r="G758" s="76"/>
      <c r="H758" s="76"/>
      <c r="I758" s="76"/>
      <c r="J758" s="76"/>
      <c r="K758" s="76"/>
      <c r="L758" s="76"/>
      <c r="M758" s="77"/>
      <c r="N758" s="77"/>
      <c r="O758" s="78"/>
      <c r="P758" s="78"/>
      <c r="Q758" s="76"/>
    </row>
    <row r="759" spans="1:17" ht="19.899999999999999" customHeight="1" x14ac:dyDescent="0.25">
      <c r="A759" s="74"/>
      <c r="B759" s="74"/>
      <c r="C759" s="74"/>
      <c r="D759" s="74"/>
      <c r="E759" s="69"/>
      <c r="F759" s="75"/>
      <c r="G759" s="76"/>
      <c r="H759" s="76"/>
      <c r="I759" s="76"/>
      <c r="J759" s="76"/>
      <c r="K759" s="76"/>
      <c r="L759" s="76"/>
      <c r="M759" s="77"/>
      <c r="N759" s="77"/>
      <c r="O759" s="78"/>
      <c r="P759" s="78"/>
      <c r="Q759" s="76"/>
    </row>
    <row r="760" spans="1:17" ht="19.899999999999999" customHeight="1" x14ac:dyDescent="0.25">
      <c r="A760" s="74"/>
      <c r="B760" s="74"/>
      <c r="C760" s="74"/>
      <c r="D760" s="74"/>
      <c r="E760" s="69"/>
      <c r="F760" s="75"/>
      <c r="G760" s="76"/>
      <c r="H760" s="76"/>
      <c r="I760" s="76"/>
      <c r="J760" s="76"/>
      <c r="K760" s="76"/>
      <c r="L760" s="76"/>
      <c r="M760" s="77"/>
      <c r="N760" s="77"/>
      <c r="O760" s="78"/>
      <c r="P760" s="78"/>
      <c r="Q760" s="76"/>
    </row>
    <row r="761" spans="1:17" ht="19.899999999999999" customHeight="1" x14ac:dyDescent="0.25">
      <c r="A761" s="74"/>
      <c r="B761" s="74"/>
      <c r="C761" s="74"/>
      <c r="D761" s="74"/>
      <c r="E761" s="69"/>
      <c r="F761" s="75"/>
      <c r="G761" s="76"/>
      <c r="H761" s="76"/>
      <c r="I761" s="76"/>
      <c r="J761" s="76"/>
      <c r="K761" s="76"/>
      <c r="L761" s="76"/>
      <c r="M761" s="77"/>
      <c r="N761" s="77"/>
      <c r="O761" s="78"/>
      <c r="P761" s="78"/>
      <c r="Q761" s="76"/>
    </row>
    <row r="762" spans="1:17" ht="19.899999999999999" customHeight="1" x14ac:dyDescent="0.25">
      <c r="A762" s="74"/>
      <c r="B762" s="74"/>
      <c r="C762" s="74"/>
      <c r="D762" s="74"/>
      <c r="E762" s="69"/>
      <c r="F762" s="75"/>
      <c r="G762" s="76"/>
      <c r="H762" s="76"/>
      <c r="I762" s="76"/>
      <c r="J762" s="76"/>
      <c r="K762" s="76"/>
      <c r="L762" s="76"/>
      <c r="M762" s="77"/>
      <c r="N762" s="77"/>
      <c r="O762" s="78"/>
      <c r="P762" s="78"/>
      <c r="Q762" s="76"/>
    </row>
    <row r="763" spans="1:17" ht="19.899999999999999" customHeight="1" x14ac:dyDescent="0.25">
      <c r="A763" s="74"/>
      <c r="B763" s="74"/>
      <c r="C763" s="74"/>
      <c r="D763" s="74"/>
      <c r="E763" s="69"/>
      <c r="F763" s="75"/>
      <c r="G763" s="76"/>
      <c r="H763" s="76"/>
      <c r="I763" s="76"/>
      <c r="J763" s="76"/>
      <c r="K763" s="76"/>
      <c r="L763" s="76"/>
      <c r="M763" s="77"/>
      <c r="N763" s="77"/>
      <c r="O763" s="78"/>
      <c r="P763" s="78"/>
      <c r="Q763" s="76"/>
    </row>
    <row r="764" spans="1:17" ht="19.899999999999999" customHeight="1" x14ac:dyDescent="0.25">
      <c r="A764" s="74"/>
      <c r="B764" s="74"/>
      <c r="C764" s="74"/>
      <c r="D764" s="74"/>
      <c r="E764" s="69"/>
      <c r="F764" s="75"/>
      <c r="G764" s="76"/>
      <c r="H764" s="76"/>
      <c r="I764" s="76"/>
      <c r="J764" s="76"/>
      <c r="K764" s="76"/>
      <c r="L764" s="76"/>
      <c r="M764" s="77"/>
      <c r="N764" s="77"/>
      <c r="O764" s="78"/>
      <c r="P764" s="78"/>
      <c r="Q764" s="76"/>
    </row>
    <row r="765" spans="1:17" ht="19.899999999999999" customHeight="1" x14ac:dyDescent="0.25">
      <c r="A765" s="74"/>
      <c r="B765" s="74"/>
      <c r="C765" s="74"/>
      <c r="D765" s="74"/>
      <c r="E765" s="69"/>
      <c r="F765" s="75"/>
      <c r="G765" s="76"/>
      <c r="H765" s="76"/>
      <c r="I765" s="76"/>
      <c r="J765" s="76"/>
      <c r="K765" s="76"/>
      <c r="L765" s="76"/>
      <c r="M765" s="77"/>
      <c r="N765" s="77"/>
      <c r="O765" s="78"/>
      <c r="P765" s="78"/>
      <c r="Q765" s="76"/>
    </row>
    <row r="766" spans="1:17" ht="19.899999999999999" customHeight="1" x14ac:dyDescent="0.25">
      <c r="A766" s="74"/>
      <c r="B766" s="74"/>
      <c r="C766" s="74"/>
      <c r="D766" s="74"/>
      <c r="E766" s="69"/>
      <c r="F766" s="75"/>
      <c r="G766" s="76"/>
      <c r="H766" s="76"/>
      <c r="I766" s="76"/>
      <c r="J766" s="76"/>
      <c r="K766" s="76"/>
      <c r="L766" s="76"/>
      <c r="M766" s="77"/>
      <c r="N766" s="77"/>
      <c r="O766" s="78"/>
      <c r="P766" s="78"/>
      <c r="Q766" s="76"/>
    </row>
    <row r="767" spans="1:17" ht="19.899999999999999" customHeight="1" x14ac:dyDescent="0.25">
      <c r="A767" s="74"/>
      <c r="B767" s="74"/>
      <c r="C767" s="74"/>
      <c r="D767" s="74"/>
      <c r="E767" s="69"/>
      <c r="F767" s="75"/>
      <c r="G767" s="76"/>
      <c r="H767" s="76"/>
      <c r="I767" s="76"/>
      <c r="J767" s="76"/>
      <c r="K767" s="76"/>
      <c r="L767" s="76"/>
      <c r="M767" s="77"/>
      <c r="N767" s="77"/>
      <c r="O767" s="78"/>
      <c r="P767" s="78"/>
      <c r="Q767" s="76"/>
    </row>
    <row r="768" spans="1:17" ht="19.899999999999999" customHeight="1" x14ac:dyDescent="0.25">
      <c r="A768" s="74"/>
      <c r="B768" s="74"/>
      <c r="C768" s="74"/>
      <c r="D768" s="74"/>
      <c r="E768" s="69"/>
      <c r="F768" s="75"/>
      <c r="G768" s="76"/>
      <c r="H768" s="76"/>
      <c r="I768" s="76"/>
      <c r="J768" s="76"/>
      <c r="K768" s="76"/>
      <c r="L768" s="76"/>
      <c r="M768" s="77"/>
      <c r="N768" s="77"/>
      <c r="O768" s="78"/>
      <c r="P768" s="78"/>
      <c r="Q768" s="76"/>
    </row>
    <row r="769" spans="1:17" ht="19.899999999999999" customHeight="1" x14ac:dyDescent="0.25">
      <c r="A769" s="74"/>
      <c r="B769" s="74"/>
      <c r="C769" s="74"/>
      <c r="D769" s="74"/>
      <c r="E769" s="69"/>
      <c r="F769" s="75"/>
      <c r="G769" s="76"/>
      <c r="H769" s="76"/>
      <c r="I769" s="76"/>
      <c r="J769" s="76"/>
      <c r="K769" s="76"/>
      <c r="L769" s="76"/>
      <c r="M769" s="77"/>
      <c r="N769" s="77"/>
      <c r="O769" s="78"/>
      <c r="P769" s="78"/>
      <c r="Q769" s="76"/>
    </row>
    <row r="770" spans="1:17" ht="19.899999999999999" customHeight="1" x14ac:dyDescent="0.25">
      <c r="A770" s="74"/>
      <c r="B770" s="74"/>
      <c r="C770" s="74"/>
      <c r="D770" s="74"/>
      <c r="E770" s="69"/>
      <c r="F770" s="75"/>
      <c r="G770" s="76"/>
      <c r="H770" s="76"/>
      <c r="I770" s="76"/>
      <c r="J770" s="76"/>
      <c r="K770" s="76"/>
      <c r="L770" s="76"/>
      <c r="M770" s="77"/>
      <c r="N770" s="77"/>
      <c r="O770" s="78"/>
      <c r="P770" s="78"/>
      <c r="Q770" s="76"/>
    </row>
    <row r="771" spans="1:17" ht="19.899999999999999" customHeight="1" x14ac:dyDescent="0.25">
      <c r="A771" s="74"/>
      <c r="B771" s="74"/>
      <c r="C771" s="74"/>
      <c r="D771" s="74"/>
      <c r="E771" s="69"/>
      <c r="F771" s="75"/>
      <c r="G771" s="76"/>
      <c r="H771" s="76"/>
      <c r="I771" s="76"/>
      <c r="J771" s="76"/>
      <c r="K771" s="76"/>
      <c r="L771" s="76"/>
      <c r="M771" s="77"/>
      <c r="N771" s="77"/>
      <c r="O771" s="78"/>
      <c r="P771" s="78"/>
      <c r="Q771" s="76"/>
    </row>
    <row r="772" spans="1:17" ht="19.899999999999999" customHeight="1" x14ac:dyDescent="0.25">
      <c r="A772" s="74"/>
      <c r="B772" s="74"/>
      <c r="C772" s="74"/>
      <c r="D772" s="74"/>
      <c r="E772" s="69"/>
      <c r="F772" s="75"/>
      <c r="G772" s="76"/>
      <c r="H772" s="76"/>
      <c r="I772" s="76"/>
      <c r="J772" s="76"/>
      <c r="K772" s="76"/>
      <c r="L772" s="76"/>
      <c r="M772" s="77"/>
      <c r="N772" s="77"/>
      <c r="O772" s="78"/>
      <c r="P772" s="78"/>
      <c r="Q772" s="76"/>
    </row>
    <row r="773" spans="1:17" ht="19.899999999999999" customHeight="1" x14ac:dyDescent="0.25">
      <c r="A773" s="74"/>
      <c r="B773" s="74"/>
      <c r="C773" s="74"/>
      <c r="D773" s="74"/>
      <c r="E773" s="69"/>
      <c r="F773" s="75"/>
      <c r="G773" s="76"/>
      <c r="H773" s="76"/>
      <c r="I773" s="76"/>
      <c r="J773" s="76"/>
      <c r="K773" s="76"/>
      <c r="L773" s="76"/>
      <c r="M773" s="77"/>
      <c r="N773" s="77"/>
      <c r="O773" s="78"/>
      <c r="P773" s="78"/>
      <c r="Q773" s="76"/>
    </row>
    <row r="774" spans="1:17" ht="19.899999999999999" customHeight="1" x14ac:dyDescent="0.25">
      <c r="A774" s="74"/>
      <c r="B774" s="74"/>
      <c r="C774" s="74"/>
      <c r="D774" s="74"/>
      <c r="E774" s="69"/>
      <c r="F774" s="75"/>
      <c r="G774" s="76"/>
      <c r="H774" s="76"/>
      <c r="I774" s="76"/>
      <c r="J774" s="76"/>
      <c r="K774" s="76"/>
      <c r="L774" s="76"/>
      <c r="M774" s="77"/>
      <c r="N774" s="77"/>
      <c r="O774" s="78"/>
      <c r="P774" s="78"/>
      <c r="Q774" s="76"/>
    </row>
    <row r="775" spans="1:17" ht="19.899999999999999" customHeight="1" x14ac:dyDescent="0.25">
      <c r="A775" s="74"/>
      <c r="B775" s="74"/>
      <c r="C775" s="74"/>
      <c r="D775" s="74"/>
      <c r="E775" s="69"/>
      <c r="F775" s="75"/>
      <c r="G775" s="76"/>
      <c r="H775" s="76"/>
      <c r="I775" s="76"/>
      <c r="J775" s="76"/>
      <c r="K775" s="76"/>
      <c r="L775" s="76"/>
      <c r="M775" s="77"/>
      <c r="N775" s="77"/>
      <c r="O775" s="78"/>
      <c r="P775" s="78"/>
      <c r="Q775" s="76"/>
    </row>
    <row r="776" spans="1:17" ht="19.899999999999999" customHeight="1" x14ac:dyDescent="0.25">
      <c r="A776" s="74"/>
      <c r="B776" s="74"/>
      <c r="C776" s="74"/>
      <c r="D776" s="74"/>
      <c r="E776" s="69"/>
      <c r="F776" s="75"/>
      <c r="G776" s="76"/>
      <c r="H776" s="76"/>
      <c r="I776" s="76"/>
      <c r="J776" s="76"/>
      <c r="K776" s="76"/>
      <c r="L776" s="76"/>
      <c r="M776" s="77"/>
      <c r="N776" s="77"/>
      <c r="O776" s="78"/>
      <c r="P776" s="78"/>
      <c r="Q776" s="76"/>
    </row>
    <row r="777" spans="1:17" ht="19.899999999999999" customHeight="1" x14ac:dyDescent="0.25">
      <c r="A777" s="74"/>
      <c r="B777" s="74"/>
      <c r="C777" s="74"/>
      <c r="D777" s="74"/>
      <c r="E777" s="69"/>
      <c r="F777" s="75"/>
      <c r="G777" s="76"/>
      <c r="H777" s="76"/>
      <c r="I777" s="76"/>
      <c r="J777" s="76"/>
      <c r="K777" s="76"/>
      <c r="L777" s="76"/>
      <c r="M777" s="77"/>
      <c r="N777" s="77"/>
      <c r="O777" s="78"/>
      <c r="P777" s="78"/>
      <c r="Q777" s="76"/>
    </row>
    <row r="778" spans="1:17" ht="19.899999999999999" customHeight="1" x14ac:dyDescent="0.25">
      <c r="A778" s="74"/>
      <c r="B778" s="74"/>
      <c r="C778" s="74"/>
      <c r="D778" s="74"/>
      <c r="E778" s="69"/>
      <c r="F778" s="75"/>
      <c r="G778" s="76"/>
      <c r="H778" s="76"/>
      <c r="I778" s="76"/>
      <c r="J778" s="76"/>
      <c r="K778" s="76"/>
      <c r="L778" s="76"/>
      <c r="M778" s="77"/>
      <c r="N778" s="77"/>
      <c r="O778" s="78"/>
      <c r="P778" s="78"/>
      <c r="Q778" s="76"/>
    </row>
    <row r="779" spans="1:17" ht="19.899999999999999" customHeight="1" x14ac:dyDescent="0.25">
      <c r="A779" s="74"/>
      <c r="B779" s="74"/>
      <c r="C779" s="74"/>
      <c r="D779" s="74"/>
      <c r="E779" s="69"/>
      <c r="F779" s="75"/>
      <c r="G779" s="76"/>
      <c r="H779" s="76"/>
      <c r="I779" s="76"/>
      <c r="J779" s="76"/>
      <c r="K779" s="76"/>
      <c r="L779" s="76"/>
      <c r="M779" s="77"/>
      <c r="N779" s="77"/>
      <c r="O779" s="78"/>
      <c r="P779" s="78"/>
      <c r="Q779" s="76"/>
    </row>
    <row r="780" spans="1:17" ht="19.899999999999999" customHeight="1" x14ac:dyDescent="0.25">
      <c r="A780" s="74"/>
      <c r="B780" s="74"/>
      <c r="C780" s="74"/>
      <c r="D780" s="74"/>
      <c r="E780" s="69"/>
      <c r="F780" s="75"/>
      <c r="G780" s="76"/>
      <c r="H780" s="76"/>
      <c r="I780" s="76"/>
      <c r="J780" s="76"/>
      <c r="K780" s="76"/>
      <c r="L780" s="76"/>
      <c r="M780" s="77"/>
      <c r="N780" s="77"/>
      <c r="O780" s="78"/>
      <c r="P780" s="78"/>
      <c r="Q780" s="76"/>
    </row>
    <row r="781" spans="1:17" ht="19.899999999999999" customHeight="1" x14ac:dyDescent="0.25">
      <c r="A781" s="74"/>
      <c r="B781" s="74"/>
      <c r="C781" s="74"/>
      <c r="D781" s="74"/>
      <c r="E781" s="69"/>
      <c r="F781" s="75"/>
      <c r="G781" s="76"/>
      <c r="H781" s="76"/>
      <c r="I781" s="76"/>
      <c r="J781" s="76"/>
      <c r="K781" s="76"/>
      <c r="L781" s="76"/>
      <c r="M781" s="77"/>
      <c r="N781" s="77"/>
      <c r="O781" s="78"/>
      <c r="P781" s="78"/>
      <c r="Q781" s="76"/>
    </row>
    <row r="782" spans="1:17" ht="19.899999999999999" customHeight="1" x14ac:dyDescent="0.25">
      <c r="A782" s="74"/>
      <c r="B782" s="74"/>
      <c r="C782" s="74"/>
      <c r="D782" s="74"/>
      <c r="E782" s="69"/>
      <c r="F782" s="75"/>
      <c r="G782" s="76"/>
      <c r="H782" s="76"/>
      <c r="I782" s="76"/>
      <c r="J782" s="76"/>
      <c r="K782" s="76"/>
      <c r="L782" s="76"/>
      <c r="M782" s="77"/>
      <c r="N782" s="77"/>
      <c r="O782" s="78"/>
      <c r="P782" s="78"/>
      <c r="Q782" s="76"/>
    </row>
    <row r="783" spans="1:17" ht="19.899999999999999" customHeight="1" x14ac:dyDescent="0.25">
      <c r="A783" s="74"/>
      <c r="B783" s="74"/>
      <c r="C783" s="74"/>
      <c r="D783" s="74"/>
      <c r="E783" s="69"/>
      <c r="F783" s="75"/>
      <c r="G783" s="76"/>
      <c r="H783" s="76"/>
      <c r="I783" s="76"/>
      <c r="J783" s="76"/>
      <c r="K783" s="76"/>
      <c r="L783" s="76"/>
      <c r="M783" s="77"/>
      <c r="N783" s="77"/>
      <c r="O783" s="78"/>
      <c r="P783" s="78"/>
      <c r="Q783" s="76"/>
    </row>
    <row r="784" spans="1:17" ht="19.899999999999999" customHeight="1" x14ac:dyDescent="0.25">
      <c r="A784" s="74"/>
      <c r="B784" s="74"/>
      <c r="C784" s="74"/>
      <c r="D784" s="74"/>
      <c r="E784" s="69"/>
      <c r="F784" s="75"/>
      <c r="G784" s="76"/>
      <c r="H784" s="76"/>
      <c r="I784" s="76"/>
      <c r="J784" s="76"/>
      <c r="K784" s="76"/>
      <c r="L784" s="76"/>
      <c r="M784" s="77"/>
      <c r="N784" s="77"/>
      <c r="O784" s="78"/>
      <c r="P784" s="78"/>
      <c r="Q784" s="76"/>
    </row>
    <row r="785" spans="1:17" ht="19.899999999999999" customHeight="1" x14ac:dyDescent="0.25">
      <c r="A785" s="74"/>
      <c r="B785" s="74"/>
      <c r="C785" s="74"/>
      <c r="D785" s="74"/>
      <c r="E785" s="69"/>
      <c r="F785" s="75"/>
      <c r="G785" s="76"/>
      <c r="H785" s="76"/>
      <c r="I785" s="76"/>
      <c r="J785" s="76"/>
      <c r="K785" s="76"/>
      <c r="L785" s="76"/>
      <c r="M785" s="77"/>
      <c r="N785" s="77"/>
      <c r="O785" s="78"/>
      <c r="P785" s="78"/>
      <c r="Q785" s="76"/>
    </row>
    <row r="786" spans="1:17" ht="19.899999999999999" customHeight="1" x14ac:dyDescent="0.25">
      <c r="A786" s="74"/>
      <c r="B786" s="74"/>
      <c r="C786" s="74"/>
      <c r="D786" s="74"/>
      <c r="E786" s="69"/>
      <c r="F786" s="75"/>
      <c r="G786" s="76"/>
      <c r="H786" s="76"/>
      <c r="I786" s="76"/>
      <c r="J786" s="76"/>
      <c r="K786" s="76"/>
      <c r="L786" s="76"/>
      <c r="M786" s="77"/>
      <c r="N786" s="77"/>
      <c r="O786" s="78"/>
      <c r="P786" s="78"/>
      <c r="Q786" s="76"/>
    </row>
    <row r="787" spans="1:17" ht="19.899999999999999" customHeight="1" x14ac:dyDescent="0.25">
      <c r="A787" s="74"/>
      <c r="B787" s="74"/>
      <c r="C787" s="74"/>
      <c r="D787" s="74"/>
      <c r="E787" s="69"/>
      <c r="F787" s="75"/>
      <c r="G787" s="76"/>
      <c r="H787" s="76"/>
      <c r="I787" s="76"/>
      <c r="J787" s="76"/>
      <c r="K787" s="76"/>
      <c r="L787" s="76"/>
      <c r="M787" s="77"/>
      <c r="N787" s="77"/>
      <c r="O787" s="78"/>
      <c r="P787" s="78"/>
      <c r="Q787" s="76"/>
    </row>
    <row r="788" spans="1:17" ht="19.899999999999999" customHeight="1" x14ac:dyDescent="0.25">
      <c r="A788" s="74"/>
      <c r="B788" s="74"/>
      <c r="C788" s="74"/>
      <c r="D788" s="74"/>
      <c r="E788" s="69"/>
      <c r="F788" s="75"/>
      <c r="G788" s="76"/>
      <c r="H788" s="76"/>
      <c r="I788" s="76"/>
      <c r="J788" s="76"/>
      <c r="K788" s="76"/>
      <c r="L788" s="76"/>
      <c r="M788" s="77"/>
      <c r="N788" s="77"/>
      <c r="O788" s="78"/>
      <c r="P788" s="78"/>
      <c r="Q788" s="76"/>
    </row>
    <row r="789" spans="1:17" ht="19.899999999999999" customHeight="1" x14ac:dyDescent="0.25">
      <c r="A789" s="74"/>
      <c r="B789" s="74"/>
      <c r="C789" s="74"/>
      <c r="D789" s="74"/>
      <c r="E789" s="69"/>
      <c r="F789" s="75"/>
      <c r="G789" s="76"/>
      <c r="H789" s="76"/>
      <c r="I789" s="76"/>
      <c r="J789" s="76"/>
      <c r="K789" s="76"/>
      <c r="L789" s="76"/>
      <c r="M789" s="77"/>
      <c r="N789" s="77"/>
      <c r="O789" s="78"/>
      <c r="P789" s="78"/>
      <c r="Q789" s="76"/>
    </row>
    <row r="790" spans="1:17" ht="19.899999999999999" customHeight="1" x14ac:dyDescent="0.25">
      <c r="A790" s="74"/>
      <c r="B790" s="74"/>
      <c r="C790" s="74"/>
      <c r="D790" s="74"/>
      <c r="E790" s="69"/>
      <c r="F790" s="75"/>
      <c r="G790" s="76"/>
      <c r="H790" s="76"/>
      <c r="I790" s="76"/>
      <c r="J790" s="76"/>
      <c r="K790" s="76"/>
      <c r="L790" s="76"/>
      <c r="M790" s="77"/>
      <c r="N790" s="77"/>
      <c r="O790" s="78"/>
      <c r="P790" s="78"/>
      <c r="Q790" s="76"/>
    </row>
    <row r="791" spans="1:17" ht="19.899999999999999" customHeight="1" x14ac:dyDescent="0.25">
      <c r="A791" s="74"/>
      <c r="B791" s="74"/>
      <c r="C791" s="74"/>
      <c r="D791" s="74"/>
      <c r="E791" s="69"/>
      <c r="F791" s="75"/>
      <c r="G791" s="76"/>
      <c r="H791" s="76"/>
      <c r="I791" s="76"/>
      <c r="J791" s="76"/>
      <c r="K791" s="76"/>
      <c r="L791" s="76"/>
      <c r="M791" s="77"/>
      <c r="N791" s="77"/>
      <c r="O791" s="78"/>
      <c r="P791" s="78"/>
      <c r="Q791" s="76"/>
    </row>
    <row r="792" spans="1:17" ht="19.899999999999999" customHeight="1" x14ac:dyDescent="0.25">
      <c r="A792" s="74"/>
      <c r="B792" s="74"/>
      <c r="C792" s="74"/>
      <c r="D792" s="74"/>
      <c r="E792" s="69"/>
      <c r="F792" s="75"/>
      <c r="G792" s="76"/>
      <c r="H792" s="76"/>
      <c r="I792" s="76"/>
      <c r="J792" s="76"/>
      <c r="K792" s="76"/>
      <c r="L792" s="76"/>
      <c r="M792" s="77"/>
      <c r="N792" s="77"/>
      <c r="O792" s="78"/>
      <c r="P792" s="78"/>
      <c r="Q792" s="76"/>
    </row>
    <row r="793" spans="1:17" ht="19.899999999999999" customHeight="1" x14ac:dyDescent="0.25">
      <c r="A793" s="74"/>
      <c r="B793" s="74"/>
      <c r="C793" s="74"/>
      <c r="D793" s="74"/>
      <c r="E793" s="69"/>
      <c r="F793" s="75"/>
      <c r="G793" s="76"/>
      <c r="H793" s="76"/>
      <c r="I793" s="76"/>
      <c r="J793" s="76"/>
      <c r="K793" s="76"/>
      <c r="L793" s="76"/>
      <c r="M793" s="77"/>
      <c r="N793" s="77"/>
      <c r="O793" s="78"/>
      <c r="P793" s="78"/>
      <c r="Q793" s="76"/>
    </row>
    <row r="794" spans="1:17" ht="19.899999999999999" customHeight="1" x14ac:dyDescent="0.25">
      <c r="A794" s="74"/>
      <c r="B794" s="74"/>
      <c r="C794" s="74"/>
      <c r="D794" s="74"/>
      <c r="E794" s="69"/>
      <c r="F794" s="75"/>
      <c r="G794" s="76"/>
      <c r="H794" s="76"/>
      <c r="I794" s="76"/>
      <c r="J794" s="76"/>
      <c r="K794" s="76"/>
      <c r="L794" s="76"/>
      <c r="M794" s="77"/>
      <c r="N794" s="77"/>
      <c r="O794" s="78"/>
      <c r="P794" s="78"/>
      <c r="Q794" s="76"/>
    </row>
    <row r="795" spans="1:17" ht="19.899999999999999" customHeight="1" x14ac:dyDescent="0.25">
      <c r="A795" s="74"/>
      <c r="B795" s="74"/>
      <c r="C795" s="74"/>
      <c r="D795" s="74"/>
      <c r="E795" s="69"/>
      <c r="F795" s="75"/>
      <c r="G795" s="76"/>
      <c r="H795" s="76"/>
      <c r="I795" s="76"/>
      <c r="J795" s="76"/>
      <c r="K795" s="76"/>
      <c r="L795" s="76"/>
      <c r="M795" s="77"/>
      <c r="N795" s="77"/>
      <c r="O795" s="78"/>
      <c r="P795" s="78"/>
      <c r="Q795" s="76"/>
    </row>
    <row r="796" spans="1:17" ht="19.899999999999999" customHeight="1" x14ac:dyDescent="0.25">
      <c r="A796" s="74"/>
      <c r="B796" s="74"/>
      <c r="C796" s="74"/>
      <c r="D796" s="74"/>
      <c r="E796" s="69"/>
      <c r="F796" s="75"/>
      <c r="G796" s="76"/>
      <c r="H796" s="76"/>
      <c r="I796" s="76"/>
      <c r="J796" s="76"/>
      <c r="K796" s="76"/>
      <c r="L796" s="76"/>
      <c r="M796" s="77"/>
      <c r="N796" s="77"/>
      <c r="O796" s="78"/>
      <c r="P796" s="78"/>
      <c r="Q796" s="76"/>
    </row>
    <row r="797" spans="1:17" ht="19.899999999999999" customHeight="1" x14ac:dyDescent="0.25">
      <c r="A797" s="74"/>
      <c r="B797" s="74"/>
      <c r="C797" s="74"/>
      <c r="D797" s="74"/>
      <c r="E797" s="69"/>
      <c r="F797" s="75"/>
      <c r="G797" s="76"/>
      <c r="H797" s="76"/>
      <c r="I797" s="76"/>
      <c r="J797" s="76"/>
      <c r="K797" s="76"/>
      <c r="L797" s="76"/>
      <c r="M797" s="77"/>
      <c r="N797" s="77"/>
      <c r="O797" s="78"/>
      <c r="P797" s="78"/>
      <c r="Q797" s="76"/>
    </row>
    <row r="798" spans="1:17" ht="19.899999999999999" customHeight="1" x14ac:dyDescent="0.25">
      <c r="A798" s="74"/>
      <c r="B798" s="74"/>
      <c r="C798" s="74"/>
      <c r="D798" s="74"/>
      <c r="E798" s="69"/>
      <c r="F798" s="75"/>
      <c r="G798" s="76"/>
      <c r="H798" s="76"/>
      <c r="I798" s="76"/>
      <c r="J798" s="76"/>
      <c r="K798" s="76"/>
      <c r="L798" s="76"/>
      <c r="M798" s="77"/>
      <c r="N798" s="77"/>
      <c r="O798" s="78"/>
      <c r="P798" s="78"/>
      <c r="Q798" s="76"/>
    </row>
    <row r="799" spans="1:17" ht="19.899999999999999" customHeight="1" x14ac:dyDescent="0.25">
      <c r="A799" s="74"/>
      <c r="B799" s="74"/>
      <c r="C799" s="74"/>
      <c r="D799" s="74"/>
      <c r="E799" s="69"/>
      <c r="F799" s="75"/>
      <c r="G799" s="76"/>
      <c r="H799" s="76"/>
      <c r="I799" s="76"/>
      <c r="J799" s="76"/>
      <c r="K799" s="76"/>
      <c r="L799" s="76"/>
      <c r="M799" s="77"/>
      <c r="N799" s="77"/>
      <c r="O799" s="78"/>
      <c r="P799" s="78"/>
      <c r="Q799" s="76"/>
    </row>
    <row r="800" spans="1:17" ht="19.899999999999999" customHeight="1" x14ac:dyDescent="0.25">
      <c r="A800" s="74"/>
      <c r="B800" s="74"/>
      <c r="C800" s="74"/>
      <c r="D800" s="74"/>
      <c r="E800" s="69"/>
      <c r="F800" s="75"/>
      <c r="G800" s="76"/>
      <c r="H800" s="76"/>
      <c r="I800" s="76"/>
      <c r="J800" s="76"/>
      <c r="K800" s="76"/>
      <c r="L800" s="76"/>
      <c r="M800" s="77"/>
      <c r="N800" s="77"/>
      <c r="O800" s="78"/>
      <c r="P800" s="78"/>
      <c r="Q800" s="76"/>
    </row>
    <row r="801" spans="1:17" ht="19.899999999999999" customHeight="1" x14ac:dyDescent="0.25">
      <c r="A801" s="74"/>
      <c r="B801" s="74"/>
      <c r="C801" s="74"/>
      <c r="D801" s="74"/>
      <c r="E801" s="69"/>
      <c r="F801" s="75"/>
      <c r="G801" s="76"/>
      <c r="H801" s="76"/>
      <c r="I801" s="76"/>
      <c r="J801" s="76"/>
      <c r="K801" s="76"/>
      <c r="L801" s="76"/>
      <c r="M801" s="77"/>
      <c r="N801" s="77"/>
      <c r="O801" s="78"/>
      <c r="P801" s="78"/>
      <c r="Q801" s="76"/>
    </row>
    <row r="802" spans="1:17" ht="19.899999999999999" customHeight="1" x14ac:dyDescent="0.25">
      <c r="A802" s="74"/>
      <c r="B802" s="74"/>
      <c r="C802" s="74"/>
      <c r="D802" s="74"/>
      <c r="E802" s="69"/>
      <c r="F802" s="75"/>
      <c r="G802" s="76"/>
      <c r="H802" s="76"/>
      <c r="I802" s="76"/>
      <c r="J802" s="76"/>
      <c r="K802" s="76"/>
      <c r="L802" s="76"/>
      <c r="M802" s="77"/>
      <c r="N802" s="77"/>
      <c r="O802" s="78"/>
      <c r="P802" s="78"/>
      <c r="Q802" s="76"/>
    </row>
    <row r="803" spans="1:17" ht="19.899999999999999" customHeight="1" x14ac:dyDescent="0.25">
      <c r="A803" s="74"/>
      <c r="B803" s="74"/>
      <c r="C803" s="74"/>
      <c r="D803" s="74"/>
      <c r="E803" s="69"/>
      <c r="F803" s="75"/>
      <c r="G803" s="76"/>
      <c r="H803" s="76"/>
      <c r="I803" s="76"/>
      <c r="J803" s="76"/>
      <c r="K803" s="76"/>
      <c r="L803" s="76"/>
      <c r="M803" s="77"/>
      <c r="N803" s="77"/>
      <c r="O803" s="78"/>
      <c r="P803" s="78"/>
      <c r="Q803" s="76"/>
    </row>
    <row r="804" spans="1:17" ht="19.899999999999999" customHeight="1" x14ac:dyDescent="0.25">
      <c r="A804" s="74"/>
      <c r="B804" s="74"/>
      <c r="C804" s="74"/>
      <c r="D804" s="74"/>
      <c r="E804" s="69"/>
      <c r="F804" s="75"/>
      <c r="G804" s="76"/>
      <c r="H804" s="76"/>
      <c r="I804" s="76"/>
      <c r="J804" s="76"/>
      <c r="K804" s="76"/>
      <c r="L804" s="76"/>
      <c r="M804" s="77"/>
      <c r="N804" s="77"/>
      <c r="O804" s="78"/>
      <c r="P804" s="78"/>
      <c r="Q804" s="76"/>
    </row>
    <row r="805" spans="1:17" ht="19.899999999999999" customHeight="1" x14ac:dyDescent="0.25">
      <c r="A805" s="74"/>
      <c r="B805" s="74"/>
      <c r="C805" s="74"/>
      <c r="D805" s="74"/>
      <c r="E805" s="69"/>
      <c r="F805" s="75"/>
      <c r="G805" s="76"/>
      <c r="H805" s="76"/>
      <c r="I805" s="76"/>
      <c r="J805" s="76"/>
      <c r="K805" s="76"/>
      <c r="L805" s="76"/>
      <c r="M805" s="77"/>
      <c r="N805" s="77"/>
      <c r="O805" s="78"/>
      <c r="P805" s="78"/>
      <c r="Q805" s="76"/>
    </row>
    <row r="806" spans="1:17" ht="19.899999999999999" customHeight="1" x14ac:dyDescent="0.25">
      <c r="A806" s="74"/>
      <c r="B806" s="74"/>
      <c r="C806" s="74"/>
      <c r="D806" s="74"/>
      <c r="E806" s="69"/>
      <c r="F806" s="75"/>
      <c r="G806" s="76"/>
      <c r="H806" s="76"/>
      <c r="I806" s="76"/>
      <c r="J806" s="76"/>
      <c r="K806" s="76"/>
      <c r="L806" s="76"/>
      <c r="M806" s="77"/>
      <c r="N806" s="77"/>
      <c r="O806" s="78"/>
      <c r="P806" s="78"/>
      <c r="Q806" s="76"/>
    </row>
    <row r="807" spans="1:17" ht="19.899999999999999" customHeight="1" x14ac:dyDescent="0.25">
      <c r="A807" s="74"/>
      <c r="B807" s="74"/>
      <c r="C807" s="74"/>
      <c r="D807" s="74"/>
      <c r="E807" s="69"/>
      <c r="F807" s="75"/>
      <c r="G807" s="76"/>
      <c r="H807" s="76"/>
      <c r="I807" s="76"/>
      <c r="J807" s="76"/>
      <c r="K807" s="76"/>
      <c r="L807" s="76"/>
      <c r="M807" s="77"/>
      <c r="N807" s="77"/>
      <c r="O807" s="78"/>
      <c r="P807" s="78"/>
      <c r="Q807" s="76"/>
    </row>
    <row r="808" spans="1:17" ht="19.899999999999999" customHeight="1" x14ac:dyDescent="0.25">
      <c r="A808" s="74"/>
      <c r="B808" s="74"/>
      <c r="C808" s="74"/>
      <c r="D808" s="74"/>
      <c r="E808" s="69"/>
      <c r="F808" s="75"/>
      <c r="G808" s="76"/>
      <c r="H808" s="76"/>
      <c r="I808" s="76"/>
      <c r="J808" s="76"/>
      <c r="K808" s="76"/>
      <c r="L808" s="76"/>
      <c r="M808" s="77"/>
      <c r="N808" s="77"/>
      <c r="O808" s="78"/>
      <c r="P808" s="78"/>
      <c r="Q808" s="76"/>
    </row>
    <row r="809" spans="1:17" ht="19.899999999999999" customHeight="1" x14ac:dyDescent="0.25">
      <c r="A809" s="74"/>
      <c r="B809" s="74"/>
      <c r="C809" s="74"/>
      <c r="D809" s="74"/>
      <c r="E809" s="69"/>
      <c r="F809" s="75"/>
      <c r="G809" s="76"/>
      <c r="H809" s="76"/>
      <c r="I809" s="76"/>
      <c r="J809" s="76"/>
      <c r="K809" s="76"/>
      <c r="L809" s="76"/>
      <c r="M809" s="77"/>
      <c r="N809" s="77"/>
      <c r="O809" s="78"/>
      <c r="P809" s="78"/>
      <c r="Q809" s="76"/>
    </row>
    <row r="810" spans="1:17" ht="19.899999999999999" customHeight="1" x14ac:dyDescent="0.25">
      <c r="A810" s="74"/>
      <c r="B810" s="74"/>
      <c r="C810" s="74"/>
      <c r="D810" s="74"/>
      <c r="E810" s="69"/>
      <c r="F810" s="75"/>
      <c r="G810" s="76"/>
      <c r="H810" s="76"/>
      <c r="I810" s="76"/>
      <c r="J810" s="76"/>
      <c r="K810" s="76"/>
      <c r="L810" s="76"/>
      <c r="M810" s="77"/>
      <c r="N810" s="77"/>
      <c r="O810" s="78"/>
      <c r="P810" s="78"/>
      <c r="Q810" s="76"/>
    </row>
    <row r="811" spans="1:17" ht="19.899999999999999" customHeight="1" x14ac:dyDescent="0.25">
      <c r="A811" s="74"/>
      <c r="B811" s="74"/>
      <c r="C811" s="74"/>
      <c r="D811" s="74"/>
      <c r="E811" s="69"/>
      <c r="F811" s="75"/>
      <c r="G811" s="76"/>
      <c r="H811" s="76"/>
      <c r="I811" s="76"/>
      <c r="J811" s="76"/>
      <c r="K811" s="76"/>
      <c r="L811" s="76"/>
      <c r="M811" s="77"/>
      <c r="N811" s="77"/>
      <c r="O811" s="78"/>
      <c r="P811" s="78"/>
      <c r="Q811" s="76"/>
    </row>
    <row r="812" spans="1:17" ht="19.899999999999999" customHeight="1" x14ac:dyDescent="0.25">
      <c r="A812" s="74"/>
      <c r="B812" s="74"/>
      <c r="C812" s="74"/>
      <c r="D812" s="74"/>
      <c r="E812" s="69"/>
      <c r="F812" s="75"/>
      <c r="G812" s="76"/>
      <c r="H812" s="76"/>
      <c r="I812" s="76"/>
      <c r="J812" s="76"/>
      <c r="K812" s="76"/>
      <c r="L812" s="76"/>
      <c r="M812" s="77"/>
      <c r="N812" s="77"/>
      <c r="O812" s="78"/>
      <c r="P812" s="78"/>
      <c r="Q812" s="76"/>
    </row>
    <row r="813" spans="1:17" ht="19.899999999999999" customHeight="1" x14ac:dyDescent="0.25">
      <c r="A813" s="74"/>
      <c r="B813" s="74"/>
      <c r="C813" s="74"/>
      <c r="D813" s="74"/>
      <c r="E813" s="69"/>
      <c r="F813" s="75"/>
      <c r="G813" s="76"/>
      <c r="H813" s="76"/>
      <c r="I813" s="76"/>
      <c r="J813" s="76"/>
      <c r="K813" s="76"/>
      <c r="L813" s="76"/>
      <c r="M813" s="77"/>
      <c r="N813" s="77"/>
      <c r="O813" s="78"/>
      <c r="P813" s="78"/>
      <c r="Q813" s="76"/>
    </row>
    <row r="814" spans="1:17" ht="19.899999999999999" customHeight="1" x14ac:dyDescent="0.25">
      <c r="A814" s="74"/>
      <c r="B814" s="74"/>
      <c r="C814" s="74"/>
      <c r="D814" s="74"/>
      <c r="E814" s="69"/>
      <c r="F814" s="75"/>
      <c r="G814" s="76"/>
      <c r="H814" s="76"/>
      <c r="I814" s="76"/>
      <c r="J814" s="76"/>
      <c r="K814" s="76"/>
      <c r="L814" s="76"/>
      <c r="M814" s="77"/>
      <c r="N814" s="77"/>
      <c r="O814" s="78"/>
      <c r="P814" s="78"/>
      <c r="Q814" s="76"/>
    </row>
    <row r="815" spans="1:17" ht="19.899999999999999" customHeight="1" x14ac:dyDescent="0.25">
      <c r="A815" s="74"/>
      <c r="B815" s="74"/>
      <c r="C815" s="74"/>
      <c r="D815" s="74"/>
      <c r="E815" s="69"/>
      <c r="F815" s="75"/>
      <c r="G815" s="76"/>
      <c r="H815" s="76"/>
      <c r="I815" s="76"/>
      <c r="J815" s="76"/>
      <c r="K815" s="76"/>
      <c r="L815" s="76"/>
      <c r="M815" s="77"/>
      <c r="N815" s="77"/>
      <c r="O815" s="78"/>
      <c r="P815" s="78"/>
      <c r="Q815" s="76"/>
    </row>
    <row r="816" spans="1:17" ht="19.899999999999999" customHeight="1" x14ac:dyDescent="0.25">
      <c r="A816" s="74"/>
      <c r="B816" s="74"/>
      <c r="C816" s="74"/>
      <c r="D816" s="74"/>
      <c r="E816" s="69"/>
      <c r="F816" s="75"/>
      <c r="G816" s="76"/>
      <c r="H816" s="76"/>
      <c r="I816" s="76"/>
      <c r="J816" s="76"/>
      <c r="K816" s="76"/>
      <c r="L816" s="76"/>
      <c r="M816" s="77"/>
      <c r="N816" s="77"/>
      <c r="O816" s="78"/>
      <c r="P816" s="78"/>
      <c r="Q816" s="76"/>
    </row>
    <row r="817" spans="1:17" ht="19.899999999999999" customHeight="1" x14ac:dyDescent="0.25">
      <c r="A817" s="74"/>
      <c r="B817" s="74"/>
      <c r="C817" s="74"/>
      <c r="D817" s="74"/>
      <c r="E817" s="69"/>
      <c r="F817" s="75"/>
      <c r="G817" s="76"/>
      <c r="H817" s="76"/>
      <c r="I817" s="76"/>
      <c r="J817" s="76"/>
      <c r="K817" s="76"/>
      <c r="L817" s="76"/>
      <c r="M817" s="77"/>
      <c r="N817" s="77"/>
      <c r="O817" s="78"/>
      <c r="P817" s="78"/>
      <c r="Q817" s="76"/>
    </row>
    <row r="818" spans="1:17" ht="19.899999999999999" customHeight="1" x14ac:dyDescent="0.25">
      <c r="A818" s="74"/>
      <c r="B818" s="74"/>
      <c r="C818" s="74"/>
      <c r="D818" s="74"/>
      <c r="E818" s="69"/>
      <c r="F818" s="75"/>
      <c r="G818" s="76"/>
      <c r="H818" s="76"/>
      <c r="I818" s="76"/>
      <c r="J818" s="76"/>
      <c r="K818" s="76"/>
      <c r="L818" s="76"/>
      <c r="M818" s="77"/>
      <c r="N818" s="77"/>
      <c r="O818" s="78"/>
      <c r="P818" s="78"/>
      <c r="Q818" s="76"/>
    </row>
    <row r="819" spans="1:17" ht="19.899999999999999" customHeight="1" x14ac:dyDescent="0.25">
      <c r="A819" s="74"/>
      <c r="B819" s="74"/>
      <c r="C819" s="74"/>
      <c r="D819" s="74"/>
      <c r="E819" s="69"/>
      <c r="F819" s="75"/>
      <c r="G819" s="76"/>
      <c r="H819" s="76"/>
      <c r="I819" s="76"/>
      <c r="J819" s="76"/>
      <c r="K819" s="76"/>
      <c r="L819" s="76"/>
      <c r="M819" s="77"/>
      <c r="N819" s="77"/>
      <c r="O819" s="78"/>
      <c r="P819" s="78"/>
      <c r="Q819" s="76"/>
    </row>
    <row r="820" spans="1:17" ht="19.899999999999999" customHeight="1" x14ac:dyDescent="0.25">
      <c r="A820" s="74"/>
      <c r="B820" s="74"/>
      <c r="C820" s="74"/>
      <c r="D820" s="74"/>
      <c r="E820" s="69"/>
      <c r="F820" s="75"/>
      <c r="G820" s="76"/>
      <c r="H820" s="76"/>
      <c r="I820" s="76"/>
      <c r="J820" s="76"/>
      <c r="K820" s="76"/>
      <c r="L820" s="76"/>
      <c r="M820" s="77"/>
      <c r="N820" s="77"/>
      <c r="O820" s="78"/>
      <c r="P820" s="78"/>
      <c r="Q820" s="76"/>
    </row>
    <row r="821" spans="1:17" ht="19.899999999999999" customHeight="1" x14ac:dyDescent="0.25">
      <c r="A821" s="74"/>
      <c r="B821" s="74"/>
      <c r="C821" s="74"/>
      <c r="D821" s="74"/>
      <c r="E821" s="69"/>
      <c r="F821" s="75"/>
      <c r="G821" s="76"/>
      <c r="H821" s="76"/>
      <c r="I821" s="76"/>
      <c r="J821" s="76"/>
      <c r="K821" s="76"/>
      <c r="L821" s="76"/>
      <c r="M821" s="77"/>
      <c r="N821" s="77"/>
      <c r="O821" s="78"/>
      <c r="P821" s="78"/>
      <c r="Q821" s="76"/>
    </row>
    <row r="822" spans="1:17" ht="19.899999999999999" customHeight="1" x14ac:dyDescent="0.25">
      <c r="A822" s="74"/>
      <c r="B822" s="74"/>
      <c r="C822" s="74"/>
      <c r="D822" s="74"/>
      <c r="E822" s="69"/>
      <c r="F822" s="75"/>
      <c r="G822" s="76"/>
      <c r="H822" s="76"/>
      <c r="I822" s="76"/>
      <c r="J822" s="76"/>
      <c r="K822" s="76"/>
      <c r="L822" s="76"/>
      <c r="M822" s="77"/>
      <c r="N822" s="77"/>
      <c r="O822" s="78"/>
      <c r="P822" s="78"/>
      <c r="Q822" s="76"/>
    </row>
    <row r="823" spans="1:17" ht="19.899999999999999" customHeight="1" x14ac:dyDescent="0.25">
      <c r="A823" s="74"/>
      <c r="B823" s="74"/>
      <c r="C823" s="74"/>
      <c r="D823" s="74"/>
      <c r="E823" s="69"/>
      <c r="F823" s="75"/>
      <c r="G823" s="76"/>
      <c r="H823" s="76"/>
      <c r="I823" s="76"/>
      <c r="J823" s="76"/>
      <c r="K823" s="76"/>
      <c r="L823" s="76"/>
      <c r="M823" s="77"/>
      <c r="N823" s="77"/>
      <c r="O823" s="78"/>
      <c r="P823" s="78"/>
      <c r="Q823" s="76"/>
    </row>
    <row r="824" spans="1:17" ht="19.899999999999999" customHeight="1" x14ac:dyDescent="0.25">
      <c r="A824" s="74"/>
      <c r="B824" s="74"/>
      <c r="C824" s="74"/>
      <c r="D824" s="74"/>
      <c r="E824" s="69"/>
      <c r="F824" s="75"/>
      <c r="G824" s="76"/>
      <c r="H824" s="76"/>
      <c r="I824" s="76"/>
      <c r="J824" s="76"/>
      <c r="K824" s="76"/>
      <c r="L824" s="76"/>
      <c r="M824" s="77"/>
      <c r="N824" s="77"/>
      <c r="O824" s="78"/>
      <c r="P824" s="78"/>
      <c r="Q824" s="76"/>
    </row>
    <row r="825" spans="1:17" ht="19.899999999999999" customHeight="1" x14ac:dyDescent="0.25">
      <c r="A825" s="74"/>
      <c r="B825" s="74"/>
      <c r="C825" s="74"/>
      <c r="D825" s="74"/>
      <c r="E825" s="69"/>
      <c r="F825" s="75"/>
      <c r="G825" s="76"/>
      <c r="H825" s="76"/>
      <c r="I825" s="76"/>
      <c r="J825" s="76"/>
      <c r="K825" s="76"/>
      <c r="L825" s="76"/>
      <c r="M825" s="77"/>
      <c r="N825" s="77"/>
      <c r="O825" s="78"/>
      <c r="P825" s="78"/>
      <c r="Q825" s="76"/>
    </row>
    <row r="826" spans="1:17" ht="19.899999999999999" customHeight="1" x14ac:dyDescent="0.25">
      <c r="A826" s="74"/>
      <c r="B826" s="74"/>
      <c r="C826" s="74"/>
      <c r="D826" s="74"/>
      <c r="E826" s="69"/>
      <c r="F826" s="75"/>
      <c r="G826" s="76"/>
      <c r="H826" s="76"/>
      <c r="I826" s="76"/>
      <c r="J826" s="76"/>
      <c r="K826" s="76"/>
      <c r="L826" s="76"/>
      <c r="M826" s="77"/>
      <c r="N826" s="77"/>
      <c r="O826" s="78"/>
      <c r="P826" s="78"/>
      <c r="Q826" s="76"/>
    </row>
    <row r="827" spans="1:17" ht="19.899999999999999" customHeight="1" x14ac:dyDescent="0.25">
      <c r="A827" s="74"/>
      <c r="B827" s="74"/>
      <c r="C827" s="74"/>
      <c r="D827" s="74"/>
      <c r="E827" s="69"/>
      <c r="F827" s="75"/>
      <c r="G827" s="76"/>
      <c r="H827" s="76"/>
      <c r="I827" s="76"/>
      <c r="J827" s="76"/>
      <c r="K827" s="76"/>
      <c r="L827" s="76"/>
      <c r="M827" s="77"/>
      <c r="N827" s="77"/>
      <c r="O827" s="78"/>
      <c r="P827" s="78"/>
      <c r="Q827" s="76"/>
    </row>
    <row r="828" spans="1:17" ht="19.899999999999999" customHeight="1" x14ac:dyDescent="0.25">
      <c r="A828" s="74"/>
      <c r="B828" s="74"/>
      <c r="C828" s="74"/>
      <c r="D828" s="74"/>
      <c r="E828" s="69"/>
      <c r="F828" s="75"/>
      <c r="G828" s="76"/>
      <c r="H828" s="76"/>
      <c r="I828" s="76"/>
      <c r="J828" s="76"/>
      <c r="K828" s="76"/>
      <c r="L828" s="76"/>
      <c r="M828" s="77"/>
      <c r="N828" s="77"/>
      <c r="O828" s="78"/>
      <c r="P828" s="78"/>
      <c r="Q828" s="76"/>
    </row>
    <row r="829" spans="1:17" ht="19.899999999999999" customHeight="1" x14ac:dyDescent="0.25">
      <c r="A829" s="74"/>
      <c r="B829" s="74"/>
      <c r="C829" s="74"/>
      <c r="D829" s="74"/>
      <c r="E829" s="69"/>
      <c r="F829" s="75"/>
      <c r="G829" s="76"/>
      <c r="H829" s="76"/>
      <c r="I829" s="76"/>
      <c r="J829" s="76"/>
      <c r="K829" s="76"/>
      <c r="L829" s="76"/>
      <c r="M829" s="77"/>
      <c r="N829" s="77"/>
      <c r="O829" s="78"/>
      <c r="P829" s="78"/>
      <c r="Q829" s="76"/>
    </row>
    <row r="830" spans="1:17" ht="19.899999999999999" customHeight="1" x14ac:dyDescent="0.25">
      <c r="A830" s="74"/>
      <c r="B830" s="74"/>
      <c r="C830" s="74"/>
      <c r="D830" s="74"/>
      <c r="E830" s="69"/>
      <c r="F830" s="75"/>
      <c r="G830" s="76"/>
      <c r="H830" s="76"/>
      <c r="I830" s="76"/>
      <c r="J830" s="76"/>
      <c r="K830" s="76"/>
      <c r="L830" s="76"/>
      <c r="M830" s="77"/>
      <c r="N830" s="77"/>
      <c r="O830" s="78"/>
      <c r="P830" s="78"/>
      <c r="Q830" s="76"/>
    </row>
    <row r="831" spans="1:17" ht="19.899999999999999" customHeight="1" x14ac:dyDescent="0.25">
      <c r="A831" s="74"/>
      <c r="B831" s="74"/>
      <c r="C831" s="74"/>
      <c r="D831" s="74"/>
      <c r="E831" s="69"/>
      <c r="F831" s="75"/>
      <c r="G831" s="76"/>
      <c r="H831" s="76"/>
      <c r="I831" s="76"/>
      <c r="J831" s="76"/>
      <c r="K831" s="76"/>
      <c r="L831" s="76"/>
      <c r="M831" s="77"/>
      <c r="N831" s="77"/>
      <c r="O831" s="78"/>
      <c r="P831" s="78"/>
      <c r="Q831" s="76"/>
    </row>
    <row r="832" spans="1:17" ht="19.899999999999999" customHeight="1" x14ac:dyDescent="0.25">
      <c r="A832" s="74"/>
      <c r="B832" s="74"/>
      <c r="C832" s="74"/>
      <c r="D832" s="74"/>
      <c r="E832" s="69"/>
      <c r="F832" s="75"/>
      <c r="G832" s="76"/>
      <c r="H832" s="76"/>
      <c r="I832" s="76"/>
      <c r="J832" s="76"/>
      <c r="K832" s="76"/>
      <c r="L832" s="76"/>
      <c r="M832" s="77"/>
      <c r="N832" s="77"/>
      <c r="O832" s="78"/>
      <c r="P832" s="78"/>
      <c r="Q832" s="76"/>
    </row>
    <row r="833" spans="1:17" ht="19.899999999999999" customHeight="1" x14ac:dyDescent="0.25">
      <c r="A833" s="74"/>
      <c r="B833" s="74"/>
      <c r="C833" s="74"/>
      <c r="D833" s="74"/>
      <c r="E833" s="69"/>
      <c r="F833" s="75"/>
      <c r="G833" s="76"/>
      <c r="H833" s="76"/>
      <c r="I833" s="76"/>
      <c r="J833" s="76"/>
      <c r="K833" s="76"/>
      <c r="L833" s="76"/>
      <c r="M833" s="77"/>
      <c r="N833" s="77"/>
      <c r="O833" s="78"/>
      <c r="P833" s="78"/>
      <c r="Q833" s="76"/>
    </row>
    <row r="834" spans="1:17" ht="19.899999999999999" customHeight="1" x14ac:dyDescent="0.25">
      <c r="A834" s="74"/>
      <c r="B834" s="74"/>
      <c r="C834" s="74"/>
      <c r="D834" s="74"/>
      <c r="E834" s="69"/>
      <c r="F834" s="75"/>
      <c r="G834" s="76"/>
      <c r="H834" s="76"/>
      <c r="I834" s="76"/>
      <c r="J834" s="76"/>
      <c r="K834" s="76"/>
      <c r="L834" s="76"/>
      <c r="M834" s="77"/>
      <c r="N834" s="77"/>
      <c r="O834" s="78"/>
      <c r="P834" s="78"/>
      <c r="Q834" s="76"/>
    </row>
    <row r="835" spans="1:17" ht="19.899999999999999" customHeight="1" x14ac:dyDescent="0.25">
      <c r="A835" s="74"/>
      <c r="B835" s="74"/>
      <c r="C835" s="74"/>
      <c r="D835" s="74"/>
      <c r="E835" s="69"/>
      <c r="F835" s="75"/>
      <c r="G835" s="76"/>
      <c r="H835" s="76"/>
      <c r="I835" s="76"/>
      <c r="J835" s="76"/>
      <c r="K835" s="76"/>
      <c r="L835" s="76"/>
      <c r="M835" s="77"/>
      <c r="N835" s="77"/>
      <c r="O835" s="78"/>
      <c r="P835" s="78"/>
      <c r="Q835" s="76"/>
    </row>
    <row r="836" spans="1:17" ht="19.899999999999999" customHeight="1" x14ac:dyDescent="0.25">
      <c r="A836" s="74"/>
      <c r="B836" s="74"/>
      <c r="C836" s="74"/>
      <c r="D836" s="74"/>
      <c r="E836" s="69"/>
      <c r="F836" s="75"/>
      <c r="G836" s="76"/>
      <c r="H836" s="76"/>
      <c r="I836" s="76"/>
      <c r="J836" s="76"/>
      <c r="K836" s="76"/>
      <c r="L836" s="76"/>
      <c r="M836" s="77"/>
      <c r="N836" s="77"/>
      <c r="O836" s="78"/>
      <c r="P836" s="78"/>
      <c r="Q836" s="76"/>
    </row>
    <row r="837" spans="1:17" ht="19.899999999999999" customHeight="1" x14ac:dyDescent="0.25">
      <c r="A837" s="74"/>
      <c r="B837" s="74"/>
      <c r="C837" s="74"/>
      <c r="D837" s="74"/>
      <c r="E837" s="69"/>
      <c r="F837" s="75"/>
      <c r="G837" s="76"/>
      <c r="H837" s="76"/>
      <c r="I837" s="76"/>
      <c r="J837" s="76"/>
      <c r="K837" s="76"/>
      <c r="L837" s="76"/>
      <c r="M837" s="77"/>
      <c r="N837" s="77"/>
      <c r="O837" s="78"/>
      <c r="P837" s="78"/>
      <c r="Q837" s="76"/>
    </row>
    <row r="838" spans="1:17" ht="19.899999999999999" customHeight="1" x14ac:dyDescent="0.25">
      <c r="A838" s="74"/>
      <c r="B838" s="74"/>
      <c r="C838" s="74"/>
      <c r="D838" s="74"/>
      <c r="E838" s="69"/>
      <c r="F838" s="75"/>
      <c r="G838" s="76"/>
      <c r="H838" s="76"/>
      <c r="I838" s="76"/>
      <c r="J838" s="76"/>
      <c r="K838" s="76"/>
      <c r="L838" s="76"/>
      <c r="M838" s="77"/>
      <c r="N838" s="77"/>
      <c r="O838" s="78"/>
      <c r="P838" s="78"/>
      <c r="Q838" s="76"/>
    </row>
    <row r="839" spans="1:17" ht="19.899999999999999" customHeight="1" x14ac:dyDescent="0.25">
      <c r="A839" s="74"/>
      <c r="B839" s="74"/>
      <c r="C839" s="74"/>
      <c r="D839" s="74"/>
      <c r="E839" s="69"/>
      <c r="F839" s="75"/>
      <c r="G839" s="76"/>
      <c r="H839" s="76"/>
      <c r="I839" s="76"/>
      <c r="J839" s="76"/>
      <c r="K839" s="76"/>
      <c r="L839" s="76"/>
      <c r="M839" s="77"/>
      <c r="N839" s="77"/>
      <c r="O839" s="78"/>
      <c r="P839" s="78"/>
      <c r="Q839" s="76"/>
    </row>
    <row r="840" spans="1:17" ht="19.899999999999999" customHeight="1" x14ac:dyDescent="0.25">
      <c r="A840" s="74"/>
      <c r="B840" s="74"/>
      <c r="C840" s="74"/>
      <c r="D840" s="74"/>
      <c r="E840" s="69"/>
      <c r="F840" s="75"/>
      <c r="G840" s="76"/>
      <c r="H840" s="76"/>
      <c r="I840" s="76"/>
      <c r="J840" s="76"/>
      <c r="K840" s="76"/>
      <c r="L840" s="76"/>
      <c r="M840" s="77"/>
      <c r="N840" s="77"/>
      <c r="O840" s="78"/>
      <c r="P840" s="78"/>
      <c r="Q840" s="76"/>
    </row>
    <row r="841" spans="1:17" ht="19.899999999999999" customHeight="1" x14ac:dyDescent="0.25">
      <c r="A841" s="74"/>
      <c r="B841" s="74"/>
      <c r="C841" s="74"/>
      <c r="D841" s="74"/>
      <c r="E841" s="69"/>
      <c r="F841" s="75"/>
      <c r="G841" s="76"/>
      <c r="H841" s="76"/>
      <c r="I841" s="76"/>
      <c r="J841" s="76"/>
      <c r="K841" s="76"/>
      <c r="L841" s="76"/>
      <c r="M841" s="77"/>
      <c r="N841" s="77"/>
      <c r="O841" s="78"/>
      <c r="P841" s="78"/>
      <c r="Q841" s="76"/>
    </row>
    <row r="842" spans="1:17" ht="19.899999999999999" customHeight="1" x14ac:dyDescent="0.25">
      <c r="A842" s="74"/>
      <c r="B842" s="74"/>
      <c r="C842" s="74"/>
      <c r="D842" s="74"/>
      <c r="E842" s="69"/>
      <c r="F842" s="75"/>
      <c r="G842" s="76"/>
      <c r="H842" s="76"/>
      <c r="I842" s="76"/>
      <c r="J842" s="76"/>
      <c r="K842" s="76"/>
      <c r="L842" s="76"/>
      <c r="M842" s="77"/>
      <c r="N842" s="77"/>
      <c r="O842" s="78"/>
      <c r="P842" s="78"/>
      <c r="Q842" s="76"/>
    </row>
    <row r="843" spans="1:17" ht="19.899999999999999" customHeight="1" x14ac:dyDescent="0.25">
      <c r="A843" s="74"/>
      <c r="B843" s="74"/>
      <c r="C843" s="74"/>
      <c r="D843" s="74"/>
      <c r="E843" s="69"/>
      <c r="F843" s="75"/>
      <c r="G843" s="76"/>
      <c r="H843" s="76"/>
      <c r="I843" s="76"/>
      <c r="J843" s="76"/>
      <c r="K843" s="76"/>
      <c r="L843" s="76"/>
      <c r="M843" s="77"/>
      <c r="N843" s="77"/>
      <c r="O843" s="78"/>
      <c r="P843" s="78"/>
      <c r="Q843" s="76"/>
    </row>
    <row r="844" spans="1:17" ht="19.899999999999999" customHeight="1" x14ac:dyDescent="0.25">
      <c r="A844" s="74"/>
      <c r="B844" s="74"/>
      <c r="C844" s="74"/>
      <c r="D844" s="74"/>
      <c r="E844" s="69"/>
      <c r="F844" s="75"/>
      <c r="G844" s="76"/>
      <c r="H844" s="76"/>
      <c r="I844" s="76"/>
      <c r="J844" s="76"/>
      <c r="K844" s="76"/>
      <c r="L844" s="76"/>
      <c r="M844" s="77"/>
      <c r="N844" s="77"/>
      <c r="O844" s="78"/>
      <c r="P844" s="78"/>
      <c r="Q844" s="76"/>
    </row>
    <row r="845" spans="1:17" ht="19.899999999999999" customHeight="1" x14ac:dyDescent="0.25">
      <c r="A845" s="74"/>
      <c r="B845" s="74"/>
      <c r="C845" s="74"/>
      <c r="D845" s="74"/>
      <c r="E845" s="69"/>
      <c r="F845" s="75"/>
      <c r="G845" s="76"/>
      <c r="H845" s="76"/>
      <c r="I845" s="76"/>
      <c r="J845" s="76"/>
      <c r="K845" s="76"/>
      <c r="L845" s="76"/>
      <c r="M845" s="77"/>
      <c r="N845" s="77"/>
      <c r="O845" s="78"/>
      <c r="P845" s="78"/>
      <c r="Q845" s="76"/>
    </row>
    <row r="846" spans="1:17" ht="19.899999999999999" customHeight="1" x14ac:dyDescent="0.25">
      <c r="A846" s="74"/>
      <c r="B846" s="74"/>
      <c r="C846" s="74"/>
      <c r="D846" s="74"/>
      <c r="E846" s="69"/>
      <c r="F846" s="75"/>
      <c r="G846" s="76"/>
      <c r="H846" s="76"/>
      <c r="I846" s="76"/>
      <c r="J846" s="76"/>
      <c r="K846" s="76"/>
      <c r="L846" s="76"/>
      <c r="M846" s="77"/>
      <c r="N846" s="77"/>
      <c r="O846" s="78"/>
      <c r="P846" s="78"/>
      <c r="Q846" s="76"/>
    </row>
    <row r="847" spans="1:17" ht="19.899999999999999" customHeight="1" x14ac:dyDescent="0.25">
      <c r="A847" s="74"/>
      <c r="B847" s="74"/>
      <c r="C847" s="74"/>
      <c r="D847" s="74"/>
      <c r="E847" s="69"/>
      <c r="F847" s="75"/>
      <c r="G847" s="76"/>
      <c r="H847" s="76"/>
      <c r="I847" s="76"/>
      <c r="J847" s="76"/>
      <c r="K847" s="76"/>
      <c r="L847" s="76"/>
      <c r="M847" s="77"/>
      <c r="N847" s="77"/>
      <c r="O847" s="78"/>
      <c r="P847" s="78"/>
      <c r="Q847" s="76"/>
    </row>
    <row r="848" spans="1:17" ht="19.899999999999999" customHeight="1" x14ac:dyDescent="0.25">
      <c r="A848" s="74"/>
      <c r="B848" s="74"/>
      <c r="C848" s="74"/>
      <c r="D848" s="74"/>
      <c r="E848" s="69"/>
      <c r="F848" s="75"/>
      <c r="G848" s="76"/>
      <c r="H848" s="76"/>
      <c r="I848" s="76"/>
      <c r="J848" s="76"/>
      <c r="K848" s="76"/>
      <c r="L848" s="76"/>
      <c r="M848" s="77"/>
      <c r="N848" s="77"/>
      <c r="O848" s="78"/>
      <c r="P848" s="78"/>
      <c r="Q848" s="76"/>
    </row>
    <row r="849" spans="1:17" ht="19.899999999999999" customHeight="1" x14ac:dyDescent="0.25">
      <c r="A849" s="74"/>
      <c r="B849" s="74"/>
      <c r="C849" s="74"/>
      <c r="D849" s="74"/>
      <c r="E849" s="69"/>
      <c r="F849" s="75"/>
      <c r="G849" s="76"/>
      <c r="H849" s="76"/>
      <c r="I849" s="76"/>
      <c r="J849" s="76"/>
      <c r="K849" s="76"/>
      <c r="L849" s="76"/>
      <c r="M849" s="77"/>
      <c r="N849" s="77"/>
      <c r="O849" s="78"/>
      <c r="P849" s="78"/>
      <c r="Q849" s="76"/>
    </row>
    <row r="850" spans="1:17" ht="19.899999999999999" customHeight="1" x14ac:dyDescent="0.25">
      <c r="A850" s="74"/>
      <c r="B850" s="74"/>
      <c r="C850" s="74"/>
      <c r="D850" s="74"/>
      <c r="E850" s="69"/>
      <c r="F850" s="75"/>
      <c r="G850" s="76"/>
      <c r="H850" s="76"/>
      <c r="I850" s="76"/>
      <c r="J850" s="76"/>
      <c r="K850" s="76"/>
      <c r="L850" s="76"/>
      <c r="M850" s="77"/>
      <c r="N850" s="77"/>
      <c r="O850" s="78"/>
      <c r="P850" s="78"/>
      <c r="Q850" s="76"/>
    </row>
    <row r="851" spans="1:17" ht="19.899999999999999" customHeight="1" x14ac:dyDescent="0.25">
      <c r="A851" s="74"/>
      <c r="B851" s="74"/>
      <c r="C851" s="74"/>
      <c r="D851" s="74"/>
      <c r="E851" s="69"/>
      <c r="F851" s="75"/>
      <c r="G851" s="76"/>
      <c r="H851" s="76"/>
      <c r="I851" s="76"/>
      <c r="J851" s="76"/>
      <c r="K851" s="76"/>
      <c r="L851" s="76"/>
      <c r="M851" s="77"/>
      <c r="N851" s="77"/>
      <c r="O851" s="78"/>
      <c r="P851" s="78"/>
      <c r="Q851" s="76"/>
    </row>
    <row r="852" spans="1:17" ht="19.899999999999999" customHeight="1" x14ac:dyDescent="0.25">
      <c r="A852" s="74"/>
      <c r="B852" s="74"/>
      <c r="C852" s="74"/>
      <c r="D852" s="74"/>
      <c r="E852" s="69"/>
      <c r="F852" s="75"/>
      <c r="G852" s="76"/>
      <c r="H852" s="76"/>
      <c r="I852" s="76"/>
      <c r="J852" s="76"/>
      <c r="K852" s="76"/>
      <c r="L852" s="76"/>
      <c r="M852" s="77"/>
      <c r="N852" s="77"/>
      <c r="O852" s="78"/>
      <c r="P852" s="78"/>
      <c r="Q852" s="76"/>
    </row>
    <row r="853" spans="1:17" ht="19.899999999999999" customHeight="1" x14ac:dyDescent="0.25">
      <c r="A853" s="74"/>
      <c r="B853" s="74"/>
      <c r="C853" s="74"/>
      <c r="D853" s="74"/>
      <c r="E853" s="69"/>
      <c r="F853" s="75"/>
      <c r="G853" s="76"/>
      <c r="H853" s="76"/>
      <c r="I853" s="76"/>
      <c r="J853" s="76"/>
      <c r="K853" s="76"/>
      <c r="L853" s="76"/>
      <c r="M853" s="77"/>
      <c r="N853" s="77"/>
      <c r="O853" s="78"/>
      <c r="P853" s="78"/>
      <c r="Q853" s="76"/>
    </row>
    <row r="854" spans="1:17" ht="19.899999999999999" customHeight="1" x14ac:dyDescent="0.25">
      <c r="A854" s="74"/>
      <c r="B854" s="74"/>
      <c r="C854" s="74"/>
      <c r="D854" s="74"/>
      <c r="E854" s="69"/>
      <c r="F854" s="75"/>
      <c r="G854" s="76"/>
      <c r="H854" s="76"/>
      <c r="I854" s="76"/>
      <c r="J854" s="76"/>
      <c r="K854" s="76"/>
      <c r="L854" s="76"/>
      <c r="M854" s="77"/>
      <c r="N854" s="77"/>
      <c r="O854" s="78"/>
      <c r="P854" s="78"/>
      <c r="Q854" s="76"/>
    </row>
    <row r="855" spans="1:17" ht="19.899999999999999" customHeight="1" x14ac:dyDescent="0.25">
      <c r="A855" s="74"/>
      <c r="B855" s="74"/>
      <c r="C855" s="74"/>
      <c r="D855" s="74"/>
      <c r="E855" s="69"/>
      <c r="F855" s="75"/>
      <c r="G855" s="76"/>
      <c r="H855" s="76"/>
      <c r="I855" s="76"/>
      <c r="J855" s="76"/>
      <c r="K855" s="76"/>
      <c r="L855" s="76"/>
      <c r="M855" s="77"/>
      <c r="N855" s="77"/>
      <c r="O855" s="78"/>
      <c r="P855" s="78"/>
      <c r="Q855" s="76"/>
    </row>
    <row r="856" spans="1:17" ht="19.899999999999999" customHeight="1" x14ac:dyDescent="0.25">
      <c r="A856" s="74"/>
      <c r="B856" s="74"/>
      <c r="C856" s="74"/>
      <c r="D856" s="74"/>
      <c r="E856" s="69"/>
      <c r="F856" s="75"/>
      <c r="G856" s="76"/>
      <c r="H856" s="76"/>
      <c r="I856" s="76"/>
      <c r="J856" s="76"/>
      <c r="K856" s="76"/>
      <c r="L856" s="76"/>
      <c r="M856" s="77"/>
      <c r="N856" s="77"/>
      <c r="O856" s="78"/>
      <c r="P856" s="78"/>
      <c r="Q856" s="76"/>
    </row>
    <row r="857" spans="1:17" ht="19.899999999999999" customHeight="1" x14ac:dyDescent="0.25">
      <c r="A857" s="74"/>
      <c r="B857" s="74"/>
      <c r="C857" s="74"/>
      <c r="D857" s="74"/>
      <c r="E857" s="69"/>
      <c r="F857" s="75"/>
      <c r="G857" s="76"/>
      <c r="H857" s="76"/>
      <c r="I857" s="76"/>
      <c r="J857" s="76"/>
      <c r="K857" s="76"/>
      <c r="L857" s="76"/>
      <c r="M857" s="77"/>
      <c r="N857" s="77"/>
      <c r="O857" s="78"/>
      <c r="P857" s="78"/>
      <c r="Q857" s="76"/>
    </row>
    <row r="858" spans="1:17" ht="19.899999999999999" customHeight="1" x14ac:dyDescent="0.25">
      <c r="A858" s="74"/>
      <c r="B858" s="74"/>
      <c r="C858" s="74"/>
      <c r="D858" s="74"/>
      <c r="E858" s="69"/>
      <c r="F858" s="75"/>
      <c r="G858" s="76"/>
      <c r="H858" s="76"/>
      <c r="I858" s="76"/>
      <c r="J858" s="76"/>
      <c r="K858" s="76"/>
      <c r="L858" s="76"/>
      <c r="M858" s="77"/>
      <c r="N858" s="77"/>
      <c r="O858" s="78"/>
      <c r="P858" s="78"/>
      <c r="Q858" s="76"/>
    </row>
    <row r="859" spans="1:17" ht="19.899999999999999" customHeight="1" x14ac:dyDescent="0.25">
      <c r="A859" s="74"/>
      <c r="B859" s="74"/>
      <c r="C859" s="74"/>
      <c r="D859" s="74"/>
      <c r="E859" s="69"/>
      <c r="F859" s="75"/>
      <c r="G859" s="76"/>
      <c r="H859" s="76"/>
      <c r="I859" s="76"/>
      <c r="J859" s="76"/>
      <c r="K859" s="76"/>
      <c r="L859" s="76"/>
      <c r="M859" s="77"/>
      <c r="N859" s="77"/>
      <c r="O859" s="78"/>
      <c r="P859" s="78"/>
      <c r="Q859" s="76"/>
    </row>
    <row r="860" spans="1:17" ht="19.899999999999999" customHeight="1" x14ac:dyDescent="0.25">
      <c r="A860" s="74"/>
      <c r="B860" s="74"/>
      <c r="C860" s="74"/>
      <c r="D860" s="74"/>
      <c r="E860" s="69"/>
      <c r="F860" s="75"/>
      <c r="G860" s="76"/>
      <c r="H860" s="76"/>
      <c r="I860" s="76"/>
      <c r="J860" s="76"/>
      <c r="K860" s="76"/>
      <c r="L860" s="76"/>
      <c r="M860" s="77"/>
      <c r="N860" s="77"/>
      <c r="O860" s="78"/>
      <c r="P860" s="78"/>
      <c r="Q860" s="76"/>
    </row>
    <row r="861" spans="1:17" ht="19.899999999999999" customHeight="1" x14ac:dyDescent="0.25">
      <c r="A861" s="74"/>
      <c r="B861" s="74"/>
      <c r="C861" s="74"/>
      <c r="D861" s="74"/>
      <c r="E861" s="69"/>
      <c r="F861" s="75"/>
      <c r="G861" s="76"/>
      <c r="H861" s="76"/>
      <c r="I861" s="76"/>
      <c r="J861" s="76"/>
      <c r="K861" s="76"/>
      <c r="L861" s="76"/>
      <c r="M861" s="77"/>
      <c r="N861" s="77"/>
      <c r="O861" s="78"/>
      <c r="P861" s="78"/>
      <c r="Q861" s="76"/>
    </row>
    <row r="862" spans="1:17" ht="19.899999999999999" customHeight="1" x14ac:dyDescent="0.25">
      <c r="A862" s="74"/>
      <c r="B862" s="74"/>
      <c r="C862" s="74"/>
      <c r="D862" s="74"/>
      <c r="E862" s="69"/>
      <c r="F862" s="75"/>
      <c r="G862" s="76"/>
      <c r="H862" s="76"/>
      <c r="I862" s="76"/>
      <c r="J862" s="76"/>
      <c r="K862" s="76"/>
      <c r="L862" s="76"/>
      <c r="M862" s="77"/>
      <c r="N862" s="77"/>
      <c r="O862" s="78"/>
      <c r="P862" s="78"/>
      <c r="Q862" s="76"/>
    </row>
    <row r="863" spans="1:17" ht="19.899999999999999" customHeight="1" x14ac:dyDescent="0.25">
      <c r="A863" s="74"/>
      <c r="B863" s="74"/>
      <c r="C863" s="74"/>
      <c r="D863" s="74"/>
      <c r="E863" s="69"/>
      <c r="F863" s="75"/>
      <c r="G863" s="76"/>
      <c r="H863" s="76"/>
      <c r="I863" s="76"/>
      <c r="J863" s="76"/>
      <c r="K863" s="76"/>
      <c r="L863" s="76"/>
      <c r="M863" s="77"/>
      <c r="N863" s="77"/>
      <c r="O863" s="78"/>
      <c r="P863" s="78"/>
      <c r="Q863" s="76"/>
    </row>
    <row r="864" spans="1:17" ht="19.899999999999999" customHeight="1" x14ac:dyDescent="0.25">
      <c r="A864" s="74"/>
      <c r="B864" s="74"/>
      <c r="C864" s="74"/>
      <c r="D864" s="74"/>
      <c r="E864" s="69"/>
      <c r="F864" s="75"/>
      <c r="G864" s="76"/>
      <c r="H864" s="76"/>
      <c r="I864" s="76"/>
      <c r="J864" s="76"/>
      <c r="K864" s="76"/>
      <c r="L864" s="76"/>
      <c r="M864" s="77"/>
      <c r="N864" s="77"/>
      <c r="O864" s="78"/>
      <c r="P864" s="78"/>
      <c r="Q864" s="76"/>
    </row>
    <row r="865" spans="1:17" ht="19.899999999999999" customHeight="1" x14ac:dyDescent="0.25">
      <c r="A865" s="74"/>
      <c r="B865" s="74"/>
      <c r="C865" s="74"/>
      <c r="D865" s="74"/>
      <c r="E865" s="69"/>
      <c r="F865" s="75"/>
      <c r="G865" s="76"/>
      <c r="H865" s="76"/>
      <c r="I865" s="76"/>
      <c r="J865" s="76"/>
      <c r="K865" s="76"/>
      <c r="L865" s="76"/>
      <c r="M865" s="77"/>
      <c r="N865" s="77"/>
      <c r="O865" s="78"/>
      <c r="P865" s="78"/>
      <c r="Q865" s="76"/>
    </row>
    <row r="866" spans="1:17" ht="19.899999999999999" customHeight="1" x14ac:dyDescent="0.25">
      <c r="A866" s="74"/>
      <c r="B866" s="74"/>
      <c r="C866" s="74"/>
      <c r="D866" s="74"/>
      <c r="E866" s="69"/>
      <c r="F866" s="75"/>
      <c r="G866" s="76"/>
      <c r="H866" s="76"/>
      <c r="I866" s="76"/>
      <c r="J866" s="76"/>
      <c r="K866" s="76"/>
      <c r="L866" s="76"/>
      <c r="M866" s="77"/>
      <c r="N866" s="77"/>
      <c r="O866" s="78"/>
      <c r="P866" s="78"/>
      <c r="Q866" s="76"/>
    </row>
    <row r="867" spans="1:17" ht="19.899999999999999" customHeight="1" x14ac:dyDescent="0.25">
      <c r="A867" s="74"/>
      <c r="B867" s="74"/>
      <c r="C867" s="74"/>
      <c r="D867" s="74"/>
      <c r="E867" s="69"/>
      <c r="F867" s="75"/>
      <c r="G867" s="76"/>
      <c r="H867" s="76"/>
      <c r="I867" s="76"/>
      <c r="J867" s="76"/>
      <c r="K867" s="76"/>
      <c r="L867" s="76"/>
      <c r="M867" s="77"/>
      <c r="N867" s="77"/>
      <c r="O867" s="78"/>
      <c r="P867" s="78"/>
      <c r="Q867" s="76"/>
    </row>
    <row r="868" spans="1:17" ht="19.899999999999999" customHeight="1" x14ac:dyDescent="0.25">
      <c r="A868" s="74"/>
      <c r="B868" s="74"/>
      <c r="C868" s="74"/>
      <c r="D868" s="74"/>
      <c r="E868" s="69"/>
      <c r="F868" s="75"/>
      <c r="G868" s="76"/>
      <c r="H868" s="76"/>
      <c r="I868" s="76"/>
      <c r="J868" s="76"/>
      <c r="K868" s="76"/>
      <c r="L868" s="76"/>
      <c r="M868" s="77"/>
      <c r="N868" s="77"/>
      <c r="O868" s="78"/>
      <c r="P868" s="78"/>
      <c r="Q868" s="76"/>
    </row>
    <row r="869" spans="1:17" ht="19.899999999999999" customHeight="1" x14ac:dyDescent="0.25">
      <c r="A869" s="74"/>
      <c r="B869" s="74"/>
      <c r="C869" s="74"/>
      <c r="D869" s="74"/>
      <c r="E869" s="69"/>
      <c r="F869" s="75"/>
      <c r="G869" s="76"/>
      <c r="H869" s="76"/>
      <c r="I869" s="76"/>
      <c r="J869" s="76"/>
      <c r="K869" s="76"/>
      <c r="L869" s="76"/>
      <c r="M869" s="77"/>
      <c r="N869" s="77"/>
      <c r="O869" s="78"/>
      <c r="P869" s="78"/>
      <c r="Q869" s="76"/>
    </row>
    <row r="870" spans="1:17" ht="19.899999999999999" customHeight="1" x14ac:dyDescent="0.25">
      <c r="A870" s="74"/>
      <c r="B870" s="74"/>
      <c r="C870" s="74"/>
      <c r="D870" s="74"/>
      <c r="E870" s="69"/>
      <c r="F870" s="75"/>
      <c r="G870" s="76"/>
      <c r="H870" s="76"/>
      <c r="I870" s="76"/>
      <c r="J870" s="76"/>
      <c r="K870" s="76"/>
      <c r="L870" s="76"/>
      <c r="M870" s="77"/>
      <c r="N870" s="77"/>
      <c r="O870" s="78"/>
      <c r="P870" s="78"/>
      <c r="Q870" s="76"/>
    </row>
    <row r="871" spans="1:17" ht="19.899999999999999" customHeight="1" x14ac:dyDescent="0.25">
      <c r="A871" s="74"/>
      <c r="B871" s="74"/>
      <c r="C871" s="74"/>
      <c r="D871" s="74"/>
      <c r="E871" s="69"/>
      <c r="F871" s="75"/>
      <c r="G871" s="76"/>
      <c r="H871" s="76"/>
      <c r="I871" s="76"/>
      <c r="J871" s="76"/>
      <c r="K871" s="76"/>
      <c r="L871" s="76"/>
      <c r="M871" s="77"/>
      <c r="N871" s="77"/>
      <c r="O871" s="78"/>
      <c r="P871" s="78"/>
      <c r="Q871" s="76"/>
    </row>
    <row r="872" spans="1:17" ht="19.899999999999999" customHeight="1" x14ac:dyDescent="0.25">
      <c r="A872" s="74"/>
      <c r="B872" s="74"/>
      <c r="C872" s="74"/>
      <c r="D872" s="74"/>
      <c r="E872" s="69"/>
      <c r="F872" s="75"/>
      <c r="G872" s="76"/>
      <c r="H872" s="76"/>
      <c r="I872" s="76"/>
      <c r="J872" s="76"/>
      <c r="K872" s="76"/>
      <c r="L872" s="76"/>
      <c r="M872" s="77"/>
      <c r="N872" s="77"/>
      <c r="O872" s="78"/>
      <c r="P872" s="78"/>
      <c r="Q872" s="76"/>
    </row>
    <row r="873" spans="1:17" ht="19.899999999999999" customHeight="1" x14ac:dyDescent="0.25">
      <c r="A873" s="74"/>
      <c r="B873" s="74"/>
      <c r="C873" s="74"/>
      <c r="D873" s="74"/>
      <c r="E873" s="69"/>
      <c r="F873" s="75"/>
      <c r="G873" s="76"/>
      <c r="H873" s="76"/>
      <c r="I873" s="76"/>
      <c r="J873" s="76"/>
      <c r="K873" s="76"/>
      <c r="L873" s="76"/>
      <c r="M873" s="77"/>
      <c r="N873" s="77"/>
      <c r="O873" s="78"/>
      <c r="P873" s="78"/>
      <c r="Q873" s="76"/>
    </row>
    <row r="874" spans="1:17" ht="19.899999999999999" customHeight="1" x14ac:dyDescent="0.25">
      <c r="A874" s="74"/>
      <c r="B874" s="74"/>
      <c r="C874" s="74"/>
      <c r="D874" s="74"/>
      <c r="E874" s="69"/>
      <c r="F874" s="75"/>
      <c r="G874" s="76"/>
      <c r="H874" s="76"/>
      <c r="I874" s="76"/>
      <c r="J874" s="76"/>
      <c r="K874" s="76"/>
      <c r="L874" s="76"/>
      <c r="M874" s="77"/>
      <c r="N874" s="77"/>
      <c r="O874" s="78"/>
      <c r="P874" s="78"/>
      <c r="Q874" s="76"/>
    </row>
    <row r="875" spans="1:17" ht="19.899999999999999" customHeight="1" x14ac:dyDescent="0.25">
      <c r="A875" s="74"/>
      <c r="B875" s="74"/>
      <c r="C875" s="74"/>
      <c r="D875" s="74"/>
      <c r="E875" s="69"/>
      <c r="F875" s="75"/>
      <c r="G875" s="76"/>
      <c r="H875" s="76"/>
      <c r="I875" s="76"/>
      <c r="J875" s="76"/>
      <c r="K875" s="76"/>
      <c r="L875" s="76"/>
      <c r="M875" s="77"/>
      <c r="N875" s="77"/>
      <c r="O875" s="78"/>
      <c r="P875" s="78"/>
      <c r="Q875" s="76"/>
    </row>
    <row r="876" spans="1:17" ht="19.899999999999999" customHeight="1" x14ac:dyDescent="0.25">
      <c r="A876" s="74"/>
      <c r="B876" s="74"/>
      <c r="C876" s="74"/>
      <c r="D876" s="74"/>
      <c r="E876" s="69"/>
      <c r="F876" s="75"/>
      <c r="G876" s="76"/>
      <c r="H876" s="76"/>
      <c r="I876" s="76"/>
      <c r="J876" s="76"/>
      <c r="K876" s="76"/>
      <c r="L876" s="76"/>
      <c r="M876" s="77"/>
      <c r="N876" s="77"/>
      <c r="O876" s="78"/>
      <c r="P876" s="78"/>
      <c r="Q876" s="76"/>
    </row>
    <row r="877" spans="1:17" ht="19.899999999999999" customHeight="1" x14ac:dyDescent="0.25">
      <c r="A877" s="74"/>
      <c r="B877" s="74"/>
      <c r="C877" s="74"/>
      <c r="D877" s="74"/>
      <c r="E877" s="69"/>
      <c r="F877" s="75"/>
      <c r="G877" s="76"/>
      <c r="H877" s="76"/>
      <c r="I877" s="76"/>
      <c r="J877" s="76"/>
      <c r="K877" s="76"/>
      <c r="L877" s="76"/>
      <c r="M877" s="77"/>
      <c r="N877" s="77"/>
      <c r="O877" s="78"/>
      <c r="P877" s="78"/>
      <c r="Q877" s="76"/>
    </row>
    <row r="878" spans="1:17" ht="19.899999999999999" customHeight="1" x14ac:dyDescent="0.25">
      <c r="A878" s="74"/>
      <c r="B878" s="74"/>
      <c r="C878" s="74"/>
      <c r="D878" s="74"/>
      <c r="E878" s="69"/>
      <c r="F878" s="75"/>
      <c r="G878" s="76"/>
      <c r="H878" s="76"/>
      <c r="I878" s="76"/>
      <c r="J878" s="76"/>
      <c r="K878" s="76"/>
      <c r="L878" s="76"/>
      <c r="M878" s="77"/>
      <c r="N878" s="77"/>
      <c r="O878" s="78"/>
      <c r="P878" s="78"/>
      <c r="Q878" s="76"/>
    </row>
    <row r="879" spans="1:17" ht="19.899999999999999" customHeight="1" x14ac:dyDescent="0.25">
      <c r="A879" s="74"/>
      <c r="B879" s="74"/>
      <c r="C879" s="74"/>
      <c r="D879" s="74"/>
      <c r="E879" s="69"/>
      <c r="F879" s="75"/>
      <c r="G879" s="76"/>
      <c r="H879" s="76"/>
      <c r="I879" s="76"/>
      <c r="J879" s="76"/>
      <c r="K879" s="76"/>
      <c r="L879" s="76"/>
      <c r="M879" s="77"/>
      <c r="N879" s="77"/>
      <c r="O879" s="78"/>
      <c r="P879" s="78"/>
      <c r="Q879" s="76"/>
    </row>
    <row r="880" spans="1:17" ht="19.899999999999999" customHeight="1" x14ac:dyDescent="0.25">
      <c r="A880" s="74"/>
      <c r="B880" s="74"/>
      <c r="C880" s="74"/>
      <c r="D880" s="74"/>
      <c r="E880" s="69"/>
      <c r="F880" s="75"/>
      <c r="G880" s="76"/>
      <c r="H880" s="76"/>
      <c r="I880" s="76"/>
      <c r="J880" s="76"/>
      <c r="K880" s="76"/>
      <c r="L880" s="76"/>
      <c r="M880" s="77"/>
      <c r="N880" s="77"/>
      <c r="O880" s="78"/>
      <c r="P880" s="78"/>
      <c r="Q880" s="76"/>
    </row>
    <row r="881" spans="1:17" ht="19.899999999999999" customHeight="1" x14ac:dyDescent="0.25">
      <c r="A881" s="74"/>
      <c r="B881" s="74"/>
      <c r="C881" s="74"/>
      <c r="D881" s="74"/>
      <c r="E881" s="69"/>
      <c r="F881" s="75"/>
      <c r="G881" s="76"/>
      <c r="H881" s="76"/>
      <c r="I881" s="76"/>
      <c r="J881" s="76"/>
      <c r="K881" s="76"/>
      <c r="L881" s="76"/>
      <c r="M881" s="77"/>
      <c r="N881" s="77"/>
      <c r="O881" s="78"/>
      <c r="P881" s="78"/>
      <c r="Q881" s="76"/>
    </row>
    <row r="882" spans="1:17" ht="19.899999999999999" customHeight="1" x14ac:dyDescent="0.25">
      <c r="A882" s="74"/>
      <c r="B882" s="74"/>
      <c r="C882" s="74"/>
      <c r="D882" s="74"/>
      <c r="E882" s="69"/>
      <c r="F882" s="75"/>
      <c r="G882" s="76"/>
      <c r="H882" s="76"/>
      <c r="I882" s="76"/>
      <c r="J882" s="76"/>
      <c r="K882" s="76"/>
      <c r="L882" s="76"/>
      <c r="M882" s="77"/>
      <c r="N882" s="77"/>
      <c r="O882" s="78"/>
      <c r="P882" s="78"/>
      <c r="Q882" s="76"/>
    </row>
    <row r="883" spans="1:17" ht="19.899999999999999" customHeight="1" x14ac:dyDescent="0.25">
      <c r="A883" s="74"/>
      <c r="B883" s="74"/>
      <c r="C883" s="74"/>
      <c r="D883" s="74"/>
      <c r="E883" s="69"/>
      <c r="F883" s="75"/>
      <c r="G883" s="76"/>
      <c r="H883" s="76"/>
      <c r="I883" s="76"/>
      <c r="J883" s="76"/>
      <c r="K883" s="76"/>
      <c r="L883" s="76"/>
      <c r="M883" s="77"/>
      <c r="N883" s="77"/>
      <c r="O883" s="78"/>
      <c r="P883" s="78"/>
      <c r="Q883" s="76"/>
    </row>
    <row r="884" spans="1:17" ht="19.899999999999999" customHeight="1" x14ac:dyDescent="0.25">
      <c r="A884" s="74"/>
      <c r="B884" s="74"/>
      <c r="C884" s="74"/>
      <c r="D884" s="74"/>
      <c r="E884" s="69"/>
      <c r="F884" s="75"/>
      <c r="G884" s="76"/>
      <c r="H884" s="76"/>
      <c r="I884" s="76"/>
      <c r="J884" s="76"/>
      <c r="K884" s="76"/>
      <c r="L884" s="76"/>
      <c r="M884" s="77"/>
      <c r="N884" s="77"/>
      <c r="O884" s="78"/>
      <c r="P884" s="78"/>
      <c r="Q884" s="76"/>
    </row>
    <row r="885" spans="1:17" ht="19.899999999999999" customHeight="1" x14ac:dyDescent="0.25">
      <c r="A885" s="74"/>
      <c r="B885" s="74"/>
      <c r="C885" s="74"/>
      <c r="D885" s="74"/>
      <c r="E885" s="69"/>
      <c r="F885" s="75"/>
      <c r="G885" s="76"/>
      <c r="H885" s="76"/>
      <c r="I885" s="76"/>
      <c r="J885" s="76"/>
      <c r="K885" s="76"/>
      <c r="L885" s="76"/>
      <c r="M885" s="77"/>
      <c r="N885" s="77"/>
      <c r="O885" s="78"/>
      <c r="P885" s="78"/>
      <c r="Q885" s="76"/>
    </row>
    <row r="886" spans="1:17" ht="19.899999999999999" customHeight="1" x14ac:dyDescent="0.25">
      <c r="A886" s="74"/>
      <c r="B886" s="74"/>
      <c r="C886" s="74"/>
      <c r="D886" s="74"/>
      <c r="E886" s="69"/>
      <c r="F886" s="75"/>
      <c r="G886" s="76"/>
      <c r="H886" s="76"/>
      <c r="I886" s="76"/>
      <c r="J886" s="76"/>
      <c r="K886" s="76"/>
      <c r="L886" s="76"/>
      <c r="M886" s="77"/>
      <c r="N886" s="77"/>
      <c r="O886" s="78"/>
      <c r="P886" s="78"/>
      <c r="Q886" s="76"/>
    </row>
    <row r="887" spans="1:17" ht="19.899999999999999" customHeight="1" x14ac:dyDescent="0.25">
      <c r="A887" s="74"/>
      <c r="B887" s="74"/>
      <c r="C887" s="74"/>
      <c r="D887" s="74"/>
      <c r="E887" s="69"/>
      <c r="F887" s="75"/>
      <c r="G887" s="76"/>
      <c r="H887" s="76"/>
      <c r="I887" s="76"/>
      <c r="J887" s="76"/>
      <c r="K887" s="76"/>
      <c r="L887" s="76"/>
      <c r="M887" s="77"/>
      <c r="N887" s="77"/>
      <c r="O887" s="78"/>
      <c r="P887" s="78"/>
      <c r="Q887" s="76"/>
    </row>
    <row r="888" spans="1:17" ht="19.899999999999999" customHeight="1" x14ac:dyDescent="0.25">
      <c r="A888" s="74"/>
      <c r="B888" s="74"/>
      <c r="C888" s="74"/>
      <c r="D888" s="74"/>
      <c r="E888" s="69"/>
      <c r="F888" s="75"/>
      <c r="G888" s="76"/>
      <c r="H888" s="76"/>
      <c r="I888" s="76"/>
      <c r="J888" s="76"/>
      <c r="K888" s="76"/>
      <c r="L888" s="76"/>
      <c r="M888" s="77"/>
      <c r="N888" s="77"/>
      <c r="O888" s="78"/>
      <c r="P888" s="78"/>
      <c r="Q888" s="76"/>
    </row>
    <row r="889" spans="1:17" ht="19.899999999999999" customHeight="1" x14ac:dyDescent="0.25">
      <c r="A889" s="74"/>
      <c r="B889" s="74"/>
      <c r="C889" s="74"/>
      <c r="D889" s="74"/>
      <c r="E889" s="69"/>
      <c r="F889" s="75"/>
      <c r="G889" s="76"/>
      <c r="H889" s="76"/>
      <c r="I889" s="76"/>
      <c r="J889" s="76"/>
      <c r="K889" s="76"/>
      <c r="L889" s="76"/>
      <c r="M889" s="77"/>
      <c r="N889" s="77"/>
      <c r="O889" s="78"/>
      <c r="P889" s="78"/>
      <c r="Q889" s="76"/>
    </row>
    <row r="890" spans="1:17" ht="19.899999999999999" customHeight="1" x14ac:dyDescent="0.25">
      <c r="A890" s="74"/>
      <c r="B890" s="74"/>
      <c r="C890" s="74"/>
      <c r="D890" s="74"/>
      <c r="E890" s="69"/>
      <c r="F890" s="75"/>
      <c r="G890" s="76"/>
      <c r="H890" s="76"/>
      <c r="I890" s="76"/>
      <c r="J890" s="76"/>
      <c r="K890" s="76"/>
      <c r="L890" s="76"/>
      <c r="M890" s="77"/>
      <c r="N890" s="77"/>
      <c r="O890" s="78"/>
      <c r="P890" s="78"/>
      <c r="Q890" s="76"/>
    </row>
    <row r="891" spans="1:17" ht="19.899999999999999" customHeight="1" x14ac:dyDescent="0.25">
      <c r="A891" s="74"/>
      <c r="B891" s="74"/>
      <c r="C891" s="74"/>
      <c r="D891" s="74"/>
      <c r="E891" s="69"/>
      <c r="F891" s="75"/>
      <c r="G891" s="76"/>
      <c r="H891" s="76"/>
      <c r="I891" s="76"/>
      <c r="J891" s="76"/>
      <c r="K891" s="76"/>
      <c r="L891" s="76"/>
      <c r="M891" s="77"/>
      <c r="N891" s="77"/>
      <c r="O891" s="78"/>
      <c r="P891" s="78"/>
      <c r="Q891" s="76"/>
    </row>
    <row r="892" spans="1:17" ht="19.899999999999999" customHeight="1" x14ac:dyDescent="0.25">
      <c r="A892" s="74"/>
      <c r="B892" s="74"/>
      <c r="C892" s="74"/>
      <c r="D892" s="74"/>
      <c r="E892" s="69"/>
      <c r="F892" s="75"/>
      <c r="G892" s="76"/>
      <c r="H892" s="76"/>
      <c r="I892" s="76"/>
      <c r="J892" s="76"/>
      <c r="K892" s="76"/>
      <c r="L892" s="76"/>
      <c r="M892" s="77"/>
      <c r="N892" s="77"/>
      <c r="O892" s="78"/>
      <c r="P892" s="78"/>
      <c r="Q892" s="76"/>
    </row>
    <row r="893" spans="1:17" ht="19.899999999999999" customHeight="1" x14ac:dyDescent="0.25">
      <c r="A893" s="74"/>
      <c r="B893" s="74"/>
      <c r="C893" s="74"/>
      <c r="D893" s="74"/>
      <c r="E893" s="69"/>
      <c r="F893" s="75"/>
      <c r="G893" s="76"/>
      <c r="H893" s="76"/>
      <c r="I893" s="76"/>
      <c r="J893" s="76"/>
      <c r="K893" s="76"/>
      <c r="L893" s="76"/>
      <c r="M893" s="77"/>
      <c r="N893" s="77"/>
      <c r="O893" s="78"/>
      <c r="P893" s="78"/>
      <c r="Q893" s="76"/>
    </row>
    <row r="894" spans="1:17" ht="19.899999999999999" customHeight="1" x14ac:dyDescent="0.25">
      <c r="A894" s="74"/>
      <c r="B894" s="74"/>
      <c r="C894" s="74"/>
      <c r="D894" s="74"/>
      <c r="E894" s="69"/>
      <c r="F894" s="75"/>
      <c r="G894" s="76"/>
      <c r="H894" s="76"/>
      <c r="I894" s="76"/>
      <c r="J894" s="76"/>
      <c r="K894" s="76"/>
      <c r="L894" s="76"/>
      <c r="M894" s="77"/>
      <c r="N894" s="77"/>
      <c r="O894" s="78"/>
      <c r="P894" s="78"/>
      <c r="Q894" s="76"/>
    </row>
    <row r="895" spans="1:17" ht="19.899999999999999" customHeight="1" x14ac:dyDescent="0.25">
      <c r="A895" s="74"/>
      <c r="B895" s="74"/>
      <c r="C895" s="74"/>
      <c r="D895" s="74"/>
      <c r="E895" s="69"/>
      <c r="F895" s="75"/>
      <c r="G895" s="76"/>
      <c r="H895" s="76"/>
      <c r="I895" s="76"/>
      <c r="J895" s="76"/>
      <c r="K895" s="76"/>
      <c r="L895" s="76"/>
      <c r="M895" s="77"/>
      <c r="N895" s="77"/>
      <c r="O895" s="78"/>
      <c r="P895" s="78"/>
      <c r="Q895" s="76"/>
    </row>
    <row r="896" spans="1:17" ht="19.899999999999999" customHeight="1" x14ac:dyDescent="0.25">
      <c r="A896" s="74"/>
      <c r="B896" s="74"/>
      <c r="C896" s="74"/>
      <c r="D896" s="74"/>
      <c r="E896" s="69"/>
      <c r="F896" s="75"/>
      <c r="G896" s="76"/>
      <c r="H896" s="76"/>
      <c r="I896" s="76"/>
      <c r="J896" s="76"/>
      <c r="K896" s="76"/>
      <c r="L896" s="76"/>
      <c r="M896" s="77"/>
      <c r="N896" s="77"/>
      <c r="O896" s="78"/>
      <c r="P896" s="78"/>
      <c r="Q896" s="76"/>
    </row>
    <row r="897" spans="1:17" ht="19.899999999999999" customHeight="1" x14ac:dyDescent="0.25">
      <c r="A897" s="74"/>
      <c r="B897" s="74"/>
      <c r="C897" s="74"/>
      <c r="D897" s="74"/>
      <c r="E897" s="69"/>
      <c r="F897" s="75"/>
      <c r="G897" s="76"/>
      <c r="H897" s="76"/>
      <c r="I897" s="76"/>
      <c r="J897" s="76"/>
      <c r="K897" s="76"/>
      <c r="L897" s="76"/>
      <c r="M897" s="77"/>
      <c r="N897" s="77"/>
      <c r="O897" s="78"/>
      <c r="P897" s="78"/>
      <c r="Q897" s="76"/>
    </row>
    <row r="898" spans="1:17" ht="19.899999999999999" customHeight="1" x14ac:dyDescent="0.25">
      <c r="A898" s="74"/>
      <c r="B898" s="74"/>
      <c r="C898" s="74"/>
      <c r="D898" s="74"/>
      <c r="E898" s="69"/>
      <c r="F898" s="75"/>
      <c r="G898" s="76"/>
      <c r="H898" s="76"/>
      <c r="I898" s="76"/>
      <c r="J898" s="76"/>
      <c r="K898" s="76"/>
      <c r="L898" s="76"/>
      <c r="M898" s="77"/>
      <c r="N898" s="77"/>
      <c r="O898" s="78"/>
      <c r="P898" s="78"/>
      <c r="Q898" s="76"/>
    </row>
    <row r="899" spans="1:17" ht="19.899999999999999" customHeight="1" x14ac:dyDescent="0.25">
      <c r="A899" s="74"/>
      <c r="B899" s="74"/>
      <c r="C899" s="74"/>
      <c r="D899" s="74"/>
      <c r="E899" s="69"/>
      <c r="F899" s="75"/>
      <c r="G899" s="76"/>
      <c r="H899" s="76"/>
      <c r="I899" s="76"/>
      <c r="J899" s="76"/>
      <c r="K899" s="76"/>
      <c r="L899" s="76"/>
      <c r="M899" s="77"/>
      <c r="N899" s="77"/>
      <c r="O899" s="78"/>
      <c r="P899" s="78"/>
      <c r="Q899" s="76"/>
    </row>
    <row r="900" spans="1:17" ht="19.899999999999999" customHeight="1" x14ac:dyDescent="0.25">
      <c r="A900" s="74"/>
      <c r="B900" s="74"/>
      <c r="C900" s="74"/>
      <c r="D900" s="74"/>
      <c r="E900" s="69"/>
      <c r="F900" s="75"/>
      <c r="G900" s="76"/>
      <c r="H900" s="76"/>
      <c r="I900" s="76"/>
      <c r="J900" s="76"/>
      <c r="K900" s="76"/>
      <c r="L900" s="76"/>
      <c r="M900" s="77"/>
      <c r="N900" s="77"/>
      <c r="O900" s="78"/>
      <c r="P900" s="78"/>
      <c r="Q900" s="76"/>
    </row>
    <row r="901" spans="1:17" ht="19.899999999999999" customHeight="1" x14ac:dyDescent="0.25">
      <c r="A901" s="74"/>
      <c r="B901" s="74"/>
      <c r="C901" s="74"/>
      <c r="D901" s="74"/>
      <c r="E901" s="69"/>
      <c r="F901" s="75"/>
      <c r="G901" s="76"/>
      <c r="H901" s="76"/>
      <c r="I901" s="76"/>
      <c r="J901" s="76"/>
      <c r="K901" s="76"/>
      <c r="L901" s="76"/>
      <c r="M901" s="77"/>
      <c r="N901" s="77"/>
      <c r="O901" s="78"/>
      <c r="P901" s="78"/>
      <c r="Q901" s="76"/>
    </row>
    <row r="902" spans="1:17" ht="19.899999999999999" customHeight="1" x14ac:dyDescent="0.25">
      <c r="A902" s="74"/>
      <c r="B902" s="74"/>
      <c r="C902" s="74"/>
      <c r="D902" s="74"/>
      <c r="E902" s="69"/>
      <c r="F902" s="75"/>
      <c r="G902" s="76"/>
      <c r="H902" s="76"/>
      <c r="I902" s="76"/>
      <c r="J902" s="76"/>
      <c r="K902" s="76"/>
      <c r="L902" s="76"/>
      <c r="M902" s="77"/>
      <c r="N902" s="77"/>
      <c r="O902" s="78"/>
      <c r="P902" s="78"/>
      <c r="Q902" s="76"/>
    </row>
    <row r="903" spans="1:17" ht="19.899999999999999" customHeight="1" x14ac:dyDescent="0.25">
      <c r="A903" s="74"/>
      <c r="B903" s="74"/>
      <c r="C903" s="74"/>
      <c r="D903" s="74"/>
      <c r="E903" s="69"/>
      <c r="F903" s="75"/>
      <c r="G903" s="76"/>
      <c r="H903" s="76"/>
      <c r="I903" s="76"/>
      <c r="J903" s="76"/>
      <c r="K903" s="76"/>
      <c r="L903" s="76"/>
      <c r="M903" s="77"/>
      <c r="N903" s="77"/>
      <c r="O903" s="78"/>
      <c r="P903" s="78"/>
      <c r="Q903" s="76"/>
    </row>
    <row r="904" spans="1:17" ht="19.899999999999999" customHeight="1" x14ac:dyDescent="0.25">
      <c r="A904" s="74"/>
      <c r="B904" s="74"/>
      <c r="C904" s="74"/>
      <c r="D904" s="74"/>
      <c r="E904" s="69"/>
      <c r="F904" s="75"/>
      <c r="G904" s="76"/>
      <c r="H904" s="76"/>
      <c r="I904" s="76"/>
      <c r="J904" s="76"/>
      <c r="K904" s="76"/>
      <c r="L904" s="76"/>
      <c r="M904" s="77"/>
      <c r="N904" s="77"/>
      <c r="O904" s="78"/>
      <c r="P904" s="78"/>
      <c r="Q904" s="76"/>
    </row>
    <row r="905" spans="1:17" ht="19.899999999999999" customHeight="1" x14ac:dyDescent="0.25">
      <c r="A905" s="74"/>
      <c r="B905" s="74"/>
      <c r="C905" s="74"/>
      <c r="D905" s="74"/>
      <c r="E905" s="69"/>
      <c r="F905" s="75"/>
      <c r="G905" s="76"/>
      <c r="H905" s="76"/>
      <c r="I905" s="76"/>
      <c r="J905" s="76"/>
      <c r="K905" s="76"/>
      <c r="L905" s="76"/>
      <c r="M905" s="77"/>
      <c r="N905" s="77"/>
      <c r="O905" s="78"/>
      <c r="P905" s="78"/>
      <c r="Q905" s="76"/>
    </row>
    <row r="906" spans="1:17" ht="19.899999999999999" customHeight="1" x14ac:dyDescent="0.25">
      <c r="A906" s="74"/>
      <c r="B906" s="74"/>
      <c r="C906" s="74"/>
      <c r="D906" s="74"/>
      <c r="E906" s="69"/>
      <c r="F906" s="75"/>
      <c r="G906" s="76"/>
      <c r="H906" s="76"/>
      <c r="I906" s="76"/>
      <c r="J906" s="76"/>
      <c r="K906" s="76"/>
      <c r="L906" s="76"/>
      <c r="M906" s="77"/>
      <c r="N906" s="77"/>
      <c r="O906" s="78"/>
      <c r="P906" s="78"/>
      <c r="Q906" s="76"/>
    </row>
    <row r="907" spans="1:17" ht="19.899999999999999" customHeight="1" x14ac:dyDescent="0.25">
      <c r="A907" s="74"/>
      <c r="B907" s="74"/>
      <c r="C907" s="74"/>
      <c r="D907" s="74"/>
      <c r="E907" s="69"/>
      <c r="F907" s="75"/>
      <c r="G907" s="76"/>
      <c r="H907" s="76"/>
      <c r="I907" s="76"/>
      <c r="J907" s="76"/>
      <c r="K907" s="76"/>
      <c r="L907" s="76"/>
      <c r="M907" s="77"/>
      <c r="N907" s="77"/>
      <c r="O907" s="78"/>
      <c r="P907" s="78"/>
      <c r="Q907" s="76"/>
    </row>
    <row r="908" spans="1:17" ht="19.899999999999999" customHeight="1" x14ac:dyDescent="0.25">
      <c r="A908" s="74"/>
      <c r="B908" s="74"/>
      <c r="C908" s="74"/>
      <c r="D908" s="74"/>
      <c r="E908" s="69"/>
      <c r="F908" s="75"/>
      <c r="G908" s="76"/>
      <c r="H908" s="76"/>
      <c r="I908" s="76"/>
      <c r="J908" s="76"/>
      <c r="K908" s="76"/>
      <c r="L908" s="76"/>
      <c r="M908" s="77"/>
      <c r="N908" s="77"/>
      <c r="O908" s="78"/>
      <c r="P908" s="78"/>
      <c r="Q908" s="76"/>
    </row>
    <row r="909" spans="1:17" ht="19.899999999999999" customHeight="1" x14ac:dyDescent="0.25">
      <c r="A909" s="74"/>
      <c r="B909" s="74"/>
      <c r="C909" s="74"/>
      <c r="D909" s="74"/>
      <c r="E909" s="69"/>
      <c r="F909" s="75"/>
      <c r="G909" s="76"/>
      <c r="H909" s="76"/>
      <c r="I909" s="76"/>
      <c r="J909" s="76"/>
      <c r="K909" s="76"/>
      <c r="L909" s="76"/>
      <c r="M909" s="77"/>
      <c r="N909" s="77"/>
      <c r="O909" s="78"/>
      <c r="P909" s="78"/>
      <c r="Q909" s="76"/>
    </row>
    <row r="910" spans="1:17" ht="19.899999999999999" customHeight="1" x14ac:dyDescent="0.25">
      <c r="A910" s="74"/>
      <c r="B910" s="74"/>
      <c r="C910" s="74"/>
      <c r="D910" s="74"/>
      <c r="E910" s="69"/>
      <c r="F910" s="75"/>
      <c r="G910" s="76"/>
      <c r="H910" s="76"/>
      <c r="I910" s="76"/>
      <c r="J910" s="76"/>
      <c r="K910" s="76"/>
      <c r="L910" s="76"/>
      <c r="M910" s="77"/>
      <c r="N910" s="77"/>
      <c r="O910" s="78"/>
      <c r="P910" s="78"/>
      <c r="Q910" s="76"/>
    </row>
    <row r="911" spans="1:17" ht="19.899999999999999" customHeight="1" x14ac:dyDescent="0.25">
      <c r="A911" s="74"/>
      <c r="B911" s="74"/>
      <c r="C911" s="74"/>
      <c r="D911" s="74"/>
      <c r="E911" s="69"/>
      <c r="F911" s="75"/>
      <c r="G911" s="76"/>
      <c r="H911" s="76"/>
      <c r="I911" s="76"/>
      <c r="J911" s="76"/>
      <c r="K911" s="76"/>
      <c r="L911" s="76"/>
      <c r="M911" s="77"/>
      <c r="N911" s="77"/>
      <c r="O911" s="78"/>
      <c r="P911" s="78"/>
      <c r="Q911" s="76"/>
    </row>
    <row r="912" spans="1:17" ht="19.899999999999999" customHeight="1" x14ac:dyDescent="0.25">
      <c r="A912" s="74"/>
      <c r="B912" s="74"/>
      <c r="C912" s="74"/>
      <c r="D912" s="74"/>
      <c r="E912" s="69"/>
      <c r="F912" s="75"/>
      <c r="G912" s="76"/>
      <c r="H912" s="76"/>
      <c r="I912" s="76"/>
      <c r="J912" s="76"/>
      <c r="K912" s="76"/>
      <c r="L912" s="76"/>
      <c r="M912" s="77"/>
      <c r="N912" s="77"/>
      <c r="O912" s="78"/>
      <c r="P912" s="78"/>
      <c r="Q912" s="76"/>
    </row>
    <row r="913" spans="1:17" ht="19.899999999999999" customHeight="1" x14ac:dyDescent="0.25">
      <c r="A913" s="74"/>
      <c r="B913" s="74"/>
      <c r="C913" s="74"/>
      <c r="D913" s="74"/>
      <c r="E913" s="69"/>
      <c r="F913" s="75"/>
      <c r="G913" s="76"/>
      <c r="H913" s="76"/>
      <c r="I913" s="76"/>
      <c r="J913" s="76"/>
      <c r="K913" s="76"/>
      <c r="L913" s="76"/>
      <c r="M913" s="77"/>
      <c r="N913" s="77"/>
      <c r="O913" s="78"/>
      <c r="P913" s="78"/>
      <c r="Q913" s="76"/>
    </row>
    <row r="914" spans="1:17" ht="19.899999999999999" customHeight="1" x14ac:dyDescent="0.25">
      <c r="A914" s="74"/>
      <c r="B914" s="74"/>
      <c r="C914" s="74"/>
      <c r="D914" s="74"/>
      <c r="E914" s="69"/>
      <c r="F914" s="75"/>
      <c r="G914" s="76"/>
      <c r="H914" s="76"/>
      <c r="I914" s="76"/>
      <c r="J914" s="76"/>
      <c r="K914" s="76"/>
      <c r="L914" s="76"/>
      <c r="M914" s="77"/>
      <c r="N914" s="77"/>
      <c r="O914" s="78"/>
      <c r="P914" s="78"/>
      <c r="Q914" s="76"/>
    </row>
    <row r="915" spans="1:17" ht="19.899999999999999" customHeight="1" x14ac:dyDescent="0.25">
      <c r="A915" s="74"/>
      <c r="B915" s="74"/>
      <c r="C915" s="74"/>
      <c r="D915" s="74"/>
      <c r="E915" s="69"/>
      <c r="F915" s="75"/>
      <c r="G915" s="76"/>
      <c r="H915" s="76"/>
      <c r="I915" s="76"/>
      <c r="J915" s="76"/>
      <c r="K915" s="76"/>
      <c r="L915" s="76"/>
      <c r="M915" s="77"/>
      <c r="N915" s="77"/>
      <c r="O915" s="78"/>
      <c r="P915" s="78"/>
      <c r="Q915" s="76"/>
    </row>
    <row r="916" spans="1:17" ht="19.899999999999999" customHeight="1" x14ac:dyDescent="0.25">
      <c r="A916" s="74"/>
      <c r="B916" s="74"/>
      <c r="C916" s="74"/>
      <c r="D916" s="74"/>
      <c r="E916" s="69"/>
      <c r="F916" s="75"/>
      <c r="G916" s="76"/>
      <c r="H916" s="76"/>
      <c r="I916" s="76"/>
      <c r="J916" s="76"/>
      <c r="K916" s="76"/>
      <c r="L916" s="76"/>
      <c r="M916" s="77"/>
      <c r="N916" s="77"/>
      <c r="O916" s="78"/>
      <c r="P916" s="78"/>
      <c r="Q916" s="76"/>
    </row>
    <row r="917" spans="1:17" ht="19.899999999999999" customHeight="1" x14ac:dyDescent="0.25">
      <c r="A917" s="74"/>
      <c r="B917" s="74"/>
      <c r="C917" s="74"/>
      <c r="D917" s="74"/>
      <c r="E917" s="69"/>
      <c r="F917" s="75"/>
      <c r="G917" s="76"/>
      <c r="H917" s="76"/>
      <c r="I917" s="76"/>
      <c r="J917" s="76"/>
      <c r="K917" s="76"/>
      <c r="L917" s="76"/>
      <c r="M917" s="77"/>
      <c r="N917" s="77"/>
      <c r="O917" s="78"/>
      <c r="P917" s="78"/>
      <c r="Q917" s="76"/>
    </row>
    <row r="918" spans="1:17" ht="19.899999999999999" customHeight="1" x14ac:dyDescent="0.25">
      <c r="A918" s="74"/>
      <c r="B918" s="74"/>
      <c r="C918" s="74"/>
      <c r="D918" s="74"/>
      <c r="E918" s="69"/>
      <c r="F918" s="75"/>
      <c r="G918" s="76"/>
      <c r="H918" s="76"/>
      <c r="I918" s="76"/>
      <c r="J918" s="76"/>
      <c r="K918" s="76"/>
      <c r="L918" s="76"/>
      <c r="M918" s="77"/>
      <c r="N918" s="77"/>
      <c r="O918" s="78"/>
      <c r="P918" s="78"/>
      <c r="Q918" s="76"/>
    </row>
    <row r="919" spans="1:17" ht="19.899999999999999" customHeight="1" x14ac:dyDescent="0.25">
      <c r="A919" s="74"/>
      <c r="B919" s="74"/>
      <c r="C919" s="74"/>
      <c r="D919" s="74"/>
      <c r="E919" s="69"/>
      <c r="F919" s="75"/>
      <c r="G919" s="76"/>
      <c r="H919" s="76"/>
      <c r="I919" s="76"/>
      <c r="J919" s="76"/>
      <c r="K919" s="76"/>
      <c r="L919" s="76"/>
      <c r="M919" s="77"/>
      <c r="N919" s="77"/>
      <c r="O919" s="78"/>
      <c r="P919" s="78"/>
      <c r="Q919" s="76"/>
    </row>
    <row r="920" spans="1:17" ht="19.899999999999999" customHeight="1" x14ac:dyDescent="0.25">
      <c r="A920" s="74"/>
      <c r="B920" s="74"/>
      <c r="C920" s="74"/>
      <c r="D920" s="74"/>
      <c r="E920" s="69"/>
      <c r="F920" s="75"/>
      <c r="G920" s="76"/>
      <c r="H920" s="76"/>
      <c r="I920" s="76"/>
      <c r="J920" s="76"/>
      <c r="K920" s="76"/>
      <c r="L920" s="76"/>
      <c r="M920" s="77"/>
      <c r="N920" s="77"/>
      <c r="O920" s="78"/>
      <c r="P920" s="78"/>
      <c r="Q920" s="76"/>
    </row>
    <row r="921" spans="1:17" ht="19.899999999999999" customHeight="1" x14ac:dyDescent="0.25">
      <c r="A921" s="74"/>
      <c r="B921" s="74"/>
      <c r="C921" s="74"/>
      <c r="D921" s="74"/>
      <c r="E921" s="69"/>
      <c r="F921" s="75"/>
      <c r="G921" s="76"/>
      <c r="H921" s="76"/>
      <c r="I921" s="76"/>
      <c r="J921" s="76"/>
      <c r="K921" s="76"/>
      <c r="L921" s="76"/>
      <c r="M921" s="77"/>
      <c r="N921" s="77"/>
      <c r="O921" s="78"/>
      <c r="P921" s="78"/>
      <c r="Q921" s="76"/>
    </row>
    <row r="922" spans="1:17" ht="19.899999999999999" customHeight="1" x14ac:dyDescent="0.25">
      <c r="A922" s="74"/>
      <c r="B922" s="74"/>
      <c r="C922" s="74"/>
      <c r="D922" s="74"/>
      <c r="E922" s="69"/>
      <c r="F922" s="75"/>
      <c r="G922" s="76"/>
      <c r="H922" s="76"/>
      <c r="I922" s="76"/>
      <c r="J922" s="76"/>
      <c r="K922" s="76"/>
      <c r="L922" s="76"/>
      <c r="M922" s="77"/>
      <c r="N922" s="77"/>
      <c r="O922" s="78"/>
      <c r="P922" s="78"/>
      <c r="Q922" s="76"/>
    </row>
    <row r="923" spans="1:17" ht="19.899999999999999" customHeight="1" x14ac:dyDescent="0.25">
      <c r="A923" s="74"/>
      <c r="B923" s="74"/>
      <c r="C923" s="74"/>
      <c r="D923" s="74"/>
      <c r="E923" s="69"/>
      <c r="F923" s="75"/>
      <c r="G923" s="76"/>
      <c r="H923" s="76"/>
      <c r="I923" s="76"/>
      <c r="J923" s="76"/>
      <c r="K923" s="76"/>
      <c r="L923" s="76"/>
      <c r="M923" s="77"/>
      <c r="N923" s="77"/>
      <c r="O923" s="78"/>
      <c r="P923" s="78"/>
      <c r="Q923" s="76"/>
    </row>
    <row r="924" spans="1:17" ht="19.899999999999999" customHeight="1" x14ac:dyDescent="0.25">
      <c r="A924" s="74"/>
      <c r="B924" s="74"/>
      <c r="C924" s="74"/>
      <c r="D924" s="74"/>
      <c r="E924" s="69"/>
      <c r="F924" s="75"/>
      <c r="G924" s="76"/>
      <c r="H924" s="76"/>
      <c r="I924" s="76"/>
      <c r="J924" s="76"/>
      <c r="K924" s="76"/>
      <c r="L924" s="76"/>
      <c r="M924" s="77"/>
      <c r="N924" s="77"/>
      <c r="O924" s="78"/>
      <c r="P924" s="78"/>
      <c r="Q924" s="76"/>
    </row>
    <row r="925" spans="1:17" ht="19.899999999999999" customHeight="1" x14ac:dyDescent="0.25">
      <c r="A925" s="74"/>
      <c r="B925" s="74"/>
      <c r="C925" s="74"/>
      <c r="D925" s="74"/>
      <c r="E925" s="69"/>
      <c r="F925" s="75"/>
      <c r="G925" s="76"/>
      <c r="H925" s="76"/>
      <c r="I925" s="76"/>
      <c r="J925" s="76"/>
      <c r="K925" s="76"/>
      <c r="L925" s="76"/>
      <c r="M925" s="77"/>
      <c r="N925" s="77"/>
      <c r="O925" s="78"/>
      <c r="P925" s="78"/>
      <c r="Q925" s="76"/>
    </row>
    <row r="926" spans="1:17" ht="19.899999999999999" customHeight="1" x14ac:dyDescent="0.25">
      <c r="A926" s="74"/>
      <c r="B926" s="74"/>
      <c r="C926" s="74"/>
      <c r="D926" s="74"/>
      <c r="E926" s="69"/>
      <c r="F926" s="75"/>
      <c r="G926" s="76"/>
      <c r="H926" s="76"/>
      <c r="I926" s="76"/>
      <c r="J926" s="76"/>
      <c r="K926" s="76"/>
      <c r="L926" s="76"/>
      <c r="M926" s="77"/>
      <c r="N926" s="77"/>
      <c r="O926" s="78"/>
      <c r="P926" s="78"/>
      <c r="Q926" s="76"/>
    </row>
    <row r="927" spans="1:17" ht="19.899999999999999" customHeight="1" x14ac:dyDescent="0.25">
      <c r="A927" s="74"/>
      <c r="B927" s="74"/>
      <c r="C927" s="74"/>
      <c r="D927" s="74"/>
      <c r="E927" s="69"/>
      <c r="F927" s="75"/>
      <c r="G927" s="76"/>
      <c r="H927" s="76"/>
      <c r="I927" s="76"/>
      <c r="J927" s="76"/>
      <c r="K927" s="76"/>
      <c r="L927" s="76"/>
      <c r="M927" s="77"/>
      <c r="N927" s="77"/>
      <c r="O927" s="78"/>
      <c r="P927" s="78"/>
      <c r="Q927" s="76"/>
    </row>
    <row r="928" spans="1:17" ht="19.899999999999999" customHeight="1" x14ac:dyDescent="0.25">
      <c r="A928" s="74"/>
      <c r="B928" s="74"/>
      <c r="C928" s="74"/>
      <c r="D928" s="74"/>
      <c r="E928" s="69"/>
      <c r="F928" s="75"/>
      <c r="G928" s="76"/>
      <c r="H928" s="76"/>
      <c r="I928" s="76"/>
      <c r="J928" s="76"/>
      <c r="K928" s="76"/>
      <c r="L928" s="76"/>
      <c r="M928" s="77"/>
      <c r="N928" s="77"/>
      <c r="O928" s="78"/>
      <c r="P928" s="78"/>
      <c r="Q928" s="76"/>
    </row>
    <row r="929" spans="1:17" ht="19.899999999999999" customHeight="1" x14ac:dyDescent="0.25">
      <c r="A929" s="74"/>
      <c r="B929" s="74"/>
      <c r="C929" s="74"/>
      <c r="D929" s="74"/>
      <c r="E929" s="69"/>
      <c r="F929" s="75"/>
      <c r="G929" s="76"/>
      <c r="H929" s="76"/>
      <c r="I929" s="76"/>
      <c r="J929" s="76"/>
      <c r="K929" s="76"/>
      <c r="L929" s="76"/>
      <c r="M929" s="77"/>
      <c r="N929" s="77"/>
      <c r="O929" s="78"/>
      <c r="P929" s="78"/>
      <c r="Q929" s="76"/>
    </row>
    <row r="930" spans="1:17" ht="19.899999999999999" customHeight="1" x14ac:dyDescent="0.25">
      <c r="A930" s="74"/>
      <c r="B930" s="74"/>
      <c r="C930" s="74"/>
      <c r="D930" s="74"/>
      <c r="E930" s="69"/>
      <c r="F930" s="75"/>
      <c r="G930" s="76"/>
      <c r="H930" s="76"/>
      <c r="I930" s="76"/>
      <c r="J930" s="76"/>
      <c r="K930" s="76"/>
      <c r="L930" s="76"/>
      <c r="M930" s="77"/>
      <c r="N930" s="77"/>
      <c r="O930" s="78"/>
      <c r="P930" s="78"/>
      <c r="Q930" s="76"/>
    </row>
    <row r="931" spans="1:17" ht="19.899999999999999" customHeight="1" x14ac:dyDescent="0.25">
      <c r="A931" s="74"/>
      <c r="B931" s="74"/>
      <c r="C931" s="74"/>
      <c r="D931" s="74"/>
      <c r="E931" s="69"/>
      <c r="F931" s="75"/>
      <c r="G931" s="76"/>
      <c r="H931" s="76"/>
      <c r="I931" s="76"/>
      <c r="J931" s="76"/>
      <c r="K931" s="76"/>
      <c r="L931" s="76"/>
      <c r="M931" s="77"/>
      <c r="N931" s="77"/>
      <c r="O931" s="78"/>
      <c r="P931" s="78"/>
      <c r="Q931" s="76"/>
    </row>
    <row r="932" spans="1:17" ht="19.899999999999999" customHeight="1" x14ac:dyDescent="0.25">
      <c r="A932" s="74"/>
      <c r="B932" s="74"/>
      <c r="C932" s="74"/>
      <c r="D932" s="74"/>
      <c r="E932" s="69"/>
      <c r="F932" s="75"/>
      <c r="G932" s="76"/>
      <c r="H932" s="76"/>
      <c r="I932" s="76"/>
      <c r="J932" s="76"/>
      <c r="K932" s="76"/>
      <c r="L932" s="76"/>
      <c r="M932" s="77"/>
      <c r="N932" s="77"/>
      <c r="O932" s="78"/>
      <c r="P932" s="78"/>
      <c r="Q932" s="76"/>
    </row>
    <row r="933" spans="1:17" ht="19.899999999999999" customHeight="1" x14ac:dyDescent="0.25">
      <c r="A933" s="74"/>
      <c r="B933" s="74"/>
      <c r="C933" s="74"/>
      <c r="D933" s="74"/>
      <c r="E933" s="69"/>
      <c r="F933" s="75"/>
      <c r="G933" s="76"/>
      <c r="H933" s="76"/>
      <c r="I933" s="76"/>
      <c r="J933" s="76"/>
      <c r="K933" s="76"/>
      <c r="L933" s="76"/>
      <c r="M933" s="77"/>
      <c r="N933" s="77"/>
      <c r="O933" s="78"/>
      <c r="P933" s="78"/>
      <c r="Q933" s="76"/>
    </row>
    <row r="934" spans="1:17" ht="19.899999999999999" customHeight="1" x14ac:dyDescent="0.25">
      <c r="A934" s="74"/>
      <c r="B934" s="74"/>
      <c r="C934" s="74"/>
      <c r="D934" s="74"/>
      <c r="E934" s="69"/>
      <c r="F934" s="75"/>
      <c r="G934" s="76"/>
      <c r="H934" s="76"/>
      <c r="I934" s="76"/>
      <c r="J934" s="76"/>
      <c r="K934" s="76"/>
      <c r="L934" s="76"/>
      <c r="M934" s="77"/>
      <c r="N934" s="77"/>
      <c r="O934" s="78"/>
      <c r="P934" s="78"/>
      <c r="Q934" s="76"/>
    </row>
    <row r="935" spans="1:17" ht="19.899999999999999" customHeight="1" x14ac:dyDescent="0.25">
      <c r="A935" s="74"/>
      <c r="B935" s="74"/>
      <c r="C935" s="74"/>
      <c r="D935" s="74"/>
      <c r="E935" s="69"/>
      <c r="F935" s="75"/>
      <c r="G935" s="76"/>
      <c r="H935" s="76"/>
      <c r="I935" s="76"/>
      <c r="J935" s="76"/>
      <c r="K935" s="76"/>
      <c r="L935" s="76"/>
      <c r="M935" s="77"/>
      <c r="N935" s="77"/>
      <c r="O935" s="78"/>
      <c r="P935" s="78"/>
      <c r="Q935" s="76"/>
    </row>
    <row r="936" spans="1:17" ht="19.899999999999999" customHeight="1" x14ac:dyDescent="0.25">
      <c r="A936" s="74"/>
      <c r="B936" s="74"/>
      <c r="C936" s="74"/>
      <c r="D936" s="74"/>
      <c r="E936" s="69"/>
      <c r="F936" s="75"/>
      <c r="G936" s="76"/>
      <c r="H936" s="76"/>
      <c r="I936" s="76"/>
      <c r="J936" s="76"/>
      <c r="K936" s="76"/>
      <c r="L936" s="76"/>
      <c r="M936" s="77"/>
      <c r="N936" s="77"/>
      <c r="O936" s="78"/>
      <c r="P936" s="78"/>
      <c r="Q936" s="76"/>
    </row>
    <row r="937" spans="1:17" ht="19.899999999999999" customHeight="1" x14ac:dyDescent="0.25">
      <c r="A937" s="74"/>
      <c r="B937" s="74"/>
      <c r="C937" s="74"/>
      <c r="D937" s="74"/>
      <c r="E937" s="69"/>
      <c r="F937" s="75"/>
      <c r="G937" s="76"/>
      <c r="H937" s="76"/>
      <c r="I937" s="76"/>
      <c r="J937" s="76"/>
      <c r="K937" s="76"/>
      <c r="L937" s="76"/>
      <c r="M937" s="77"/>
      <c r="N937" s="77"/>
      <c r="O937" s="78"/>
      <c r="P937" s="78"/>
      <c r="Q937" s="76"/>
    </row>
    <row r="938" spans="1:17" ht="19.899999999999999" customHeight="1" x14ac:dyDescent="0.25">
      <c r="A938" s="74"/>
      <c r="B938" s="74"/>
      <c r="C938" s="74"/>
      <c r="D938" s="74"/>
      <c r="E938" s="69"/>
      <c r="F938" s="75"/>
      <c r="G938" s="76"/>
      <c r="H938" s="76"/>
      <c r="I938" s="76"/>
      <c r="J938" s="76"/>
      <c r="K938" s="76"/>
      <c r="L938" s="76"/>
      <c r="M938" s="77"/>
      <c r="N938" s="77"/>
      <c r="O938" s="78"/>
      <c r="P938" s="78"/>
      <c r="Q938" s="76"/>
    </row>
    <row r="939" spans="1:17" ht="19.899999999999999" customHeight="1" x14ac:dyDescent="0.25">
      <c r="A939" s="74"/>
      <c r="B939" s="74"/>
      <c r="C939" s="74"/>
      <c r="D939" s="74"/>
      <c r="E939" s="69"/>
      <c r="F939" s="75"/>
      <c r="G939" s="76"/>
      <c r="H939" s="76"/>
      <c r="I939" s="76"/>
      <c r="J939" s="76"/>
      <c r="K939" s="76"/>
      <c r="L939" s="76"/>
      <c r="M939" s="77"/>
      <c r="N939" s="77"/>
      <c r="O939" s="78"/>
      <c r="P939" s="78"/>
      <c r="Q939" s="76"/>
    </row>
    <row r="940" spans="1:17" ht="19.899999999999999" customHeight="1" x14ac:dyDescent="0.25">
      <c r="A940" s="74"/>
      <c r="B940" s="74"/>
      <c r="C940" s="74"/>
      <c r="D940" s="74"/>
      <c r="E940" s="69"/>
      <c r="F940" s="75"/>
      <c r="G940" s="76"/>
      <c r="H940" s="76"/>
      <c r="I940" s="76"/>
      <c r="J940" s="76"/>
      <c r="K940" s="76"/>
      <c r="L940" s="76"/>
      <c r="M940" s="77"/>
      <c r="N940" s="77"/>
      <c r="O940" s="78"/>
      <c r="P940" s="78"/>
      <c r="Q940" s="76"/>
    </row>
    <row r="941" spans="1:17" ht="19.899999999999999" customHeight="1" x14ac:dyDescent="0.25">
      <c r="A941" s="74"/>
      <c r="B941" s="74"/>
      <c r="C941" s="74"/>
      <c r="D941" s="74"/>
      <c r="E941" s="69"/>
      <c r="F941" s="75"/>
      <c r="G941" s="76"/>
      <c r="H941" s="76"/>
      <c r="I941" s="76"/>
      <c r="J941" s="76"/>
      <c r="K941" s="76"/>
      <c r="L941" s="76"/>
      <c r="M941" s="77"/>
      <c r="N941" s="77"/>
      <c r="O941" s="78"/>
      <c r="P941" s="78"/>
      <c r="Q941" s="76"/>
    </row>
    <row r="942" spans="1:17" ht="19.899999999999999" customHeight="1" x14ac:dyDescent="0.25">
      <c r="A942" s="74"/>
      <c r="B942" s="74"/>
      <c r="C942" s="74"/>
      <c r="D942" s="74"/>
      <c r="E942" s="69"/>
      <c r="F942" s="75"/>
      <c r="G942" s="76"/>
      <c r="H942" s="76"/>
      <c r="I942" s="76"/>
      <c r="J942" s="76"/>
      <c r="K942" s="76"/>
      <c r="L942" s="76"/>
      <c r="M942" s="77"/>
      <c r="N942" s="77"/>
      <c r="O942" s="78"/>
      <c r="P942" s="78"/>
      <c r="Q942" s="76"/>
    </row>
    <row r="943" spans="1:17" ht="19.899999999999999" customHeight="1" x14ac:dyDescent="0.25">
      <c r="A943" s="74"/>
      <c r="B943" s="74"/>
      <c r="C943" s="74"/>
      <c r="D943" s="74"/>
      <c r="E943" s="69"/>
      <c r="F943" s="75"/>
      <c r="G943" s="76"/>
      <c r="H943" s="76"/>
      <c r="I943" s="76"/>
      <c r="J943" s="76"/>
      <c r="K943" s="76"/>
      <c r="L943" s="76"/>
      <c r="M943" s="77"/>
      <c r="N943" s="77"/>
      <c r="O943" s="78"/>
      <c r="P943" s="78"/>
      <c r="Q943" s="76"/>
    </row>
    <row r="944" spans="1:17" ht="19.899999999999999" customHeight="1" x14ac:dyDescent="0.25">
      <c r="A944" s="74"/>
      <c r="B944" s="74"/>
      <c r="C944" s="74"/>
      <c r="D944" s="74"/>
      <c r="E944" s="69"/>
      <c r="F944" s="75"/>
      <c r="G944" s="76"/>
      <c r="H944" s="76"/>
      <c r="I944" s="76"/>
      <c r="J944" s="76"/>
      <c r="K944" s="76"/>
      <c r="L944" s="76"/>
      <c r="M944" s="77"/>
      <c r="N944" s="77"/>
      <c r="O944" s="78"/>
      <c r="P944" s="78"/>
      <c r="Q944" s="76"/>
    </row>
    <row r="945" spans="1:17" ht="19.899999999999999" customHeight="1" x14ac:dyDescent="0.25">
      <c r="A945" s="74"/>
      <c r="B945" s="74"/>
      <c r="C945" s="74"/>
      <c r="D945" s="74"/>
      <c r="E945" s="69"/>
      <c r="F945" s="75"/>
      <c r="G945" s="76"/>
      <c r="H945" s="76"/>
      <c r="I945" s="76"/>
      <c r="J945" s="76"/>
      <c r="K945" s="76"/>
      <c r="L945" s="76"/>
      <c r="M945" s="77"/>
      <c r="N945" s="77"/>
      <c r="O945" s="78"/>
      <c r="P945" s="78"/>
      <c r="Q945" s="76"/>
    </row>
    <row r="946" spans="1:17" ht="19.899999999999999" customHeight="1" x14ac:dyDescent="0.25">
      <c r="A946" s="74"/>
      <c r="B946" s="74"/>
      <c r="C946" s="74"/>
      <c r="D946" s="74"/>
      <c r="E946" s="69"/>
      <c r="F946" s="75"/>
      <c r="G946" s="76"/>
      <c r="H946" s="76"/>
      <c r="I946" s="76"/>
      <c r="J946" s="76"/>
      <c r="K946" s="76"/>
      <c r="L946" s="76"/>
      <c r="M946" s="77"/>
      <c r="N946" s="77"/>
      <c r="O946" s="78"/>
      <c r="P946" s="78"/>
      <c r="Q946" s="76"/>
    </row>
    <row r="947" spans="1:17" ht="19.899999999999999" customHeight="1" x14ac:dyDescent="0.25">
      <c r="A947" s="74"/>
      <c r="B947" s="74"/>
      <c r="C947" s="74"/>
      <c r="D947" s="74"/>
      <c r="E947" s="69"/>
      <c r="F947" s="75"/>
      <c r="G947" s="76"/>
      <c r="H947" s="76"/>
      <c r="I947" s="76"/>
      <c r="J947" s="76"/>
      <c r="K947" s="76"/>
      <c r="L947" s="76"/>
      <c r="M947" s="77"/>
      <c r="N947" s="77"/>
      <c r="O947" s="78"/>
      <c r="P947" s="78"/>
      <c r="Q947" s="76"/>
    </row>
    <row r="948" spans="1:17" ht="19.899999999999999" customHeight="1" x14ac:dyDescent="0.25">
      <c r="A948" s="74"/>
      <c r="B948" s="74"/>
      <c r="C948" s="74"/>
      <c r="D948" s="74"/>
      <c r="E948" s="69"/>
      <c r="F948" s="75"/>
      <c r="G948" s="76"/>
      <c r="H948" s="76"/>
      <c r="I948" s="76"/>
      <c r="J948" s="76"/>
      <c r="K948" s="76"/>
      <c r="L948" s="76"/>
      <c r="M948" s="77"/>
      <c r="N948" s="77"/>
      <c r="O948" s="78"/>
      <c r="P948" s="78"/>
      <c r="Q948" s="76"/>
    </row>
    <row r="949" spans="1:17" ht="19.899999999999999" customHeight="1" x14ac:dyDescent="0.25">
      <c r="A949" s="74"/>
      <c r="B949" s="74"/>
      <c r="C949" s="74"/>
      <c r="D949" s="74"/>
      <c r="E949" s="69"/>
      <c r="F949" s="75"/>
      <c r="G949" s="76"/>
      <c r="H949" s="76"/>
      <c r="I949" s="76"/>
      <c r="J949" s="76"/>
      <c r="K949" s="76"/>
      <c r="L949" s="76"/>
      <c r="M949" s="77"/>
      <c r="N949" s="77"/>
      <c r="O949" s="78"/>
      <c r="P949" s="78"/>
      <c r="Q949" s="76"/>
    </row>
    <row r="950" spans="1:17" ht="19.899999999999999" customHeight="1" x14ac:dyDescent="0.25">
      <c r="A950" s="74"/>
      <c r="B950" s="74"/>
      <c r="C950" s="74"/>
      <c r="D950" s="74"/>
      <c r="E950" s="69"/>
      <c r="F950" s="75"/>
      <c r="G950" s="76"/>
      <c r="H950" s="76"/>
      <c r="I950" s="76"/>
      <c r="J950" s="76"/>
      <c r="K950" s="76"/>
      <c r="L950" s="76"/>
      <c r="M950" s="77"/>
      <c r="N950" s="77"/>
      <c r="O950" s="78"/>
      <c r="P950" s="78"/>
      <c r="Q950" s="76"/>
    </row>
    <row r="951" spans="1:17" ht="19.899999999999999" customHeight="1" x14ac:dyDescent="0.25">
      <c r="A951" s="74"/>
      <c r="B951" s="74"/>
      <c r="C951" s="74"/>
      <c r="D951" s="74"/>
      <c r="E951" s="69"/>
      <c r="F951" s="75"/>
      <c r="G951" s="76"/>
      <c r="H951" s="76"/>
      <c r="I951" s="76"/>
      <c r="J951" s="76"/>
      <c r="K951" s="76"/>
      <c r="L951" s="76"/>
      <c r="M951" s="77"/>
      <c r="N951" s="77"/>
      <c r="O951" s="78"/>
      <c r="P951" s="78"/>
      <c r="Q951" s="76"/>
    </row>
    <row r="952" spans="1:17" ht="19.899999999999999" customHeight="1" x14ac:dyDescent="0.25">
      <c r="A952" s="74"/>
      <c r="B952" s="74"/>
      <c r="C952" s="74"/>
      <c r="D952" s="74"/>
      <c r="E952" s="69"/>
      <c r="F952" s="75"/>
      <c r="G952" s="76"/>
      <c r="H952" s="76"/>
      <c r="I952" s="76"/>
      <c r="J952" s="76"/>
      <c r="K952" s="76"/>
      <c r="L952" s="76"/>
      <c r="M952" s="77"/>
      <c r="N952" s="77"/>
      <c r="O952" s="78"/>
      <c r="P952" s="78"/>
      <c r="Q952" s="76"/>
    </row>
    <row r="953" spans="1:17" ht="19.899999999999999" customHeight="1" x14ac:dyDescent="0.25">
      <c r="A953" s="74"/>
      <c r="B953" s="74"/>
      <c r="C953" s="74"/>
      <c r="D953" s="74"/>
      <c r="E953" s="69"/>
      <c r="F953" s="75"/>
      <c r="G953" s="76"/>
      <c r="H953" s="76"/>
      <c r="I953" s="76"/>
      <c r="J953" s="76"/>
      <c r="K953" s="76"/>
      <c r="L953" s="76"/>
      <c r="M953" s="77"/>
      <c r="N953" s="77"/>
      <c r="O953" s="78"/>
      <c r="P953" s="78"/>
      <c r="Q953" s="76"/>
    </row>
    <row r="954" spans="1:17" ht="19.899999999999999" customHeight="1" x14ac:dyDescent="0.25">
      <c r="A954" s="74"/>
      <c r="B954" s="74"/>
      <c r="C954" s="74"/>
      <c r="D954" s="74"/>
      <c r="E954" s="69"/>
      <c r="F954" s="75"/>
      <c r="G954" s="76"/>
      <c r="H954" s="76"/>
      <c r="I954" s="76"/>
      <c r="J954" s="76"/>
      <c r="K954" s="76"/>
      <c r="L954" s="76"/>
      <c r="M954" s="77"/>
      <c r="N954" s="77"/>
      <c r="O954" s="78"/>
      <c r="P954" s="78"/>
      <c r="Q954" s="76"/>
    </row>
    <row r="955" spans="1:17" ht="19.899999999999999" customHeight="1" x14ac:dyDescent="0.25">
      <c r="A955" s="74"/>
      <c r="B955" s="74"/>
      <c r="C955" s="74"/>
      <c r="D955" s="74"/>
      <c r="E955" s="69"/>
      <c r="F955" s="75"/>
      <c r="G955" s="76"/>
      <c r="H955" s="76"/>
      <c r="I955" s="76"/>
      <c r="J955" s="76"/>
      <c r="K955" s="76"/>
      <c r="L955" s="76"/>
      <c r="M955" s="77"/>
      <c r="N955" s="77"/>
      <c r="O955" s="78"/>
      <c r="P955" s="78"/>
      <c r="Q955" s="76"/>
    </row>
    <row r="956" spans="1:17" ht="19.899999999999999" customHeight="1" x14ac:dyDescent="0.25">
      <c r="A956" s="74"/>
      <c r="B956" s="74"/>
      <c r="C956" s="74"/>
      <c r="D956" s="74"/>
      <c r="E956" s="69"/>
      <c r="F956" s="75"/>
      <c r="G956" s="76"/>
      <c r="H956" s="76"/>
      <c r="I956" s="76"/>
      <c r="J956" s="76"/>
      <c r="K956" s="76"/>
      <c r="L956" s="76"/>
      <c r="M956" s="77"/>
      <c r="N956" s="77"/>
      <c r="O956" s="78"/>
      <c r="P956" s="78"/>
      <c r="Q956" s="76"/>
    </row>
    <row r="957" spans="1:17" ht="19.899999999999999" customHeight="1" x14ac:dyDescent="0.25">
      <c r="A957" s="74"/>
      <c r="B957" s="74"/>
      <c r="C957" s="74"/>
      <c r="D957" s="74"/>
      <c r="E957" s="69"/>
      <c r="F957" s="75"/>
      <c r="G957" s="76"/>
      <c r="H957" s="76"/>
      <c r="I957" s="76"/>
      <c r="J957" s="76"/>
      <c r="K957" s="76"/>
      <c r="L957" s="76"/>
      <c r="M957" s="77"/>
      <c r="N957" s="77"/>
      <c r="O957" s="78"/>
      <c r="P957" s="78"/>
      <c r="Q957" s="76"/>
    </row>
    <row r="958" spans="1:17" ht="19.899999999999999" customHeight="1" x14ac:dyDescent="0.25">
      <c r="A958" s="74"/>
      <c r="B958" s="74"/>
      <c r="C958" s="74"/>
      <c r="D958" s="74"/>
      <c r="E958" s="69"/>
      <c r="F958" s="75"/>
      <c r="G958" s="76"/>
      <c r="H958" s="76"/>
      <c r="I958" s="76"/>
      <c r="J958" s="76"/>
      <c r="K958" s="76"/>
      <c r="L958" s="76"/>
      <c r="M958" s="77"/>
      <c r="N958" s="77"/>
      <c r="O958" s="78"/>
      <c r="P958" s="78"/>
      <c r="Q958" s="76"/>
    </row>
    <row r="959" spans="1:17" ht="19.899999999999999" customHeight="1" x14ac:dyDescent="0.25">
      <c r="A959" s="74"/>
      <c r="B959" s="74"/>
      <c r="C959" s="74"/>
      <c r="D959" s="74"/>
      <c r="E959" s="69"/>
      <c r="F959" s="75"/>
      <c r="G959" s="76"/>
      <c r="H959" s="76"/>
      <c r="I959" s="76"/>
      <c r="J959" s="76"/>
      <c r="K959" s="76"/>
      <c r="L959" s="76"/>
      <c r="M959" s="77"/>
      <c r="N959" s="77"/>
      <c r="O959" s="78"/>
      <c r="P959" s="78"/>
      <c r="Q959" s="76"/>
    </row>
    <row r="960" spans="1:17" ht="19.899999999999999" customHeight="1" x14ac:dyDescent="0.25">
      <c r="A960" s="74"/>
      <c r="B960" s="74"/>
      <c r="C960" s="74"/>
      <c r="D960" s="74"/>
      <c r="E960" s="69"/>
      <c r="F960" s="75"/>
      <c r="G960" s="76"/>
      <c r="H960" s="76"/>
      <c r="I960" s="76"/>
      <c r="J960" s="76"/>
      <c r="K960" s="76"/>
      <c r="L960" s="76"/>
      <c r="M960" s="77"/>
      <c r="N960" s="77"/>
      <c r="O960" s="78"/>
      <c r="P960" s="78"/>
      <c r="Q960" s="76"/>
    </row>
    <row r="961" spans="1:17" ht="19.899999999999999" customHeight="1" x14ac:dyDescent="0.25">
      <c r="A961" s="74"/>
      <c r="B961" s="74"/>
      <c r="C961" s="74"/>
      <c r="D961" s="74"/>
      <c r="E961" s="69"/>
      <c r="F961" s="75"/>
      <c r="G961" s="76"/>
      <c r="H961" s="76"/>
      <c r="I961" s="76"/>
      <c r="J961" s="76"/>
      <c r="K961" s="76"/>
      <c r="L961" s="76"/>
      <c r="M961" s="77"/>
      <c r="N961" s="77"/>
      <c r="O961" s="78"/>
      <c r="P961" s="78"/>
      <c r="Q961" s="76"/>
    </row>
    <row r="962" spans="1:17" ht="19.899999999999999" customHeight="1" x14ac:dyDescent="0.25">
      <c r="A962" s="74"/>
      <c r="B962" s="74"/>
      <c r="C962" s="74"/>
      <c r="D962" s="74"/>
      <c r="E962" s="69"/>
      <c r="F962" s="75"/>
      <c r="G962" s="76"/>
      <c r="H962" s="76"/>
      <c r="I962" s="76"/>
      <c r="J962" s="76"/>
      <c r="K962" s="76"/>
      <c r="L962" s="76"/>
      <c r="M962" s="77"/>
      <c r="N962" s="77"/>
      <c r="O962" s="78"/>
      <c r="P962" s="78"/>
      <c r="Q962" s="76"/>
    </row>
    <row r="963" spans="1:17" ht="19.899999999999999" customHeight="1" x14ac:dyDescent="0.25">
      <c r="A963" s="74"/>
      <c r="B963" s="74"/>
      <c r="C963" s="74"/>
      <c r="D963" s="74"/>
      <c r="E963" s="69"/>
      <c r="F963" s="75"/>
      <c r="G963" s="76"/>
      <c r="H963" s="76"/>
      <c r="I963" s="76"/>
      <c r="J963" s="76"/>
      <c r="K963" s="76"/>
      <c r="L963" s="76"/>
      <c r="M963" s="77"/>
      <c r="N963" s="77"/>
      <c r="O963" s="78"/>
      <c r="P963" s="78"/>
      <c r="Q963" s="76"/>
    </row>
    <row r="964" spans="1:17" ht="19.899999999999999" customHeight="1" x14ac:dyDescent="0.25">
      <c r="A964" s="74"/>
      <c r="B964" s="74"/>
      <c r="C964" s="74"/>
      <c r="D964" s="74"/>
      <c r="E964" s="69"/>
      <c r="F964" s="75"/>
      <c r="G964" s="76"/>
      <c r="H964" s="76"/>
      <c r="I964" s="76"/>
      <c r="J964" s="76"/>
      <c r="K964" s="76"/>
      <c r="L964" s="76"/>
      <c r="M964" s="77"/>
      <c r="N964" s="77"/>
      <c r="O964" s="78"/>
      <c r="P964" s="78"/>
      <c r="Q964" s="76"/>
    </row>
    <row r="965" spans="1:17" ht="19.899999999999999" customHeight="1" x14ac:dyDescent="0.25">
      <c r="A965" s="74"/>
      <c r="B965" s="74"/>
      <c r="C965" s="74"/>
      <c r="D965" s="74"/>
      <c r="E965" s="69"/>
      <c r="F965" s="75"/>
      <c r="G965" s="76"/>
      <c r="H965" s="76"/>
      <c r="I965" s="76"/>
      <c r="J965" s="76"/>
      <c r="K965" s="76"/>
      <c r="L965" s="76"/>
      <c r="M965" s="77"/>
      <c r="N965" s="77"/>
      <c r="O965" s="78"/>
      <c r="P965" s="78"/>
      <c r="Q965" s="76"/>
    </row>
    <row r="966" spans="1:17" ht="19.899999999999999" customHeight="1" x14ac:dyDescent="0.25">
      <c r="A966" s="74"/>
      <c r="B966" s="74"/>
      <c r="C966" s="74"/>
      <c r="D966" s="74"/>
      <c r="E966" s="69"/>
      <c r="F966" s="75"/>
      <c r="G966" s="76"/>
      <c r="H966" s="76"/>
      <c r="I966" s="76"/>
      <c r="J966" s="76"/>
      <c r="K966" s="76"/>
      <c r="L966" s="76"/>
      <c r="M966" s="77"/>
      <c r="N966" s="77"/>
      <c r="O966" s="78"/>
      <c r="P966" s="78"/>
      <c r="Q966" s="76"/>
    </row>
    <row r="967" spans="1:17" ht="19.899999999999999" customHeight="1" x14ac:dyDescent="0.25">
      <c r="A967" s="74"/>
      <c r="B967" s="74"/>
      <c r="C967" s="74"/>
      <c r="D967" s="74"/>
      <c r="E967" s="69"/>
      <c r="F967" s="75"/>
      <c r="G967" s="76"/>
      <c r="H967" s="76"/>
      <c r="I967" s="76"/>
      <c r="J967" s="76"/>
      <c r="K967" s="76"/>
      <c r="L967" s="76"/>
      <c r="M967" s="77"/>
      <c r="N967" s="77"/>
      <c r="O967" s="78"/>
      <c r="P967" s="78"/>
      <c r="Q967" s="76"/>
    </row>
    <row r="968" spans="1:17" ht="19.899999999999999" customHeight="1" x14ac:dyDescent="0.25">
      <c r="A968" s="74"/>
      <c r="B968" s="74"/>
      <c r="C968" s="74"/>
      <c r="D968" s="74"/>
      <c r="E968" s="69"/>
      <c r="F968" s="75"/>
      <c r="G968" s="76"/>
      <c r="H968" s="76"/>
      <c r="I968" s="76"/>
      <c r="J968" s="76"/>
      <c r="K968" s="76"/>
      <c r="L968" s="76"/>
      <c r="M968" s="77"/>
      <c r="N968" s="77"/>
      <c r="O968" s="78"/>
      <c r="P968" s="78"/>
      <c r="Q968" s="76"/>
    </row>
    <row r="969" spans="1:17" ht="19.899999999999999" customHeight="1" x14ac:dyDescent="0.25">
      <c r="A969" s="74"/>
      <c r="B969" s="74"/>
      <c r="C969" s="74"/>
      <c r="D969" s="74"/>
      <c r="E969" s="69"/>
      <c r="F969" s="75"/>
      <c r="G969" s="76"/>
      <c r="H969" s="76"/>
      <c r="I969" s="76"/>
      <c r="J969" s="76"/>
      <c r="K969" s="76"/>
      <c r="L969" s="76"/>
      <c r="M969" s="77"/>
      <c r="N969" s="77"/>
      <c r="O969" s="78"/>
      <c r="P969" s="78"/>
      <c r="Q969" s="76"/>
    </row>
    <row r="970" spans="1:17" ht="19.899999999999999" customHeight="1" x14ac:dyDescent="0.25">
      <c r="A970" s="74"/>
      <c r="B970" s="74"/>
      <c r="C970" s="74"/>
      <c r="D970" s="74"/>
      <c r="E970" s="69"/>
      <c r="F970" s="75"/>
      <c r="G970" s="76"/>
      <c r="H970" s="76"/>
      <c r="I970" s="76"/>
      <c r="J970" s="76"/>
      <c r="K970" s="76"/>
      <c r="L970" s="76"/>
      <c r="M970" s="77"/>
      <c r="N970" s="77"/>
      <c r="O970" s="78"/>
      <c r="P970" s="78"/>
      <c r="Q970" s="76"/>
    </row>
    <row r="971" spans="1:17" ht="19.899999999999999" customHeight="1" x14ac:dyDescent="0.25">
      <c r="A971" s="74"/>
      <c r="B971" s="74"/>
      <c r="C971" s="74"/>
      <c r="D971" s="74"/>
      <c r="E971" s="69"/>
      <c r="F971" s="75"/>
      <c r="G971" s="76"/>
      <c r="H971" s="76"/>
      <c r="I971" s="76"/>
      <c r="J971" s="76"/>
      <c r="K971" s="76"/>
      <c r="L971" s="76"/>
      <c r="M971" s="77"/>
      <c r="N971" s="77"/>
      <c r="O971" s="78"/>
      <c r="P971" s="78"/>
      <c r="Q971" s="76"/>
    </row>
    <row r="972" spans="1:17" ht="19.899999999999999" customHeight="1" x14ac:dyDescent="0.25">
      <c r="A972" s="74"/>
      <c r="B972" s="74"/>
      <c r="C972" s="74"/>
      <c r="D972" s="74"/>
      <c r="E972" s="69"/>
      <c r="F972" s="75"/>
      <c r="G972" s="76"/>
      <c r="H972" s="76"/>
      <c r="I972" s="76"/>
      <c r="J972" s="76"/>
      <c r="K972" s="76"/>
      <c r="L972" s="76"/>
      <c r="M972" s="77"/>
      <c r="N972" s="77"/>
      <c r="O972" s="78"/>
      <c r="P972" s="78"/>
      <c r="Q972" s="76"/>
    </row>
    <row r="973" spans="1:17" ht="19.899999999999999" customHeight="1" x14ac:dyDescent="0.25">
      <c r="A973" s="74"/>
      <c r="B973" s="74"/>
      <c r="C973" s="74"/>
      <c r="D973" s="74"/>
      <c r="E973" s="69"/>
      <c r="F973" s="75"/>
      <c r="G973" s="76"/>
      <c r="H973" s="76"/>
      <c r="I973" s="76"/>
      <c r="J973" s="76"/>
      <c r="K973" s="76"/>
      <c r="L973" s="76"/>
      <c r="M973" s="77"/>
      <c r="N973" s="77"/>
      <c r="O973" s="78"/>
      <c r="P973" s="78"/>
      <c r="Q973" s="76"/>
    </row>
    <row r="974" spans="1:17" ht="19.899999999999999" customHeight="1" x14ac:dyDescent="0.25">
      <c r="A974" s="74"/>
      <c r="B974" s="74"/>
      <c r="C974" s="74"/>
      <c r="D974" s="74"/>
      <c r="E974" s="69"/>
      <c r="F974" s="75"/>
      <c r="G974" s="76"/>
      <c r="H974" s="76"/>
      <c r="I974" s="76"/>
      <c r="J974" s="76"/>
      <c r="K974" s="76"/>
      <c r="L974" s="76"/>
      <c r="M974" s="77"/>
      <c r="N974" s="77"/>
      <c r="O974" s="78"/>
      <c r="P974" s="78"/>
      <c r="Q974" s="76"/>
    </row>
    <row r="975" spans="1:17" ht="19.899999999999999" customHeight="1" x14ac:dyDescent="0.25">
      <c r="A975" s="74"/>
      <c r="B975" s="74"/>
      <c r="C975" s="74"/>
      <c r="D975" s="74"/>
      <c r="E975" s="69"/>
      <c r="F975" s="75"/>
      <c r="G975" s="76"/>
      <c r="H975" s="76"/>
      <c r="I975" s="76"/>
      <c r="J975" s="76"/>
      <c r="K975" s="76"/>
      <c r="L975" s="76"/>
      <c r="M975" s="77"/>
      <c r="N975" s="77"/>
      <c r="O975" s="78"/>
      <c r="P975" s="78"/>
      <c r="Q975" s="76"/>
    </row>
    <row r="976" spans="1:17" ht="19.899999999999999" customHeight="1" x14ac:dyDescent="0.25">
      <c r="A976" s="74"/>
      <c r="B976" s="74"/>
      <c r="C976" s="74"/>
      <c r="D976" s="74"/>
      <c r="E976" s="69"/>
      <c r="F976" s="75"/>
      <c r="G976" s="76"/>
      <c r="H976" s="76"/>
      <c r="I976" s="76"/>
      <c r="J976" s="76"/>
      <c r="K976" s="76"/>
      <c r="L976" s="76"/>
      <c r="M976" s="77"/>
      <c r="N976" s="77"/>
      <c r="O976" s="78"/>
      <c r="P976" s="78"/>
      <c r="Q976" s="76"/>
    </row>
    <row r="977" spans="1:17" ht="19.899999999999999" customHeight="1" x14ac:dyDescent="0.25">
      <c r="A977" s="74"/>
      <c r="B977" s="74"/>
      <c r="C977" s="74"/>
      <c r="D977" s="74"/>
      <c r="E977" s="69"/>
      <c r="F977" s="75"/>
      <c r="G977" s="76"/>
      <c r="H977" s="76"/>
      <c r="I977" s="76"/>
      <c r="J977" s="76"/>
      <c r="K977" s="76"/>
      <c r="L977" s="76"/>
      <c r="M977" s="77"/>
      <c r="N977" s="77"/>
      <c r="O977" s="78"/>
      <c r="P977" s="78"/>
      <c r="Q977" s="76"/>
    </row>
    <row r="978" spans="1:17" ht="19.899999999999999" customHeight="1" x14ac:dyDescent="0.25">
      <c r="A978" s="74"/>
      <c r="B978" s="74"/>
      <c r="C978" s="74"/>
      <c r="D978" s="74"/>
      <c r="E978" s="69"/>
      <c r="F978" s="75"/>
      <c r="G978" s="76"/>
      <c r="H978" s="76"/>
      <c r="I978" s="76"/>
      <c r="J978" s="76"/>
      <c r="K978" s="76"/>
      <c r="L978" s="76"/>
      <c r="M978" s="77"/>
      <c r="N978" s="77"/>
      <c r="O978" s="78"/>
      <c r="P978" s="78"/>
      <c r="Q978" s="76"/>
    </row>
    <row r="979" spans="1:17" ht="19.899999999999999" customHeight="1" x14ac:dyDescent="0.25">
      <c r="A979" s="74"/>
      <c r="B979" s="74"/>
      <c r="C979" s="74"/>
      <c r="D979" s="74"/>
      <c r="E979" s="69"/>
      <c r="F979" s="75"/>
      <c r="G979" s="76"/>
      <c r="H979" s="76"/>
      <c r="I979" s="76"/>
      <c r="J979" s="76"/>
      <c r="K979" s="76"/>
      <c r="L979" s="76"/>
      <c r="M979" s="77"/>
      <c r="N979" s="77"/>
      <c r="O979" s="78"/>
      <c r="P979" s="78"/>
      <c r="Q979" s="76"/>
    </row>
    <row r="980" spans="1:17" ht="19.899999999999999" customHeight="1" x14ac:dyDescent="0.25">
      <c r="A980" s="74"/>
      <c r="B980" s="74"/>
      <c r="C980" s="74"/>
      <c r="D980" s="74"/>
      <c r="E980" s="69"/>
      <c r="F980" s="75"/>
      <c r="G980" s="76"/>
      <c r="H980" s="76"/>
      <c r="I980" s="76"/>
      <c r="J980" s="76"/>
      <c r="K980" s="76"/>
      <c r="L980" s="76"/>
      <c r="M980" s="77"/>
      <c r="N980" s="77"/>
      <c r="O980" s="78"/>
      <c r="P980" s="78"/>
      <c r="Q980" s="76"/>
    </row>
  </sheetData>
  <mergeCells count="14">
    <mergeCell ref="H1:H2"/>
    <mergeCell ref="A1:A2"/>
    <mergeCell ref="B1:C1"/>
    <mergeCell ref="F1:F2"/>
    <mergeCell ref="G1:G2"/>
    <mergeCell ref="D1:E1"/>
    <mergeCell ref="P1:P2"/>
    <mergeCell ref="Q1:Q2"/>
    <mergeCell ref="I1:I2"/>
    <mergeCell ref="J1:K1"/>
    <mergeCell ref="L1:L2"/>
    <mergeCell ref="M1:M2"/>
    <mergeCell ref="N1:N2"/>
    <mergeCell ref="O1:O2"/>
  </mergeCells>
  <pageMargins left="0.7" right="0.21666666666666667" top="0.75" bottom="0.75" header="0.3" footer="0.3"/>
  <pageSetup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adil_transfer">
                <anchor moveWithCells="1" sizeWithCells="1">
                  <from>
                    <xdr:col>8</xdr:col>
                    <xdr:colOff>723900</xdr:colOff>
                    <xdr:row>0</xdr:row>
                    <xdr:rowOff>28575</xdr:rowOff>
                  </from>
                  <to>
                    <xdr:col>11</xdr:col>
                    <xdr:colOff>161925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tadil_transfer">
                <anchor moveWithCells="1" sizeWithCells="1">
                  <from>
                    <xdr:col>8</xdr:col>
                    <xdr:colOff>723900</xdr:colOff>
                    <xdr:row>0</xdr:row>
                    <xdr:rowOff>28575</xdr:rowOff>
                  </from>
                  <to>
                    <xdr:col>11</xdr:col>
                    <xdr:colOff>161925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Q109"/>
  <sheetViews>
    <sheetView rightToLeft="1" view="pageBreakPreview" zoomScale="115" zoomScaleNormal="115" zoomScaleSheetLayoutView="115" workbookViewId="0">
      <pane xSplit="1" ySplit="2" topLeftCell="BN3" activePane="bottomRight" state="frozen"/>
      <selection activeCell="AL18" sqref="AL18"/>
      <selection pane="topRight" activeCell="AL18" sqref="AL18"/>
      <selection pane="bottomLeft" activeCell="AL18" sqref="AL18"/>
      <selection pane="bottomRight" activeCell="BW3" sqref="BW3"/>
    </sheetView>
  </sheetViews>
  <sheetFormatPr defaultColWidth="9.140625" defaultRowHeight="22.5" x14ac:dyDescent="0.25"/>
  <cols>
    <col min="1" max="1" width="11.5703125" style="6" customWidth="1"/>
    <col min="2" max="2" width="6.28515625" style="2" customWidth="1"/>
    <col min="3" max="3" width="6.28515625" style="3" customWidth="1"/>
    <col min="4" max="4" width="6.28515625" style="1" customWidth="1"/>
    <col min="5" max="5" width="6.28515625" style="4" customWidth="1"/>
    <col min="6" max="6" width="6.28515625" style="2" customWidth="1"/>
    <col min="7" max="7" width="6.28515625" style="3" customWidth="1"/>
    <col min="8" max="8" width="6.28515625" style="1" customWidth="1"/>
    <col min="9" max="9" width="6.28515625" style="4" customWidth="1"/>
    <col min="10" max="10" width="6.28515625" style="2" customWidth="1"/>
    <col min="11" max="11" width="6.28515625" style="3" customWidth="1"/>
    <col min="12" max="12" width="6.28515625" style="1" customWidth="1"/>
    <col min="13" max="13" width="6.28515625" style="4" customWidth="1"/>
    <col min="14" max="14" width="6.28515625" style="2" customWidth="1"/>
    <col min="15" max="15" width="6.28515625" style="3" customWidth="1"/>
    <col min="16" max="16" width="6.28515625" style="1" customWidth="1"/>
    <col min="17" max="17" width="6.28515625" style="4" customWidth="1"/>
    <col min="18" max="18" width="6.28515625" style="2" customWidth="1"/>
    <col min="19" max="19" width="6.28515625" style="3" customWidth="1"/>
    <col min="20" max="20" width="6.28515625" style="1" customWidth="1"/>
    <col min="21" max="21" width="6.28515625" style="4" customWidth="1"/>
    <col min="22" max="22" width="6.28515625" style="2" customWidth="1"/>
    <col min="23" max="23" width="6.28515625" style="3" customWidth="1"/>
    <col min="24" max="24" width="6.28515625" style="1" customWidth="1"/>
    <col min="25" max="25" width="6.28515625" style="4" customWidth="1"/>
    <col min="26" max="26" width="6.28515625" style="2" customWidth="1"/>
    <col min="27" max="27" width="6.28515625" style="3" customWidth="1"/>
    <col min="28" max="28" width="6.28515625" style="1" customWidth="1"/>
    <col min="29" max="29" width="6.28515625" style="4" customWidth="1"/>
    <col min="30" max="30" width="6.28515625" style="2" customWidth="1"/>
    <col min="31" max="31" width="6.28515625" style="3" customWidth="1"/>
    <col min="32" max="32" width="6.28515625" style="1" customWidth="1"/>
    <col min="33" max="33" width="6.28515625" style="4" customWidth="1"/>
    <col min="34" max="34" width="6.28515625" style="2" customWidth="1"/>
    <col min="35" max="35" width="6.28515625" style="3" customWidth="1"/>
    <col min="36" max="36" width="6.28515625" style="1" customWidth="1"/>
    <col min="37" max="37" width="6.28515625" style="4" customWidth="1"/>
    <col min="38" max="38" width="6.28515625" style="2" customWidth="1"/>
    <col min="39" max="39" width="6.28515625" style="3" customWidth="1"/>
    <col min="40" max="40" width="6.28515625" style="1" customWidth="1"/>
    <col min="41" max="41" width="6.28515625" style="4" customWidth="1"/>
    <col min="42" max="42" width="6.28515625" style="2" customWidth="1"/>
    <col min="43" max="43" width="6.28515625" style="3" customWidth="1"/>
    <col min="44" max="44" width="6.28515625" style="1" customWidth="1"/>
    <col min="45" max="45" width="6.28515625" style="4" customWidth="1"/>
    <col min="46" max="46" width="6.28515625" style="2" customWidth="1"/>
    <col min="47" max="47" width="6.28515625" style="3" customWidth="1"/>
    <col min="48" max="48" width="6.28515625" style="1" customWidth="1"/>
    <col min="49" max="49" width="12.7109375" style="4" bestFit="1" customWidth="1"/>
    <col min="50" max="50" width="6.28515625" style="2" customWidth="1"/>
    <col min="51" max="51" width="6.28515625" style="3" customWidth="1"/>
    <col min="52" max="52" width="6.28515625" style="1" customWidth="1"/>
    <col min="53" max="53" width="6.28515625" style="4" customWidth="1"/>
    <col min="54" max="54" width="6.28515625" style="2" customWidth="1"/>
    <col min="55" max="55" width="6.28515625" style="3" customWidth="1"/>
    <col min="56" max="56" width="6.28515625" style="1" customWidth="1"/>
    <col min="57" max="57" width="6.28515625" style="4" customWidth="1"/>
    <col min="58" max="58" width="6.28515625" style="2" customWidth="1"/>
    <col min="59" max="59" width="6.28515625" style="3" customWidth="1"/>
    <col min="60" max="60" width="6.28515625" style="1" customWidth="1"/>
    <col min="61" max="61" width="6.28515625" style="4" customWidth="1"/>
    <col min="62" max="64" width="6.28515625" style="2" customWidth="1"/>
    <col min="65" max="65" width="6.28515625" style="3" customWidth="1"/>
    <col min="66" max="66" width="6.28515625" style="1" customWidth="1"/>
    <col min="67" max="67" width="6.28515625" style="4" customWidth="1"/>
    <col min="68" max="68" width="6.28515625" style="2" customWidth="1"/>
    <col min="69" max="69" width="6.28515625" style="3" customWidth="1"/>
    <col min="70" max="70" width="6.28515625" style="1" customWidth="1"/>
    <col min="71" max="71" width="6.28515625" style="4" customWidth="1"/>
    <col min="72" max="72" width="7.7109375" style="2" customWidth="1"/>
    <col min="73" max="74" width="7.7109375" style="55" customWidth="1"/>
    <col min="75" max="75" width="7.7109375" style="3" customWidth="1"/>
    <col min="76" max="76" width="7.7109375" style="1" customWidth="1"/>
    <col min="77" max="77" width="7.7109375" style="4" customWidth="1"/>
  </cols>
  <sheetData>
    <row r="1" spans="1:95" x14ac:dyDescent="0.25">
      <c r="A1" s="7" t="s">
        <v>1</v>
      </c>
      <c r="B1" s="235">
        <v>1382</v>
      </c>
      <c r="C1" s="235"/>
      <c r="D1" s="235"/>
      <c r="E1" s="235"/>
      <c r="F1" s="235">
        <v>1383</v>
      </c>
      <c r="G1" s="235"/>
      <c r="H1" s="235"/>
      <c r="I1" s="235"/>
      <c r="J1" s="235">
        <v>1384</v>
      </c>
      <c r="K1" s="235"/>
      <c r="L1" s="235"/>
      <c r="M1" s="235"/>
      <c r="N1" s="235">
        <v>1385</v>
      </c>
      <c r="O1" s="235"/>
      <c r="P1" s="235"/>
      <c r="Q1" s="235"/>
      <c r="R1" s="235">
        <v>1386</v>
      </c>
      <c r="S1" s="235"/>
      <c r="T1" s="235"/>
      <c r="U1" s="235"/>
      <c r="V1" s="235">
        <v>1387</v>
      </c>
      <c r="W1" s="235"/>
      <c r="X1" s="235"/>
      <c r="Y1" s="235"/>
      <c r="Z1" s="235">
        <v>1388</v>
      </c>
      <c r="AA1" s="235"/>
      <c r="AB1" s="235"/>
      <c r="AC1" s="235"/>
      <c r="AD1" s="235">
        <v>1389</v>
      </c>
      <c r="AE1" s="235"/>
      <c r="AF1" s="235"/>
      <c r="AG1" s="235"/>
      <c r="AH1" s="235">
        <v>1390</v>
      </c>
      <c r="AI1" s="235"/>
      <c r="AJ1" s="235"/>
      <c r="AK1" s="235"/>
      <c r="AL1" s="235">
        <v>1391</v>
      </c>
      <c r="AM1" s="235"/>
      <c r="AN1" s="235"/>
      <c r="AO1" s="235"/>
      <c r="AP1" s="235">
        <v>1392</v>
      </c>
      <c r="AQ1" s="235"/>
      <c r="AR1" s="235"/>
      <c r="AS1" s="235"/>
      <c r="AT1" s="235">
        <v>1393</v>
      </c>
      <c r="AU1" s="235"/>
      <c r="AV1" s="235"/>
      <c r="AW1" s="235"/>
      <c r="AX1" s="235">
        <v>1394</v>
      </c>
      <c r="AY1" s="235"/>
      <c r="AZ1" s="235"/>
      <c r="BA1" s="235"/>
      <c r="BB1" s="235">
        <v>1395</v>
      </c>
      <c r="BC1" s="235"/>
      <c r="BD1" s="235"/>
      <c r="BE1" s="235"/>
      <c r="BF1" s="235">
        <v>1396</v>
      </c>
      <c r="BG1" s="235"/>
      <c r="BH1" s="235"/>
      <c r="BI1" s="235"/>
      <c r="BJ1" s="235">
        <v>1397</v>
      </c>
      <c r="BK1" s="235"/>
      <c r="BL1" s="235"/>
      <c r="BM1" s="235"/>
      <c r="BN1" s="235"/>
      <c r="BO1" s="235"/>
      <c r="BP1" s="235">
        <v>1398</v>
      </c>
      <c r="BQ1" s="235"/>
      <c r="BR1" s="235"/>
      <c r="BS1" s="235"/>
      <c r="BT1" s="235">
        <v>1399</v>
      </c>
      <c r="BU1" s="235"/>
      <c r="BV1" s="235"/>
      <c r="BW1" s="235"/>
      <c r="BX1" s="235"/>
      <c r="BY1" s="235"/>
      <c r="BZ1" s="235">
        <v>1400</v>
      </c>
      <c r="CA1" s="235"/>
      <c r="CB1" s="235"/>
      <c r="CC1" s="235"/>
      <c r="CD1" s="235">
        <v>1401</v>
      </c>
      <c r="CE1" s="235"/>
      <c r="CF1" s="235"/>
      <c r="CG1" s="235"/>
      <c r="CH1" s="235"/>
      <c r="CI1" s="235"/>
      <c r="CJ1" s="235">
        <v>1402</v>
      </c>
      <c r="CK1" s="235"/>
      <c r="CL1" s="235"/>
      <c r="CM1" s="235"/>
      <c r="CN1" s="235">
        <v>1403</v>
      </c>
      <c r="CO1" s="235"/>
      <c r="CP1" s="235"/>
      <c r="CQ1" s="235"/>
    </row>
    <row r="2" spans="1:95" x14ac:dyDescent="0.25">
      <c r="A2" s="7" t="s">
        <v>3</v>
      </c>
      <c r="B2" s="8" t="s">
        <v>4</v>
      </c>
      <c r="C2" s="9" t="s">
        <v>2</v>
      </c>
      <c r="D2" s="10" t="s">
        <v>5</v>
      </c>
      <c r="E2" s="11" t="s">
        <v>6</v>
      </c>
      <c r="F2" s="8" t="s">
        <v>4</v>
      </c>
      <c r="G2" s="9" t="s">
        <v>2</v>
      </c>
      <c r="H2" s="10" t="s">
        <v>5</v>
      </c>
      <c r="I2" s="11" t="s">
        <v>6</v>
      </c>
      <c r="J2" s="8" t="s">
        <v>4</v>
      </c>
      <c r="K2" s="9" t="s">
        <v>2</v>
      </c>
      <c r="L2" s="10" t="s">
        <v>5</v>
      </c>
      <c r="M2" s="11" t="s">
        <v>6</v>
      </c>
      <c r="N2" s="8" t="s">
        <v>4</v>
      </c>
      <c r="O2" s="9" t="s">
        <v>2</v>
      </c>
      <c r="P2" s="10" t="s">
        <v>5</v>
      </c>
      <c r="Q2" s="11" t="s">
        <v>6</v>
      </c>
      <c r="R2" s="8" t="s">
        <v>4</v>
      </c>
      <c r="S2" s="9" t="s">
        <v>2</v>
      </c>
      <c r="T2" s="10" t="s">
        <v>5</v>
      </c>
      <c r="U2" s="11" t="s">
        <v>6</v>
      </c>
      <c r="V2" s="8" t="s">
        <v>4</v>
      </c>
      <c r="W2" s="9" t="s">
        <v>2</v>
      </c>
      <c r="X2" s="10" t="s">
        <v>5</v>
      </c>
      <c r="Y2" s="11" t="s">
        <v>6</v>
      </c>
      <c r="Z2" s="8" t="s">
        <v>4</v>
      </c>
      <c r="AA2" s="9" t="s">
        <v>2</v>
      </c>
      <c r="AB2" s="10" t="s">
        <v>5</v>
      </c>
      <c r="AC2" s="11" t="s">
        <v>6</v>
      </c>
      <c r="AD2" s="8" t="s">
        <v>4</v>
      </c>
      <c r="AE2" s="9" t="s">
        <v>2</v>
      </c>
      <c r="AF2" s="10" t="s">
        <v>5</v>
      </c>
      <c r="AG2" s="11" t="s">
        <v>6</v>
      </c>
      <c r="AH2" s="8" t="s">
        <v>4</v>
      </c>
      <c r="AI2" s="9" t="s">
        <v>2</v>
      </c>
      <c r="AJ2" s="10" t="s">
        <v>5</v>
      </c>
      <c r="AK2" s="11" t="s">
        <v>6</v>
      </c>
      <c r="AL2" s="8" t="s">
        <v>4</v>
      </c>
      <c r="AM2" s="9" t="s">
        <v>2</v>
      </c>
      <c r="AN2" s="10" t="s">
        <v>5</v>
      </c>
      <c r="AO2" s="11" t="s">
        <v>6</v>
      </c>
      <c r="AP2" s="8" t="s">
        <v>4</v>
      </c>
      <c r="AQ2" s="9" t="s">
        <v>2</v>
      </c>
      <c r="AR2" s="10" t="s">
        <v>5</v>
      </c>
      <c r="AS2" s="11" t="s">
        <v>6</v>
      </c>
      <c r="AT2" s="8" t="s">
        <v>4</v>
      </c>
      <c r="AU2" s="9" t="s">
        <v>2</v>
      </c>
      <c r="AV2" s="10" t="s">
        <v>5</v>
      </c>
      <c r="AW2" s="11">
        <v>14021030</v>
      </c>
      <c r="AX2" s="8" t="s">
        <v>4</v>
      </c>
      <c r="AY2" s="9" t="s">
        <v>2</v>
      </c>
      <c r="AZ2" s="10" t="s">
        <v>5</v>
      </c>
      <c r="BA2" s="11" t="s">
        <v>6</v>
      </c>
      <c r="BB2" s="8" t="s">
        <v>4</v>
      </c>
      <c r="BC2" s="9" t="s">
        <v>2</v>
      </c>
      <c r="BD2" s="10" t="s">
        <v>5</v>
      </c>
      <c r="BE2" s="11" t="s">
        <v>6</v>
      </c>
      <c r="BF2" s="8" t="s">
        <v>4</v>
      </c>
      <c r="BG2" s="9" t="s">
        <v>2</v>
      </c>
      <c r="BH2" s="10" t="s">
        <v>5</v>
      </c>
      <c r="BI2" s="11" t="s">
        <v>6</v>
      </c>
      <c r="BJ2" s="8" t="s">
        <v>4</v>
      </c>
      <c r="BK2" s="54" t="s">
        <v>57</v>
      </c>
      <c r="BL2" s="54" t="s">
        <v>58</v>
      </c>
      <c r="BM2" s="9" t="s">
        <v>59</v>
      </c>
      <c r="BN2" s="10" t="s">
        <v>5</v>
      </c>
      <c r="BO2" s="11" t="s">
        <v>6</v>
      </c>
      <c r="BP2" s="8" t="s">
        <v>4</v>
      </c>
      <c r="BQ2" s="9" t="s">
        <v>2</v>
      </c>
      <c r="BR2" s="10" t="s">
        <v>5</v>
      </c>
      <c r="BS2" s="11" t="s">
        <v>6</v>
      </c>
      <c r="BT2" s="8" t="s">
        <v>4</v>
      </c>
      <c r="BU2" s="54" t="s">
        <v>139</v>
      </c>
      <c r="BV2" s="54" t="s">
        <v>140</v>
      </c>
      <c r="BW2" s="9" t="s">
        <v>141</v>
      </c>
      <c r="BX2" s="10" t="s">
        <v>5</v>
      </c>
      <c r="BY2" s="11" t="s">
        <v>6</v>
      </c>
      <c r="BZ2" s="8" t="s">
        <v>4</v>
      </c>
      <c r="CA2" s="9" t="s">
        <v>2</v>
      </c>
      <c r="CB2" s="10" t="s">
        <v>5</v>
      </c>
      <c r="CC2" s="11" t="s">
        <v>6</v>
      </c>
      <c r="CD2" s="8" t="s">
        <v>4</v>
      </c>
      <c r="CE2" s="9" t="s">
        <v>2</v>
      </c>
      <c r="CF2" s="10" t="s">
        <v>5</v>
      </c>
      <c r="CG2" s="11" t="s">
        <v>115</v>
      </c>
      <c r="CH2" s="11" t="s">
        <v>116</v>
      </c>
      <c r="CI2" s="11" t="s">
        <v>117</v>
      </c>
      <c r="CJ2" s="8" t="s">
        <v>4</v>
      </c>
      <c r="CK2" s="9" t="s">
        <v>2</v>
      </c>
      <c r="CL2" s="10" t="s">
        <v>5</v>
      </c>
      <c r="CM2" s="11" t="s">
        <v>6</v>
      </c>
      <c r="CN2" s="8" t="s">
        <v>4</v>
      </c>
      <c r="CO2" s="9" t="s">
        <v>2</v>
      </c>
      <c r="CP2" s="10" t="s">
        <v>5</v>
      </c>
      <c r="CQ2" s="11" t="s">
        <v>6</v>
      </c>
    </row>
    <row r="3" spans="1:95" x14ac:dyDescent="0.55000000000000004">
      <c r="A3" s="7">
        <v>1</v>
      </c>
      <c r="B3" s="16">
        <v>111</v>
      </c>
      <c r="C3" s="17">
        <v>114</v>
      </c>
      <c r="D3" s="18">
        <v>116</v>
      </c>
      <c r="E3" s="19">
        <v>118</v>
      </c>
      <c r="F3" s="16">
        <v>135.69999999999999</v>
      </c>
      <c r="G3" s="17">
        <v>139.19999999999999</v>
      </c>
      <c r="H3" s="18">
        <v>142.80000000000001</v>
      </c>
      <c r="I3" s="19">
        <v>142.80000000000001</v>
      </c>
      <c r="J3" s="16">
        <v>152.69999999999999</v>
      </c>
      <c r="K3" s="17">
        <v>155.30000000000001</v>
      </c>
      <c r="L3" s="18">
        <v>158.4</v>
      </c>
      <c r="M3" s="19">
        <v>159.4</v>
      </c>
      <c r="N3" s="16">
        <v>173.7</v>
      </c>
      <c r="O3" s="20">
        <v>175.3</v>
      </c>
      <c r="P3" s="18">
        <v>178.1</v>
      </c>
      <c r="Q3" s="19">
        <v>178.5</v>
      </c>
      <c r="R3" s="16">
        <v>198.1</v>
      </c>
      <c r="S3" s="17">
        <v>200.7</v>
      </c>
      <c r="T3" s="18">
        <v>210.5</v>
      </c>
      <c r="U3" s="19">
        <v>214.6</v>
      </c>
      <c r="V3" s="16">
        <v>239.3</v>
      </c>
      <c r="W3" s="17">
        <v>242.5</v>
      </c>
      <c r="X3" s="18">
        <v>246.8</v>
      </c>
      <c r="Y3" s="19">
        <v>246.8</v>
      </c>
      <c r="Z3" s="16">
        <v>271.3</v>
      </c>
      <c r="AA3" s="17">
        <v>273.8</v>
      </c>
      <c r="AB3" s="18">
        <v>277.5</v>
      </c>
      <c r="AC3" s="19">
        <v>281.2</v>
      </c>
      <c r="AD3" s="16">
        <v>299.5</v>
      </c>
      <c r="AE3" s="17">
        <v>300.89999999999998</v>
      </c>
      <c r="AF3" s="18">
        <v>311.60000000000002</v>
      </c>
      <c r="AG3" s="19">
        <v>319.8</v>
      </c>
      <c r="AH3" s="16">
        <v>344.6</v>
      </c>
      <c r="AI3" s="17">
        <v>354.4</v>
      </c>
      <c r="AJ3" s="18">
        <v>358.3</v>
      </c>
      <c r="AK3" s="19">
        <v>362</v>
      </c>
      <c r="AL3" s="16">
        <v>406.7</v>
      </c>
      <c r="AM3" s="17">
        <v>423.4</v>
      </c>
      <c r="AN3" s="18">
        <v>442.6</v>
      </c>
      <c r="AO3" s="19">
        <v>450.5</v>
      </c>
      <c r="AP3" s="16">
        <v>516.79999999999995</v>
      </c>
      <c r="AQ3" s="20">
        <v>526</v>
      </c>
      <c r="AR3" s="18">
        <v>537.20000000000005</v>
      </c>
      <c r="AS3" s="19">
        <v>547.1</v>
      </c>
      <c r="AT3" s="16">
        <v>649.1</v>
      </c>
      <c r="AU3" s="17">
        <v>660.1</v>
      </c>
      <c r="AV3" s="18">
        <v>670.8</v>
      </c>
      <c r="AW3" s="19">
        <v>681.5</v>
      </c>
      <c r="AX3" s="88">
        <v>755.6</v>
      </c>
      <c r="AY3" s="89">
        <v>762.3</v>
      </c>
      <c r="AZ3" s="87">
        <v>768.8</v>
      </c>
      <c r="BA3" s="90">
        <v>775.4</v>
      </c>
      <c r="BB3" s="16">
        <v>836.8</v>
      </c>
      <c r="BC3" s="17">
        <v>844.6</v>
      </c>
      <c r="BD3" s="18">
        <v>852.3</v>
      </c>
      <c r="BE3" s="19">
        <v>860.1</v>
      </c>
      <c r="BF3" s="16">
        <v>945.1</v>
      </c>
      <c r="BG3" s="17">
        <v>962.5</v>
      </c>
      <c r="BH3" s="18">
        <v>971.1</v>
      </c>
      <c r="BI3" s="19">
        <v>1120.3</v>
      </c>
      <c r="BJ3" s="16">
        <v>1157.5</v>
      </c>
      <c r="BK3" s="16"/>
      <c r="BL3" s="16"/>
      <c r="BM3" s="17"/>
      <c r="BN3" s="18">
        <f>1180.8</f>
        <v>1180.8</v>
      </c>
      <c r="BO3" s="19">
        <f>1211.8</f>
        <v>1211.8</v>
      </c>
      <c r="BP3" s="91">
        <v>1508.8</v>
      </c>
      <c r="BQ3" s="92">
        <v>1572.1</v>
      </c>
      <c r="BR3" s="18">
        <v>1598.3</v>
      </c>
      <c r="BS3" s="19">
        <v>1636.7</v>
      </c>
      <c r="BT3" s="24">
        <v>2056.8000000000002</v>
      </c>
      <c r="BU3" s="68">
        <v>2241.8000000000002</v>
      </c>
      <c r="BV3" s="68">
        <v>2245.4</v>
      </c>
      <c r="BW3" s="25">
        <v>2253.1</v>
      </c>
      <c r="BX3" s="18">
        <v>2467.9</v>
      </c>
      <c r="BY3" s="24">
        <v>2584.3000000000002</v>
      </c>
      <c r="BZ3" s="91">
        <v>3432.3</v>
      </c>
      <c r="CA3" s="92">
        <v>3543.6</v>
      </c>
      <c r="CB3" s="18">
        <v>3545.1</v>
      </c>
      <c r="CC3" s="19">
        <v>3550.5</v>
      </c>
      <c r="CD3" s="91">
        <v>4466.6000000000004</v>
      </c>
      <c r="CE3" s="92">
        <v>4527.3999999999996</v>
      </c>
      <c r="CF3" s="14">
        <v>5119.6000000000004</v>
      </c>
      <c r="CG3" s="15">
        <v>5270.3</v>
      </c>
      <c r="CH3" s="15">
        <v>5270.3</v>
      </c>
      <c r="CI3" s="15">
        <v>5270.3</v>
      </c>
      <c r="CJ3" s="175">
        <v>6536.2</v>
      </c>
      <c r="CK3" s="175">
        <v>6726.6</v>
      </c>
      <c r="CL3" s="175">
        <v>6861.5</v>
      </c>
      <c r="CM3" s="175">
        <v>7012.8</v>
      </c>
      <c r="CN3" s="176">
        <v>8830.5</v>
      </c>
      <c r="CO3" s="177">
        <v>9131.9</v>
      </c>
      <c r="CP3" s="178"/>
      <c r="CQ3" s="179"/>
    </row>
    <row r="4" spans="1:95" x14ac:dyDescent="0.55000000000000004">
      <c r="A4" s="7">
        <v>2</v>
      </c>
      <c r="B4" s="16">
        <v>108.5</v>
      </c>
      <c r="C4" s="17">
        <v>112</v>
      </c>
      <c r="D4" s="18">
        <v>114.1</v>
      </c>
      <c r="E4" s="19">
        <v>116.2</v>
      </c>
      <c r="F4" s="16">
        <v>133.19999999999999</v>
      </c>
      <c r="G4" s="17">
        <v>136.9</v>
      </c>
      <c r="H4" s="18">
        <v>139.6</v>
      </c>
      <c r="I4" s="19">
        <v>139.6</v>
      </c>
      <c r="J4" s="16">
        <v>148.1</v>
      </c>
      <c r="K4" s="17">
        <v>150.4</v>
      </c>
      <c r="L4" s="18">
        <v>153.4</v>
      </c>
      <c r="M4" s="19">
        <v>154.4</v>
      </c>
      <c r="N4" s="16">
        <v>166.9</v>
      </c>
      <c r="O4" s="17">
        <v>168.1</v>
      </c>
      <c r="P4" s="18">
        <v>170.6</v>
      </c>
      <c r="Q4" s="19">
        <v>170.9</v>
      </c>
      <c r="R4" s="16">
        <v>188.5</v>
      </c>
      <c r="S4" s="17">
        <v>191</v>
      </c>
      <c r="T4" s="18">
        <v>198.4</v>
      </c>
      <c r="U4" s="19">
        <v>203.1</v>
      </c>
      <c r="V4" s="16">
        <v>225.4</v>
      </c>
      <c r="W4" s="17">
        <v>228</v>
      </c>
      <c r="X4" s="18">
        <v>231.9</v>
      </c>
      <c r="Y4" s="19">
        <v>232.6</v>
      </c>
      <c r="Z4" s="16">
        <v>251.1</v>
      </c>
      <c r="AA4" s="17">
        <v>254.1</v>
      </c>
      <c r="AB4" s="18">
        <v>258</v>
      </c>
      <c r="AC4" s="19">
        <v>261.3</v>
      </c>
      <c r="AD4" s="16">
        <v>279.39999999999998</v>
      </c>
      <c r="AE4" s="17">
        <v>281.10000000000002</v>
      </c>
      <c r="AF4" s="18">
        <v>287.10000000000002</v>
      </c>
      <c r="AG4" s="19">
        <v>303.2</v>
      </c>
      <c r="AH4" s="16">
        <v>323.8</v>
      </c>
      <c r="AI4" s="17">
        <v>331.5</v>
      </c>
      <c r="AJ4" s="18">
        <v>338.7</v>
      </c>
      <c r="AK4" s="19">
        <v>344.4</v>
      </c>
      <c r="AL4" s="16">
        <v>381.9</v>
      </c>
      <c r="AM4" s="17">
        <v>397.6</v>
      </c>
      <c r="AN4" s="18">
        <v>423</v>
      </c>
      <c r="AO4" s="19">
        <v>433.5</v>
      </c>
      <c r="AP4" s="16">
        <v>489.3</v>
      </c>
      <c r="AQ4" s="17">
        <v>497.4</v>
      </c>
      <c r="AR4" s="18">
        <v>506.4</v>
      </c>
      <c r="AS4" s="19">
        <v>518.1</v>
      </c>
      <c r="AT4" s="16">
        <v>599.1</v>
      </c>
      <c r="AU4" s="17">
        <v>608.29999999999995</v>
      </c>
      <c r="AV4" s="18">
        <v>617</v>
      </c>
      <c r="AW4" s="19">
        <v>625</v>
      </c>
      <c r="AX4" s="88">
        <v>682.2</v>
      </c>
      <c r="AY4" s="89">
        <v>688</v>
      </c>
      <c r="AZ4" s="87">
        <v>694.4</v>
      </c>
      <c r="BA4" s="90">
        <v>699</v>
      </c>
      <c r="BB4" s="16">
        <v>749.4</v>
      </c>
      <c r="BC4" s="17">
        <v>756.3</v>
      </c>
      <c r="BD4" s="18">
        <v>762.5</v>
      </c>
      <c r="BE4" s="19">
        <v>768.7</v>
      </c>
      <c r="BF4" s="16">
        <v>841.5</v>
      </c>
      <c r="BG4" s="17">
        <v>854.3</v>
      </c>
      <c r="BH4" s="18">
        <v>861.2</v>
      </c>
      <c r="BI4" s="19">
        <v>986.4</v>
      </c>
      <c r="BJ4" s="16">
        <v>1031.4000000000001</v>
      </c>
      <c r="BK4" s="16"/>
      <c r="BL4" s="16"/>
      <c r="BM4" s="17"/>
      <c r="BN4" s="18">
        <f>1075.6</f>
        <v>1075.5999999999999</v>
      </c>
      <c r="BO4" s="19">
        <f>1105.4</f>
        <v>1105.4000000000001</v>
      </c>
      <c r="BP4" s="91">
        <v>1355</v>
      </c>
      <c r="BQ4" s="92">
        <v>1416.8</v>
      </c>
      <c r="BR4" s="18">
        <v>1457.5</v>
      </c>
      <c r="BS4" s="19">
        <v>1498.7</v>
      </c>
      <c r="BT4" s="24">
        <v>1852.2</v>
      </c>
      <c r="BU4" s="68">
        <v>2048.6</v>
      </c>
      <c r="BV4" s="68">
        <v>2083.1</v>
      </c>
      <c r="BW4" s="25">
        <v>2132.1</v>
      </c>
      <c r="BX4" s="18">
        <v>2327</v>
      </c>
      <c r="BY4" s="19">
        <v>2432.6</v>
      </c>
      <c r="BZ4" s="91">
        <v>3192.4</v>
      </c>
      <c r="CA4" s="92">
        <v>3339.9</v>
      </c>
      <c r="CB4" s="18">
        <v>3373.5</v>
      </c>
      <c r="CC4" s="19">
        <v>3414.7</v>
      </c>
      <c r="CD4" s="91">
        <v>4346.6000000000004</v>
      </c>
      <c r="CE4" s="92">
        <v>4418.7</v>
      </c>
      <c r="CF4" s="14">
        <v>4791.3</v>
      </c>
      <c r="CG4" s="15">
        <v>5027.6000000000004</v>
      </c>
      <c r="CH4" s="15">
        <v>5029.3999999999996</v>
      </c>
      <c r="CI4" s="15">
        <v>5056.6000000000004</v>
      </c>
      <c r="CJ4" s="175">
        <v>6198.3</v>
      </c>
      <c r="CK4" s="175">
        <v>6412.8</v>
      </c>
      <c r="CL4" s="175">
        <v>6620</v>
      </c>
      <c r="CM4" s="175">
        <v>6782.4</v>
      </c>
      <c r="CN4" s="176">
        <v>8399.2999999999993</v>
      </c>
      <c r="CO4" s="177">
        <v>8773.1</v>
      </c>
      <c r="CP4" s="178"/>
      <c r="CQ4" s="179"/>
    </row>
    <row r="5" spans="1:95" x14ac:dyDescent="0.55000000000000004">
      <c r="A5" s="7">
        <v>3</v>
      </c>
      <c r="B5" s="16">
        <v>111.8</v>
      </c>
      <c r="C5" s="17">
        <v>117.7</v>
      </c>
      <c r="D5" s="18">
        <v>119.7</v>
      </c>
      <c r="E5" s="19">
        <v>121.8</v>
      </c>
      <c r="F5" s="16">
        <v>151.69999999999999</v>
      </c>
      <c r="G5" s="17">
        <v>157.80000000000001</v>
      </c>
      <c r="H5" s="18">
        <v>161.30000000000001</v>
      </c>
      <c r="I5" s="19">
        <v>161.30000000000001</v>
      </c>
      <c r="J5" s="16">
        <v>171</v>
      </c>
      <c r="K5" s="17">
        <v>174.2</v>
      </c>
      <c r="L5" s="18">
        <v>179.1</v>
      </c>
      <c r="M5" s="19">
        <v>180.7</v>
      </c>
      <c r="N5" s="16">
        <v>189.9</v>
      </c>
      <c r="O5" s="17">
        <v>190</v>
      </c>
      <c r="P5" s="18">
        <v>192.3</v>
      </c>
      <c r="Q5" s="19">
        <v>192.5</v>
      </c>
      <c r="R5" s="16">
        <v>207.3</v>
      </c>
      <c r="S5" s="17">
        <v>209.4</v>
      </c>
      <c r="T5" s="18">
        <v>218.6</v>
      </c>
      <c r="U5" s="19">
        <v>227.6</v>
      </c>
      <c r="V5" s="16">
        <v>246.9</v>
      </c>
      <c r="W5" s="17">
        <v>249.7</v>
      </c>
      <c r="X5" s="18">
        <v>250.8</v>
      </c>
      <c r="Y5" s="19">
        <v>251</v>
      </c>
      <c r="Z5" s="16">
        <v>259.89999999999998</v>
      </c>
      <c r="AA5" s="17">
        <v>265.60000000000002</v>
      </c>
      <c r="AB5" s="18">
        <v>266.60000000000002</v>
      </c>
      <c r="AC5" s="19">
        <v>267.39999999999998</v>
      </c>
      <c r="AD5" s="16"/>
      <c r="AE5" s="17"/>
      <c r="AF5" s="18"/>
      <c r="AG5" s="19"/>
      <c r="AH5" s="16"/>
      <c r="AI5" s="17"/>
      <c r="AJ5" s="18"/>
      <c r="AK5" s="19"/>
      <c r="AL5" s="16"/>
      <c r="AM5" s="17"/>
      <c r="AN5" s="18"/>
      <c r="AO5" s="19">
        <v>597</v>
      </c>
      <c r="AP5" s="16">
        <v>645</v>
      </c>
      <c r="AQ5" s="17">
        <v>662.9</v>
      </c>
      <c r="AR5" s="18">
        <v>674.8</v>
      </c>
      <c r="AS5" s="19">
        <v>686.8</v>
      </c>
      <c r="AT5" s="16">
        <v>755.7</v>
      </c>
      <c r="AU5" s="17">
        <v>771.5</v>
      </c>
      <c r="AV5" s="18">
        <v>776.4</v>
      </c>
      <c r="AW5" s="19">
        <v>783.3</v>
      </c>
      <c r="AX5" s="88">
        <v>835.1</v>
      </c>
      <c r="AY5" s="89">
        <v>839.1</v>
      </c>
      <c r="AZ5" s="87">
        <v>838.3</v>
      </c>
      <c r="BA5" s="90">
        <v>838.4</v>
      </c>
      <c r="BB5" s="16">
        <v>880.4</v>
      </c>
      <c r="BC5" s="17">
        <v>888.8</v>
      </c>
      <c r="BD5" s="18">
        <v>897.2</v>
      </c>
      <c r="BE5" s="19">
        <v>905.6</v>
      </c>
      <c r="BF5" s="16">
        <v>960.1</v>
      </c>
      <c r="BG5" s="17">
        <v>987.2</v>
      </c>
      <c r="BH5" s="18">
        <v>996.3</v>
      </c>
      <c r="BI5" s="19">
        <v>1104.0999999999999</v>
      </c>
      <c r="BJ5" s="16">
        <v>1252.9000000000001</v>
      </c>
      <c r="BK5" s="16"/>
      <c r="BL5" s="16"/>
      <c r="BM5" s="17"/>
      <c r="BN5" s="18">
        <f>1397.4</f>
        <v>1397.4</v>
      </c>
      <c r="BO5" s="19">
        <f>1415.7</f>
        <v>1415.7</v>
      </c>
      <c r="BP5" s="91">
        <v>1628.7</v>
      </c>
      <c r="BQ5" s="92">
        <v>1724.8</v>
      </c>
      <c r="BR5" s="18">
        <v>1840.5</v>
      </c>
      <c r="BS5" s="19">
        <v>1953.4</v>
      </c>
      <c r="BT5" s="24">
        <v>2337</v>
      </c>
      <c r="BU5" s="68">
        <v>2742.4</v>
      </c>
      <c r="BV5" s="68">
        <v>2864.9</v>
      </c>
      <c r="BW5" s="25">
        <v>3121.6</v>
      </c>
      <c r="BX5" s="18">
        <v>3396.7</v>
      </c>
      <c r="BY5" s="19">
        <v>3591.7</v>
      </c>
      <c r="BZ5" s="91">
        <v>4633.8999999999996</v>
      </c>
      <c r="CA5" s="92">
        <v>5028</v>
      </c>
      <c r="CB5" s="18">
        <v>5078.1000000000004</v>
      </c>
      <c r="CC5" s="19">
        <v>5257</v>
      </c>
      <c r="CD5" s="91">
        <v>6534.9</v>
      </c>
      <c r="CE5" s="92">
        <v>6744.8</v>
      </c>
      <c r="CF5" s="14">
        <v>7198.1</v>
      </c>
      <c r="CG5" s="15">
        <v>7659.8</v>
      </c>
      <c r="CH5" s="15">
        <v>7659.8</v>
      </c>
      <c r="CI5" s="15">
        <v>7659.8</v>
      </c>
      <c r="CJ5" s="175">
        <v>9101</v>
      </c>
      <c r="CK5" s="175">
        <v>9651.9</v>
      </c>
      <c r="CL5" s="175">
        <v>9759.6</v>
      </c>
      <c r="CM5" s="175">
        <v>10088.5</v>
      </c>
      <c r="CN5" s="176">
        <v>11832</v>
      </c>
      <c r="CO5" s="177">
        <v>12353.7</v>
      </c>
      <c r="CP5" s="178"/>
      <c r="CQ5" s="179"/>
    </row>
    <row r="6" spans="1:95" x14ac:dyDescent="0.55000000000000004">
      <c r="A6" s="7">
        <v>4</v>
      </c>
      <c r="B6" s="16">
        <v>111.8</v>
      </c>
      <c r="C6" s="17">
        <v>114.3</v>
      </c>
      <c r="D6" s="18">
        <v>116.2</v>
      </c>
      <c r="E6" s="19">
        <v>118.5</v>
      </c>
      <c r="F6" s="16">
        <v>137.69999999999999</v>
      </c>
      <c r="G6" s="17">
        <v>140.30000000000001</v>
      </c>
      <c r="H6" s="18">
        <v>143.30000000000001</v>
      </c>
      <c r="I6" s="19">
        <v>143.30000000000001</v>
      </c>
      <c r="J6" s="16">
        <v>147</v>
      </c>
      <c r="K6" s="17">
        <v>148.6</v>
      </c>
      <c r="L6" s="18">
        <v>151.5</v>
      </c>
      <c r="M6" s="19">
        <v>152.19999999999999</v>
      </c>
      <c r="N6" s="16">
        <v>157.5</v>
      </c>
      <c r="O6" s="17">
        <v>158.30000000000001</v>
      </c>
      <c r="P6" s="18">
        <v>161.5</v>
      </c>
      <c r="Q6" s="19">
        <v>161.6</v>
      </c>
      <c r="R6" s="16">
        <v>179.4</v>
      </c>
      <c r="S6" s="17">
        <v>181.3</v>
      </c>
      <c r="T6" s="18">
        <v>189</v>
      </c>
      <c r="U6" s="19">
        <v>191.3</v>
      </c>
      <c r="V6" s="16">
        <v>209.3</v>
      </c>
      <c r="W6" s="17">
        <v>213.8</v>
      </c>
      <c r="X6" s="18">
        <v>213.9</v>
      </c>
      <c r="Y6" s="19">
        <v>214.5</v>
      </c>
      <c r="Z6" s="16">
        <v>227.3</v>
      </c>
      <c r="AA6" s="17">
        <v>228.5</v>
      </c>
      <c r="AB6" s="18">
        <v>232.1</v>
      </c>
      <c r="AC6" s="19">
        <v>233.9</v>
      </c>
      <c r="AD6" s="16">
        <v>243.4</v>
      </c>
      <c r="AE6" s="17">
        <v>244.5</v>
      </c>
      <c r="AF6" s="18">
        <v>247</v>
      </c>
      <c r="AG6" s="19">
        <v>263.89999999999998</v>
      </c>
      <c r="AH6" s="16">
        <v>278.89999999999998</v>
      </c>
      <c r="AI6" s="17">
        <v>285.2</v>
      </c>
      <c r="AJ6" s="18">
        <v>287.2</v>
      </c>
      <c r="AK6" s="19">
        <v>318.39999999999998</v>
      </c>
      <c r="AL6" s="16">
        <v>341.3</v>
      </c>
      <c r="AM6" s="17">
        <v>355</v>
      </c>
      <c r="AN6" s="18">
        <v>371.8</v>
      </c>
      <c r="AO6" s="19">
        <v>385.8</v>
      </c>
      <c r="AP6" s="16">
        <v>423.7</v>
      </c>
      <c r="AQ6" s="17">
        <v>428.9</v>
      </c>
      <c r="AR6" s="18">
        <v>445.5</v>
      </c>
      <c r="AS6" s="19">
        <v>453.7</v>
      </c>
      <c r="AT6" s="16">
        <v>500.7</v>
      </c>
      <c r="AU6" s="17">
        <v>518.29999999999995</v>
      </c>
      <c r="AV6" s="18">
        <v>535.4</v>
      </c>
      <c r="AW6" s="19">
        <v>537.20000000000005</v>
      </c>
      <c r="AX6" s="88">
        <v>558.79999999999995</v>
      </c>
      <c r="AY6" s="89">
        <v>564.29999999999995</v>
      </c>
      <c r="AZ6" s="87">
        <v>575.70000000000005</v>
      </c>
      <c r="BA6" s="90">
        <v>577.5</v>
      </c>
      <c r="BB6" s="16">
        <v>607.20000000000005</v>
      </c>
      <c r="BC6" s="17">
        <v>612.79999999999995</v>
      </c>
      <c r="BD6" s="18">
        <v>620.4</v>
      </c>
      <c r="BE6" s="19">
        <v>624.9</v>
      </c>
      <c r="BF6" s="16">
        <v>681.9</v>
      </c>
      <c r="BG6" s="17">
        <v>690.9</v>
      </c>
      <c r="BH6" s="18">
        <v>700.1</v>
      </c>
      <c r="BI6" s="19">
        <v>783.7</v>
      </c>
      <c r="BJ6" s="16">
        <v>831.7</v>
      </c>
      <c r="BK6" s="16"/>
      <c r="BL6" s="16"/>
      <c r="BM6" s="17"/>
      <c r="BN6" s="18">
        <f>917.6</f>
        <v>917.6</v>
      </c>
      <c r="BO6" s="19">
        <f>945.4</f>
        <v>945.4</v>
      </c>
      <c r="BP6" s="91">
        <v>1098</v>
      </c>
      <c r="BQ6" s="92">
        <v>1177.7</v>
      </c>
      <c r="BR6" s="18">
        <v>1268.7</v>
      </c>
      <c r="BS6" s="19">
        <v>1312.9</v>
      </c>
      <c r="BT6" s="24">
        <v>1632.9</v>
      </c>
      <c r="BU6" s="68">
        <v>1844.4</v>
      </c>
      <c r="BV6" s="68">
        <v>1907.1</v>
      </c>
      <c r="BW6" s="25">
        <v>2019.2</v>
      </c>
      <c r="BX6" s="18">
        <v>2228.1</v>
      </c>
      <c r="BY6" s="19">
        <v>2327.8000000000002</v>
      </c>
      <c r="BZ6" s="91">
        <v>2975.1</v>
      </c>
      <c r="CA6" s="92">
        <v>3256.1</v>
      </c>
      <c r="CB6" s="18">
        <v>3362.7</v>
      </c>
      <c r="CC6" s="19">
        <v>3469.3</v>
      </c>
      <c r="CD6" s="91">
        <v>4096.8</v>
      </c>
      <c r="CE6" s="92">
        <v>4301.2</v>
      </c>
      <c r="CF6" s="14">
        <v>4798.2</v>
      </c>
      <c r="CG6" s="15">
        <v>5130.5</v>
      </c>
      <c r="CH6" s="15">
        <v>5139.8</v>
      </c>
      <c r="CI6" s="15">
        <v>5239</v>
      </c>
      <c r="CJ6" s="175">
        <v>6128.2</v>
      </c>
      <c r="CK6" s="175">
        <v>6364.8</v>
      </c>
      <c r="CL6" s="175">
        <v>6865.6</v>
      </c>
      <c r="CM6" s="175">
        <v>6952.1</v>
      </c>
      <c r="CN6" s="176">
        <v>8325.2999999999993</v>
      </c>
      <c r="CO6" s="177">
        <v>8817.1</v>
      </c>
      <c r="CP6" s="178"/>
      <c r="CQ6" s="179"/>
    </row>
    <row r="7" spans="1:95" x14ac:dyDescent="0.55000000000000004">
      <c r="A7" s="7">
        <v>5</v>
      </c>
      <c r="B7" s="16">
        <v>108.4</v>
      </c>
      <c r="C7" s="17">
        <v>109.6</v>
      </c>
      <c r="D7" s="18">
        <v>106.4</v>
      </c>
      <c r="E7" s="19">
        <v>107.2</v>
      </c>
      <c r="F7" s="16">
        <v>124.2</v>
      </c>
      <c r="G7" s="17">
        <v>125.3</v>
      </c>
      <c r="H7" s="18">
        <v>131.19999999999999</v>
      </c>
      <c r="I7" s="19">
        <v>131.1</v>
      </c>
      <c r="J7" s="16">
        <v>138.30000000000001</v>
      </c>
      <c r="K7" s="17">
        <v>138.80000000000001</v>
      </c>
      <c r="L7" s="18">
        <v>139.9</v>
      </c>
      <c r="M7" s="19">
        <v>140.19999999999999</v>
      </c>
      <c r="N7" s="16">
        <v>152.6</v>
      </c>
      <c r="O7" s="17">
        <v>152.6</v>
      </c>
      <c r="P7" s="18">
        <v>156.5</v>
      </c>
      <c r="Q7" s="19">
        <v>156.6</v>
      </c>
      <c r="R7" s="16">
        <v>170.1</v>
      </c>
      <c r="S7" s="17">
        <v>170.9</v>
      </c>
      <c r="T7" s="18">
        <v>181.7</v>
      </c>
      <c r="U7" s="19">
        <v>190.4</v>
      </c>
      <c r="V7" s="16">
        <v>198.9</v>
      </c>
      <c r="W7" s="17">
        <v>200.1</v>
      </c>
      <c r="X7" s="18">
        <v>210.9</v>
      </c>
      <c r="Y7" s="19">
        <v>210.2</v>
      </c>
      <c r="Z7" s="16">
        <v>215.7</v>
      </c>
      <c r="AA7" s="17">
        <v>216.4</v>
      </c>
      <c r="AB7" s="18">
        <v>218.2</v>
      </c>
      <c r="AC7" s="19">
        <v>219.5</v>
      </c>
      <c r="AD7" s="16">
        <v>247.3</v>
      </c>
      <c r="AE7" s="17">
        <v>248.3</v>
      </c>
      <c r="AF7" s="18">
        <v>249.8</v>
      </c>
      <c r="AG7" s="19">
        <v>255.2</v>
      </c>
      <c r="AH7" s="16">
        <v>268.89999999999998</v>
      </c>
      <c r="AI7" s="17">
        <v>271.10000000000002</v>
      </c>
      <c r="AJ7" s="18">
        <v>276.8</v>
      </c>
      <c r="AK7" s="19">
        <v>288.5</v>
      </c>
      <c r="AL7" s="16">
        <v>308.8</v>
      </c>
      <c r="AM7" s="17">
        <v>327.60000000000002</v>
      </c>
      <c r="AN7" s="18">
        <v>342.8</v>
      </c>
      <c r="AO7" s="19">
        <v>348.4</v>
      </c>
      <c r="AP7" s="16">
        <v>378.4</v>
      </c>
      <c r="AQ7" s="17">
        <v>382</v>
      </c>
      <c r="AR7" s="18">
        <v>393.1</v>
      </c>
      <c r="AS7" s="19">
        <v>397.5</v>
      </c>
      <c r="AT7" s="16">
        <v>440.9</v>
      </c>
      <c r="AU7" s="17">
        <v>448.4</v>
      </c>
      <c r="AV7" s="18">
        <v>452.8</v>
      </c>
      <c r="AW7" s="19">
        <v>456.3</v>
      </c>
      <c r="AX7" s="88">
        <v>479.8</v>
      </c>
      <c r="AY7" s="89">
        <v>482.1</v>
      </c>
      <c r="AZ7" s="87">
        <v>487.3</v>
      </c>
      <c r="BA7" s="90">
        <v>489.2</v>
      </c>
      <c r="BB7" s="16">
        <v>514.9</v>
      </c>
      <c r="BC7" s="17">
        <v>517.70000000000005</v>
      </c>
      <c r="BD7" s="18">
        <v>525.79999999999995</v>
      </c>
      <c r="BE7" s="19">
        <v>528.5</v>
      </c>
      <c r="BF7" s="16">
        <v>567.4</v>
      </c>
      <c r="BG7" s="17">
        <v>578.4</v>
      </c>
      <c r="BH7" s="18">
        <v>583.4</v>
      </c>
      <c r="BI7" s="19">
        <v>668.2</v>
      </c>
      <c r="BJ7" s="16">
        <v>746.8</v>
      </c>
      <c r="BK7" s="16"/>
      <c r="BL7" s="16"/>
      <c r="BM7" s="17"/>
      <c r="BN7" s="18">
        <f>839.6</f>
        <v>839.6</v>
      </c>
      <c r="BO7" s="19">
        <f>849.2</f>
        <v>849.2</v>
      </c>
      <c r="BP7" s="91">
        <v>968.3</v>
      </c>
      <c r="BQ7" s="92">
        <v>988.2</v>
      </c>
      <c r="BR7" s="18">
        <v>998.6</v>
      </c>
      <c r="BS7" s="19">
        <v>1031</v>
      </c>
      <c r="BT7" s="24">
        <v>1272.2</v>
      </c>
      <c r="BU7" s="68">
        <v>1464</v>
      </c>
      <c r="BV7" s="68">
        <v>1471</v>
      </c>
      <c r="BW7" s="25">
        <v>1567.7</v>
      </c>
      <c r="BX7" s="18">
        <v>1700</v>
      </c>
      <c r="BY7" s="19">
        <v>1818.4</v>
      </c>
      <c r="BZ7" s="91">
        <v>2304.6</v>
      </c>
      <c r="CA7" s="92">
        <v>2581.1</v>
      </c>
      <c r="CB7" s="18">
        <v>2772.5</v>
      </c>
      <c r="CC7" s="19">
        <v>2804.2</v>
      </c>
      <c r="CD7" s="91">
        <v>3465.2</v>
      </c>
      <c r="CE7" s="92">
        <v>3567.8</v>
      </c>
      <c r="CF7" s="14">
        <v>3629.3</v>
      </c>
      <c r="CG7" s="15">
        <v>3939.8</v>
      </c>
      <c r="CH7" s="15">
        <v>3947.1</v>
      </c>
      <c r="CI7" s="15">
        <v>4058.5</v>
      </c>
      <c r="CJ7" s="175">
        <v>4568.8</v>
      </c>
      <c r="CK7" s="175">
        <v>4663.5</v>
      </c>
      <c r="CL7" s="175">
        <v>4789.3999999999996</v>
      </c>
      <c r="CM7" s="175">
        <v>4852.2</v>
      </c>
      <c r="CN7" s="176">
        <v>5655.6</v>
      </c>
      <c r="CO7" s="177">
        <v>5893.3</v>
      </c>
      <c r="CP7" s="178"/>
      <c r="CQ7" s="179"/>
    </row>
    <row r="8" spans="1:95" x14ac:dyDescent="0.55000000000000004">
      <c r="A8" s="7">
        <v>6</v>
      </c>
      <c r="B8" s="16">
        <v>102.1</v>
      </c>
      <c r="C8" s="17">
        <v>100.3</v>
      </c>
      <c r="D8" s="18">
        <v>106.8</v>
      </c>
      <c r="E8" s="19">
        <v>113.9</v>
      </c>
      <c r="F8" s="16">
        <v>132.30000000000001</v>
      </c>
      <c r="G8" s="17">
        <v>139.80000000000001</v>
      </c>
      <c r="H8" s="18">
        <v>149.4</v>
      </c>
      <c r="I8" s="19">
        <v>147.19999999999999</v>
      </c>
      <c r="J8" s="16">
        <v>146.30000000000001</v>
      </c>
      <c r="K8" s="17">
        <v>143</v>
      </c>
      <c r="L8" s="18">
        <v>139.5</v>
      </c>
      <c r="M8" s="19">
        <v>137.19999999999999</v>
      </c>
      <c r="N8" s="16">
        <v>144.30000000000001</v>
      </c>
      <c r="O8" s="17">
        <v>150.1</v>
      </c>
      <c r="P8" s="18">
        <v>163.69999999999999</v>
      </c>
      <c r="Q8" s="19">
        <v>167.7</v>
      </c>
      <c r="R8" s="16">
        <v>202.3</v>
      </c>
      <c r="S8" s="17">
        <v>207</v>
      </c>
      <c r="T8" s="18">
        <v>215.3</v>
      </c>
      <c r="U8" s="19">
        <v>220.8</v>
      </c>
      <c r="V8" s="16">
        <v>255.7</v>
      </c>
      <c r="W8" s="17">
        <v>272.60000000000002</v>
      </c>
      <c r="X8" s="18">
        <v>243</v>
      </c>
      <c r="Y8" s="19">
        <v>206.1</v>
      </c>
      <c r="Z8" s="16">
        <v>205.5</v>
      </c>
      <c r="AA8" s="17">
        <v>215</v>
      </c>
      <c r="AB8" s="18">
        <v>215.5</v>
      </c>
      <c r="AC8" s="19">
        <v>218</v>
      </c>
      <c r="AD8" s="16"/>
      <c r="AE8" s="17"/>
      <c r="AF8" s="18"/>
      <c r="AG8" s="19"/>
      <c r="AH8" s="16"/>
      <c r="AI8" s="17"/>
      <c r="AJ8" s="18"/>
      <c r="AK8" s="19"/>
      <c r="AL8" s="16"/>
      <c r="AM8" s="17"/>
      <c r="AN8" s="18"/>
      <c r="AO8" s="19">
        <v>446.5</v>
      </c>
      <c r="AP8" s="16">
        <v>464.7</v>
      </c>
      <c r="AQ8" s="17">
        <v>464.6</v>
      </c>
      <c r="AR8" s="18">
        <v>508.8</v>
      </c>
      <c r="AS8" s="19">
        <v>510</v>
      </c>
      <c r="AT8" s="16">
        <v>563.79999999999995</v>
      </c>
      <c r="AU8" s="17">
        <v>559.70000000000005</v>
      </c>
      <c r="AV8" s="18">
        <v>560.20000000000005</v>
      </c>
      <c r="AW8" s="19">
        <v>540.79999999999995</v>
      </c>
      <c r="AX8" s="88">
        <v>554.5</v>
      </c>
      <c r="AY8" s="89">
        <v>553.5</v>
      </c>
      <c r="AZ8" s="87">
        <v>538.20000000000005</v>
      </c>
      <c r="BA8" s="90">
        <v>527.6</v>
      </c>
      <c r="BB8" s="16">
        <v>593.9</v>
      </c>
      <c r="BC8" s="17">
        <v>595.4</v>
      </c>
      <c r="BD8" s="18">
        <v>629.79999999999995</v>
      </c>
      <c r="BE8" s="19">
        <v>638.70000000000005</v>
      </c>
      <c r="BF8" s="16">
        <v>717.2</v>
      </c>
      <c r="BG8" s="17">
        <v>742.2</v>
      </c>
      <c r="BH8" s="18">
        <v>769.6</v>
      </c>
      <c r="BI8" s="19">
        <v>865.2</v>
      </c>
      <c r="BJ8" s="16">
        <v>960.6</v>
      </c>
      <c r="BK8" s="16"/>
      <c r="BL8" s="16"/>
      <c r="BM8" s="17"/>
      <c r="BN8" s="18">
        <f>1036</f>
        <v>1036</v>
      </c>
      <c r="BO8" s="19">
        <f>1100</f>
        <v>1100</v>
      </c>
      <c r="BP8" s="88">
        <v>1300.5</v>
      </c>
      <c r="BQ8" s="92">
        <v>1241.9000000000001</v>
      </c>
      <c r="BR8" s="18">
        <v>1255.3</v>
      </c>
      <c r="BS8" s="19">
        <v>1472.8</v>
      </c>
      <c r="BT8" s="24">
        <v>1775.2</v>
      </c>
      <c r="BU8" s="68">
        <v>2154.6999999999998</v>
      </c>
      <c r="BV8" s="68">
        <v>2204.8000000000002</v>
      </c>
      <c r="BW8" s="25">
        <v>2299</v>
      </c>
      <c r="BX8" s="18">
        <v>2715.8</v>
      </c>
      <c r="BY8" s="19">
        <v>2842.6</v>
      </c>
      <c r="BZ8" s="88">
        <v>3210.6</v>
      </c>
      <c r="CA8" s="92">
        <v>3560.6</v>
      </c>
      <c r="CB8" s="18">
        <v>3524.1</v>
      </c>
      <c r="CC8" s="19">
        <v>3426.5</v>
      </c>
      <c r="CD8" s="88">
        <v>3910.3</v>
      </c>
      <c r="CE8" s="92">
        <v>3693.9</v>
      </c>
      <c r="CF8" s="14">
        <v>4228.6000000000004</v>
      </c>
      <c r="CG8" s="15">
        <v>4523</v>
      </c>
      <c r="CH8" s="15">
        <v>4664.5</v>
      </c>
      <c r="CI8" s="15">
        <v>5200.3999999999996</v>
      </c>
      <c r="CJ8" s="175">
        <v>5574.8</v>
      </c>
      <c r="CK8" s="175">
        <v>5413.6</v>
      </c>
      <c r="CL8" s="175">
        <v>5209.8</v>
      </c>
      <c r="CM8" s="175">
        <v>5578.1</v>
      </c>
      <c r="CN8" s="176">
        <v>6044.9</v>
      </c>
      <c r="CO8" s="177">
        <v>6090.1</v>
      </c>
      <c r="CP8" s="178"/>
      <c r="CQ8" s="179"/>
    </row>
    <row r="9" spans="1:95" x14ac:dyDescent="0.55000000000000004">
      <c r="A9" s="7">
        <v>7</v>
      </c>
      <c r="B9" s="16" t="s">
        <v>53</v>
      </c>
      <c r="C9" s="17" t="s">
        <v>54</v>
      </c>
      <c r="D9" s="18">
        <v>98</v>
      </c>
      <c r="E9" s="19">
        <v>116.4</v>
      </c>
      <c r="F9" s="16">
        <v>140.30000000000001</v>
      </c>
      <c r="G9" s="17">
        <v>146.19999999999999</v>
      </c>
      <c r="H9" s="18">
        <v>150.19999999999999</v>
      </c>
      <c r="I9" s="19">
        <v>142.1</v>
      </c>
      <c r="J9" s="16">
        <v>135.9</v>
      </c>
      <c r="K9" s="17">
        <v>127.1</v>
      </c>
      <c r="L9" s="18">
        <v>126</v>
      </c>
      <c r="M9" s="19">
        <v>127</v>
      </c>
      <c r="N9" s="16">
        <v>151.69999999999999</v>
      </c>
      <c r="O9" s="17">
        <v>180.1</v>
      </c>
      <c r="P9" s="18">
        <v>195.8</v>
      </c>
      <c r="Q9" s="19">
        <v>199.2</v>
      </c>
      <c r="R9" s="16">
        <v>213.6</v>
      </c>
      <c r="S9" s="17">
        <v>201.3</v>
      </c>
      <c r="T9" s="18">
        <v>226.7</v>
      </c>
      <c r="U9" s="19">
        <v>250.3</v>
      </c>
      <c r="V9" s="16">
        <v>313.7</v>
      </c>
      <c r="W9" s="17">
        <v>359.6</v>
      </c>
      <c r="X9" s="18">
        <v>252.2</v>
      </c>
      <c r="Y9" s="19">
        <v>204</v>
      </c>
      <c r="Z9" s="16">
        <v>188.9</v>
      </c>
      <c r="AA9" s="17">
        <v>194.7</v>
      </c>
      <c r="AB9" s="18">
        <v>189.5</v>
      </c>
      <c r="AC9" s="19">
        <v>218.8</v>
      </c>
      <c r="AD9" s="16">
        <v>240.5</v>
      </c>
      <c r="AE9" s="17">
        <v>249.1</v>
      </c>
      <c r="AF9" s="18">
        <v>271.39999999999998</v>
      </c>
      <c r="AG9" s="19">
        <v>266.60000000000002</v>
      </c>
      <c r="AH9" s="16">
        <v>273</v>
      </c>
      <c r="AI9" s="17">
        <v>289.7</v>
      </c>
      <c r="AJ9" s="18">
        <v>300.2</v>
      </c>
      <c r="AK9" s="19">
        <v>350.4</v>
      </c>
      <c r="AL9" s="16">
        <v>406.3</v>
      </c>
      <c r="AM9" s="17">
        <v>507.2</v>
      </c>
      <c r="AN9" s="18">
        <v>584.20000000000005</v>
      </c>
      <c r="AO9" s="19">
        <v>583.9</v>
      </c>
      <c r="AP9" s="16">
        <v>586.70000000000005</v>
      </c>
      <c r="AQ9" s="17">
        <v>585.5</v>
      </c>
      <c r="AR9" s="18">
        <v>576.5</v>
      </c>
      <c r="AS9" s="19">
        <v>540.1</v>
      </c>
      <c r="AT9" s="16">
        <v>587.1</v>
      </c>
      <c r="AU9" s="17">
        <v>569.70000000000005</v>
      </c>
      <c r="AV9" s="18">
        <v>566.70000000000005</v>
      </c>
      <c r="AW9" s="19">
        <v>523.20000000000005</v>
      </c>
      <c r="AX9" s="88">
        <v>492.1</v>
      </c>
      <c r="AY9" s="89">
        <v>475.4</v>
      </c>
      <c r="AZ9" s="87">
        <v>450.6</v>
      </c>
      <c r="BA9" s="90">
        <v>417.8</v>
      </c>
      <c r="BB9" s="16">
        <v>500.9</v>
      </c>
      <c r="BC9" s="17">
        <v>595.4</v>
      </c>
      <c r="BD9" s="18">
        <v>530.20000000000005</v>
      </c>
      <c r="BE9" s="19">
        <v>519.1</v>
      </c>
      <c r="BF9" s="16">
        <v>655.29999999999995</v>
      </c>
      <c r="BG9" s="17">
        <v>681.7</v>
      </c>
      <c r="BH9" s="18">
        <v>724.9</v>
      </c>
      <c r="BI9" s="19">
        <v>886.3</v>
      </c>
      <c r="BJ9" s="16">
        <v>1039.3</v>
      </c>
      <c r="BK9" s="16"/>
      <c r="BL9" s="16"/>
      <c r="BM9" s="17"/>
      <c r="BN9" s="18">
        <f>12672</f>
        <v>12672</v>
      </c>
      <c r="BO9" s="19">
        <f>1246.5</f>
        <v>1246.5</v>
      </c>
      <c r="BP9" s="88">
        <v>1470.6</v>
      </c>
      <c r="BQ9" s="89">
        <v>1295.5999999999999</v>
      </c>
      <c r="BR9" s="18">
        <v>1349.6</v>
      </c>
      <c r="BS9" s="19">
        <v>1702.4</v>
      </c>
      <c r="BT9" s="24">
        <v>1921.6</v>
      </c>
      <c r="BU9" s="68">
        <v>2928.5</v>
      </c>
      <c r="BV9" s="68">
        <v>3160.6</v>
      </c>
      <c r="BW9" s="25">
        <v>3346.4</v>
      </c>
      <c r="BX9" s="18">
        <v>3533.6</v>
      </c>
      <c r="BY9" s="19">
        <v>3750.2</v>
      </c>
      <c r="BZ9" s="88">
        <v>4141.8</v>
      </c>
      <c r="CA9" s="89">
        <v>4817.1000000000004</v>
      </c>
      <c r="CB9" s="18">
        <v>4670</v>
      </c>
      <c r="CC9" s="19">
        <v>4583</v>
      </c>
      <c r="CD9" s="88">
        <v>5317</v>
      </c>
      <c r="CE9" s="89">
        <v>4865</v>
      </c>
      <c r="CF9" s="14">
        <v>4876</v>
      </c>
      <c r="CG9" s="15">
        <v>5788.7</v>
      </c>
      <c r="CH9" s="15">
        <v>6480.6</v>
      </c>
      <c r="CI9" s="15">
        <v>7637.1</v>
      </c>
      <c r="CJ9" s="175">
        <v>7689.3</v>
      </c>
      <c r="CK9" s="175">
        <v>7289.8</v>
      </c>
      <c r="CL9" s="175">
        <v>7008.5</v>
      </c>
      <c r="CM9" s="175">
        <v>7339.4</v>
      </c>
      <c r="CN9" s="176">
        <v>8204.4</v>
      </c>
      <c r="CO9" s="177">
        <v>8600.6</v>
      </c>
      <c r="CP9" s="178"/>
      <c r="CQ9" s="179"/>
    </row>
    <row r="10" spans="1:95" x14ac:dyDescent="0.55000000000000004">
      <c r="A10" s="7">
        <v>8</v>
      </c>
      <c r="B10" s="16">
        <v>113.3</v>
      </c>
      <c r="C10" s="17">
        <v>115.6</v>
      </c>
      <c r="D10" s="18">
        <v>123.6</v>
      </c>
      <c r="E10" s="19">
        <v>134.6</v>
      </c>
      <c r="F10" s="16">
        <v>149.19999999999999</v>
      </c>
      <c r="G10" s="17">
        <v>150.9</v>
      </c>
      <c r="H10" s="18">
        <v>152.9</v>
      </c>
      <c r="I10" s="19">
        <v>152.9</v>
      </c>
      <c r="J10" s="16">
        <v>161.1</v>
      </c>
      <c r="K10" s="17">
        <v>166.3</v>
      </c>
      <c r="L10" s="18">
        <v>167.9</v>
      </c>
      <c r="M10" s="19">
        <v>168.4</v>
      </c>
      <c r="N10" s="16">
        <v>172.6</v>
      </c>
      <c r="O10" s="17">
        <v>172.6</v>
      </c>
      <c r="P10" s="18">
        <v>175.2</v>
      </c>
      <c r="Q10" s="19">
        <v>175.3</v>
      </c>
      <c r="R10" s="16">
        <v>192.2</v>
      </c>
      <c r="S10" s="17">
        <v>193.4</v>
      </c>
      <c r="T10" s="18">
        <v>197.8</v>
      </c>
      <c r="U10" s="19">
        <v>200</v>
      </c>
      <c r="V10" s="16">
        <v>220.9</v>
      </c>
      <c r="W10" s="17">
        <v>234.9</v>
      </c>
      <c r="X10" s="18">
        <v>241.1</v>
      </c>
      <c r="Y10" s="19">
        <v>241.3</v>
      </c>
      <c r="Z10" s="16">
        <v>246.5</v>
      </c>
      <c r="AA10" s="17">
        <v>247.5</v>
      </c>
      <c r="AB10" s="18">
        <v>249.3</v>
      </c>
      <c r="AC10" s="19">
        <v>250.3</v>
      </c>
      <c r="AD10" s="16">
        <v>257.10000000000002</v>
      </c>
      <c r="AE10" s="17">
        <v>258.10000000000002</v>
      </c>
      <c r="AF10" s="18">
        <v>261.7</v>
      </c>
      <c r="AG10" s="19">
        <v>279.5</v>
      </c>
      <c r="AH10" s="16">
        <v>288.10000000000002</v>
      </c>
      <c r="AI10" s="17">
        <v>306</v>
      </c>
      <c r="AJ10" s="18">
        <v>309.8</v>
      </c>
      <c r="AK10" s="19">
        <v>326.60000000000002</v>
      </c>
      <c r="AL10" s="16">
        <v>345.8</v>
      </c>
      <c r="AM10" s="17">
        <v>357.3</v>
      </c>
      <c r="AN10" s="18">
        <v>398.2</v>
      </c>
      <c r="AO10" s="19">
        <v>406.7</v>
      </c>
      <c r="AP10" s="16">
        <v>441.9</v>
      </c>
      <c r="AQ10" s="17">
        <v>459.7</v>
      </c>
      <c r="AR10" s="18">
        <v>472.5</v>
      </c>
      <c r="AS10" s="19">
        <v>478.7</v>
      </c>
      <c r="AT10" s="16">
        <v>511.3</v>
      </c>
      <c r="AU10" s="17">
        <v>559.20000000000005</v>
      </c>
      <c r="AV10" s="18">
        <v>558.29999999999995</v>
      </c>
      <c r="AW10" s="19">
        <v>560.5</v>
      </c>
      <c r="AX10" s="88">
        <v>577.79999999999995</v>
      </c>
      <c r="AY10" s="89">
        <v>580.5</v>
      </c>
      <c r="AZ10" s="87">
        <v>576.79999999999995</v>
      </c>
      <c r="BA10" s="90">
        <v>578.1</v>
      </c>
      <c r="BB10" s="16">
        <v>595.9</v>
      </c>
      <c r="BC10" s="17">
        <v>595.4</v>
      </c>
      <c r="BD10" s="18">
        <v>629.6</v>
      </c>
      <c r="BE10" s="19">
        <v>636.9</v>
      </c>
      <c r="BF10" s="16">
        <v>693.6</v>
      </c>
      <c r="BG10" s="17">
        <v>700.4</v>
      </c>
      <c r="BH10" s="18">
        <v>705.5</v>
      </c>
      <c r="BI10" s="19">
        <v>790.2</v>
      </c>
      <c r="BJ10" s="16">
        <v>825.4</v>
      </c>
      <c r="BK10" s="16"/>
      <c r="BL10" s="16"/>
      <c r="BM10" s="17"/>
      <c r="BN10" s="18">
        <f>906.6</f>
        <v>906.6</v>
      </c>
      <c r="BO10" s="19">
        <f>925.8</f>
        <v>925.8</v>
      </c>
      <c r="BP10" s="88">
        <v>1055.5</v>
      </c>
      <c r="BQ10" s="89">
        <v>1189.5999999999999</v>
      </c>
      <c r="BR10" s="18">
        <v>1247.8</v>
      </c>
      <c r="BS10" s="19">
        <v>1281.7</v>
      </c>
      <c r="BT10" s="24">
        <v>1500.5</v>
      </c>
      <c r="BU10" s="68">
        <v>1707.2</v>
      </c>
      <c r="BV10" s="68">
        <v>1751.4</v>
      </c>
      <c r="BW10" s="25">
        <v>1840.6</v>
      </c>
      <c r="BX10" s="18">
        <v>2043.4</v>
      </c>
      <c r="BY10" s="19">
        <v>2111.1</v>
      </c>
      <c r="BZ10" s="88">
        <v>2713.5</v>
      </c>
      <c r="CA10" s="89">
        <v>3199.6</v>
      </c>
      <c r="CB10" s="18">
        <v>3121.7</v>
      </c>
      <c r="CC10" s="19">
        <v>3217.4</v>
      </c>
      <c r="CD10" s="88">
        <v>3835.8</v>
      </c>
      <c r="CE10" s="89">
        <v>4120.2</v>
      </c>
      <c r="CF10" s="14">
        <v>4353.6000000000004</v>
      </c>
      <c r="CG10" s="15">
        <v>4548.7</v>
      </c>
      <c r="CH10" s="15">
        <v>4569.8999999999996</v>
      </c>
      <c r="CI10" s="15">
        <v>4914.8999999999996</v>
      </c>
      <c r="CJ10" s="175">
        <v>5709.3</v>
      </c>
      <c r="CK10" s="175">
        <v>6115</v>
      </c>
      <c r="CL10" s="175">
        <v>6441.6</v>
      </c>
      <c r="CM10" s="175">
        <v>6530.6</v>
      </c>
      <c r="CN10" s="176">
        <v>7718.9</v>
      </c>
      <c r="CO10" s="177">
        <v>8689.4</v>
      </c>
      <c r="CP10" s="178"/>
      <c r="CQ10" s="179"/>
    </row>
    <row r="11" spans="1:95" x14ac:dyDescent="0.55000000000000004">
      <c r="A11" s="7">
        <v>9</v>
      </c>
      <c r="B11" s="16">
        <v>103.6</v>
      </c>
      <c r="C11" s="17">
        <v>101.4</v>
      </c>
      <c r="D11" s="18">
        <v>108</v>
      </c>
      <c r="E11" s="19">
        <v>120.8</v>
      </c>
      <c r="F11" s="16">
        <v>140.30000000000001</v>
      </c>
      <c r="G11" s="17">
        <v>145.5</v>
      </c>
      <c r="H11" s="18">
        <v>151.30000000000001</v>
      </c>
      <c r="I11" s="19">
        <v>147.80000000000001</v>
      </c>
      <c r="J11" s="16">
        <v>147.80000000000001</v>
      </c>
      <c r="K11" s="17">
        <v>143.6</v>
      </c>
      <c r="L11" s="18">
        <v>143.9</v>
      </c>
      <c r="M11" s="19">
        <v>141.19999999999999</v>
      </c>
      <c r="N11" s="16">
        <v>158.5</v>
      </c>
      <c r="O11" s="17">
        <v>173</v>
      </c>
      <c r="P11" s="18">
        <v>180</v>
      </c>
      <c r="Q11" s="19">
        <v>188.4</v>
      </c>
      <c r="R11" s="16">
        <v>210.9</v>
      </c>
      <c r="S11" s="17">
        <v>209.2</v>
      </c>
      <c r="T11" s="18">
        <v>223.5</v>
      </c>
      <c r="U11" s="19">
        <v>233.6</v>
      </c>
      <c r="V11" s="16">
        <v>272.89999999999998</v>
      </c>
      <c r="W11" s="17">
        <v>291</v>
      </c>
      <c r="X11" s="18">
        <v>232</v>
      </c>
      <c r="Y11" s="19">
        <v>201</v>
      </c>
      <c r="Z11" s="16">
        <v>196.9</v>
      </c>
      <c r="AA11" s="17">
        <v>213.4</v>
      </c>
      <c r="AB11" s="18">
        <v>211.7</v>
      </c>
      <c r="AC11" s="19">
        <v>218.4</v>
      </c>
      <c r="AD11" s="16">
        <v>231.1</v>
      </c>
      <c r="AE11" s="17">
        <v>234.7</v>
      </c>
      <c r="AF11" s="18">
        <v>247.7</v>
      </c>
      <c r="AG11" s="19">
        <v>257.60000000000002</v>
      </c>
      <c r="AH11" s="16">
        <v>275.2</v>
      </c>
      <c r="AI11" s="17">
        <v>302.3</v>
      </c>
      <c r="AJ11" s="18">
        <v>318.89999999999998</v>
      </c>
      <c r="AK11" s="19">
        <v>335.8</v>
      </c>
      <c r="AL11" s="16">
        <v>352.4</v>
      </c>
      <c r="AM11" s="17">
        <v>404.1</v>
      </c>
      <c r="AN11" s="18">
        <v>498.1</v>
      </c>
      <c r="AO11" s="19">
        <v>546.79999999999995</v>
      </c>
      <c r="AP11" s="16">
        <v>577</v>
      </c>
      <c r="AQ11" s="17">
        <v>572.4</v>
      </c>
      <c r="AR11" s="18">
        <v>568.29999999999995</v>
      </c>
      <c r="AS11" s="19">
        <v>561.70000000000005</v>
      </c>
      <c r="AT11" s="16">
        <v>594.79999999999995</v>
      </c>
      <c r="AU11" s="17">
        <v>588.4</v>
      </c>
      <c r="AV11" s="18">
        <v>588.6</v>
      </c>
      <c r="AW11" s="19">
        <v>580.1</v>
      </c>
      <c r="AX11" s="88">
        <v>583.79999999999995</v>
      </c>
      <c r="AY11" s="89">
        <v>570</v>
      </c>
      <c r="AZ11" s="87">
        <v>550.5</v>
      </c>
      <c r="BA11" s="90">
        <v>528.9</v>
      </c>
      <c r="BB11" s="16">
        <v>580.70000000000005</v>
      </c>
      <c r="BC11" s="17">
        <v>595.4</v>
      </c>
      <c r="BD11" s="18">
        <v>626.9</v>
      </c>
      <c r="BE11" s="19">
        <v>656</v>
      </c>
      <c r="BF11" s="16">
        <v>725.8</v>
      </c>
      <c r="BG11" s="17">
        <v>761.7</v>
      </c>
      <c r="BH11" s="18">
        <v>794.1</v>
      </c>
      <c r="BI11" s="19">
        <v>901.1</v>
      </c>
      <c r="BJ11" s="16">
        <v>1009.4</v>
      </c>
      <c r="BK11" s="16"/>
      <c r="BL11" s="16"/>
      <c r="BM11" s="17"/>
      <c r="BN11" s="18">
        <f>1239.2</f>
        <v>1239.2</v>
      </c>
      <c r="BO11" s="19">
        <f>1309.8</f>
        <v>1309.8</v>
      </c>
      <c r="BP11" s="91">
        <v>1578.8</v>
      </c>
      <c r="BQ11" s="92">
        <v>1502.9</v>
      </c>
      <c r="BR11" s="18">
        <v>1568.6</v>
      </c>
      <c r="BS11" s="19">
        <v>1994.5</v>
      </c>
      <c r="BT11" s="24">
        <v>2274.9</v>
      </c>
      <c r="BU11" s="68">
        <v>3027.9</v>
      </c>
      <c r="BV11" s="68">
        <v>3328.4</v>
      </c>
      <c r="BW11" s="25">
        <v>3443.4</v>
      </c>
      <c r="BX11" s="18">
        <v>3812.4</v>
      </c>
      <c r="BY11" s="19">
        <v>4157.5</v>
      </c>
      <c r="BZ11" s="91">
        <v>4941.6000000000004</v>
      </c>
      <c r="CA11" s="92">
        <v>5521.4</v>
      </c>
      <c r="CB11" s="18">
        <v>5466</v>
      </c>
      <c r="CC11" s="19">
        <v>5272.7</v>
      </c>
      <c r="CD11" s="91">
        <v>5873.6</v>
      </c>
      <c r="CE11" s="92">
        <v>5567</v>
      </c>
      <c r="CF11" s="14">
        <v>5780.9</v>
      </c>
      <c r="CG11" s="15">
        <v>6830.6</v>
      </c>
      <c r="CH11" s="15">
        <v>7459.1</v>
      </c>
      <c r="CI11" s="15">
        <v>8307.6</v>
      </c>
      <c r="CJ11" s="175">
        <v>8243.1</v>
      </c>
      <c r="CK11" s="175">
        <v>7906.6</v>
      </c>
      <c r="CL11" s="175">
        <v>7944</v>
      </c>
      <c r="CM11" s="175">
        <v>8776.9</v>
      </c>
      <c r="CN11" s="176">
        <v>9495.9</v>
      </c>
      <c r="CO11" s="177">
        <v>9370.1</v>
      </c>
      <c r="CP11" s="178"/>
      <c r="CQ11" s="179"/>
    </row>
    <row r="12" spans="1:95" x14ac:dyDescent="0.55000000000000004">
      <c r="A12" s="7">
        <v>10</v>
      </c>
      <c r="B12" s="16">
        <v>110.2</v>
      </c>
      <c r="C12" s="17">
        <v>111.9</v>
      </c>
      <c r="D12" s="18">
        <v>115.8</v>
      </c>
      <c r="E12" s="19">
        <v>121.8</v>
      </c>
      <c r="F12" s="16">
        <v>137.5</v>
      </c>
      <c r="G12" s="17">
        <v>139.30000000000001</v>
      </c>
      <c r="H12" s="18">
        <v>139.19999999999999</v>
      </c>
      <c r="I12" s="19">
        <v>139.19999999999999</v>
      </c>
      <c r="J12" s="16">
        <v>146.69999999999999</v>
      </c>
      <c r="K12" s="17">
        <v>149.69999999999999</v>
      </c>
      <c r="L12" s="18">
        <v>151.19999999999999</v>
      </c>
      <c r="M12" s="19">
        <v>151.69999999999999</v>
      </c>
      <c r="N12" s="16">
        <v>157.19999999999999</v>
      </c>
      <c r="O12" s="17">
        <v>157.30000000000001</v>
      </c>
      <c r="P12" s="18">
        <v>160.80000000000001</v>
      </c>
      <c r="Q12" s="19">
        <v>161</v>
      </c>
      <c r="R12" s="16">
        <v>174.7</v>
      </c>
      <c r="S12" s="17">
        <v>181.7</v>
      </c>
      <c r="T12" s="18">
        <v>195.8</v>
      </c>
      <c r="U12" s="19">
        <v>204.5</v>
      </c>
      <c r="V12" s="16">
        <v>222.1</v>
      </c>
      <c r="W12" s="17">
        <v>231</v>
      </c>
      <c r="X12" s="18">
        <v>229.2</v>
      </c>
      <c r="Y12" s="19">
        <v>223.3</v>
      </c>
      <c r="Z12" s="16">
        <v>223.1</v>
      </c>
      <c r="AA12" s="17">
        <v>222.4</v>
      </c>
      <c r="AB12" s="18">
        <v>224.4</v>
      </c>
      <c r="AC12" s="19">
        <v>225.8</v>
      </c>
      <c r="AD12" s="16"/>
      <c r="AE12" s="17"/>
      <c r="AF12" s="18"/>
      <c r="AG12" s="19"/>
      <c r="AH12" s="16"/>
      <c r="AI12" s="17"/>
      <c r="AJ12" s="18"/>
      <c r="AK12" s="19"/>
      <c r="AL12" s="16"/>
      <c r="AM12" s="17"/>
      <c r="AN12" s="18"/>
      <c r="AO12" s="19">
        <v>376</v>
      </c>
      <c r="AP12" s="16">
        <v>408.8</v>
      </c>
      <c r="AQ12" s="17">
        <v>420.5</v>
      </c>
      <c r="AR12" s="18">
        <v>430.7</v>
      </c>
      <c r="AS12" s="19">
        <v>436.5</v>
      </c>
      <c r="AT12" s="16">
        <v>474.3</v>
      </c>
      <c r="AU12" s="17">
        <v>503.2</v>
      </c>
      <c r="AV12" s="18">
        <v>508.6</v>
      </c>
      <c r="AW12" s="19">
        <v>511.9</v>
      </c>
      <c r="AX12" s="88">
        <v>536.5</v>
      </c>
      <c r="AY12" s="89">
        <v>539.5</v>
      </c>
      <c r="AZ12" s="87">
        <v>539.6</v>
      </c>
      <c r="BA12" s="90">
        <v>541.5</v>
      </c>
      <c r="BB12" s="16">
        <v>565</v>
      </c>
      <c r="BC12" s="17">
        <v>595.4</v>
      </c>
      <c r="BD12" s="18">
        <v>587.4</v>
      </c>
      <c r="BE12" s="19">
        <v>593</v>
      </c>
      <c r="BF12" s="16">
        <v>646</v>
      </c>
      <c r="BG12" s="17">
        <v>652.6</v>
      </c>
      <c r="BH12" s="18">
        <v>657</v>
      </c>
      <c r="BI12" s="19">
        <v>743.3</v>
      </c>
      <c r="BJ12" s="16">
        <v>782.1</v>
      </c>
      <c r="BK12" s="16"/>
      <c r="BL12" s="16"/>
      <c r="BM12" s="17"/>
      <c r="BN12" s="18">
        <f>875</f>
        <v>875</v>
      </c>
      <c r="BO12" s="19">
        <f>862.4</f>
        <v>862.4</v>
      </c>
      <c r="BP12" s="91">
        <v>999.7</v>
      </c>
      <c r="BQ12" s="92">
        <v>1096.8</v>
      </c>
      <c r="BR12" s="18">
        <v>1140.4000000000001</v>
      </c>
      <c r="BS12" s="19">
        <v>1174.2</v>
      </c>
      <c r="BT12" s="24">
        <v>1399.4</v>
      </c>
      <c r="BU12" s="68">
        <v>1578.7</v>
      </c>
      <c r="BV12" s="68">
        <v>1609</v>
      </c>
      <c r="BW12" s="25">
        <v>1669.5</v>
      </c>
      <c r="BX12" s="18">
        <v>1895.4</v>
      </c>
      <c r="BY12" s="19">
        <v>1967.9</v>
      </c>
      <c r="BZ12" s="91">
        <v>2526.1999999999998</v>
      </c>
      <c r="CA12" s="92">
        <v>2868.5</v>
      </c>
      <c r="CB12" s="18">
        <v>2867.9</v>
      </c>
      <c r="CC12" s="19">
        <v>2935.7</v>
      </c>
      <c r="CD12" s="91">
        <v>3555.8</v>
      </c>
      <c r="CE12" s="92">
        <v>3744.8</v>
      </c>
      <c r="CF12" s="14">
        <v>4020.7</v>
      </c>
      <c r="CG12" s="15">
        <v>4225.5</v>
      </c>
      <c r="CH12" s="15">
        <v>4241.2</v>
      </c>
      <c r="CI12" s="15">
        <v>4464</v>
      </c>
      <c r="CJ12" s="175">
        <v>5217.3</v>
      </c>
      <c r="CK12" s="175">
        <v>5516.6</v>
      </c>
      <c r="CL12" s="175">
        <v>5764</v>
      </c>
      <c r="CM12" s="175">
        <v>5851.4</v>
      </c>
      <c r="CN12" s="176">
        <v>6978.2</v>
      </c>
      <c r="CO12" s="177">
        <v>7610.3</v>
      </c>
      <c r="CP12" s="178"/>
      <c r="CQ12" s="179"/>
    </row>
    <row r="13" spans="1:95" x14ac:dyDescent="0.55000000000000004">
      <c r="A13" s="7">
        <v>11</v>
      </c>
      <c r="B13" s="16">
        <v>111.5</v>
      </c>
      <c r="C13" s="17">
        <v>113.8</v>
      </c>
      <c r="D13" s="18">
        <v>115.4</v>
      </c>
      <c r="E13" s="19">
        <v>117.4</v>
      </c>
      <c r="F13" s="16">
        <v>142.4</v>
      </c>
      <c r="G13" s="17">
        <v>144.5</v>
      </c>
      <c r="H13" s="18">
        <v>146.30000000000001</v>
      </c>
      <c r="I13" s="19">
        <v>146.30000000000001</v>
      </c>
      <c r="J13" s="16">
        <v>153</v>
      </c>
      <c r="K13" s="17">
        <v>154.19999999999999</v>
      </c>
      <c r="L13" s="18">
        <v>156.19999999999999</v>
      </c>
      <c r="M13" s="19">
        <v>156.69999999999999</v>
      </c>
      <c r="N13" s="16">
        <v>160.80000000000001</v>
      </c>
      <c r="O13" s="17">
        <v>161.5</v>
      </c>
      <c r="P13" s="18">
        <v>164.8</v>
      </c>
      <c r="Q13" s="19">
        <v>164.9</v>
      </c>
      <c r="R13" s="16">
        <v>201.2</v>
      </c>
      <c r="S13" s="17">
        <v>221.8</v>
      </c>
      <c r="T13" s="18">
        <v>273.60000000000002</v>
      </c>
      <c r="U13" s="19">
        <v>284.3</v>
      </c>
      <c r="V13" s="16">
        <v>302.5</v>
      </c>
      <c r="W13" s="17">
        <v>308.7</v>
      </c>
      <c r="X13" s="18">
        <v>301.89999999999998</v>
      </c>
      <c r="Y13" s="19">
        <v>297.8</v>
      </c>
      <c r="Z13" s="16">
        <v>283.8</v>
      </c>
      <c r="AA13" s="17">
        <v>277.89999999999998</v>
      </c>
      <c r="AB13" s="18">
        <v>279.8</v>
      </c>
      <c r="AC13" s="19">
        <v>281.2</v>
      </c>
      <c r="AD13" s="16">
        <v>264.2</v>
      </c>
      <c r="AE13" s="17">
        <v>268.3</v>
      </c>
      <c r="AF13" s="18">
        <v>284.10000000000002</v>
      </c>
      <c r="AG13" s="19">
        <v>370</v>
      </c>
      <c r="AH13" s="16">
        <v>410.6</v>
      </c>
      <c r="AI13" s="17">
        <v>425.3</v>
      </c>
      <c r="AJ13" s="18">
        <v>418.7</v>
      </c>
      <c r="AK13" s="19">
        <v>426.3</v>
      </c>
      <c r="AL13" s="16">
        <v>451.8</v>
      </c>
      <c r="AM13" s="17">
        <v>479.8</v>
      </c>
      <c r="AN13" s="18">
        <v>510.5</v>
      </c>
      <c r="AO13" s="19">
        <v>525.5</v>
      </c>
      <c r="AP13" s="16">
        <v>571.20000000000005</v>
      </c>
      <c r="AQ13" s="17">
        <v>578.29999999999995</v>
      </c>
      <c r="AR13" s="18">
        <v>580</v>
      </c>
      <c r="AS13" s="19">
        <v>587.6</v>
      </c>
      <c r="AT13" s="16">
        <v>640.6</v>
      </c>
      <c r="AU13" s="17">
        <v>658.9</v>
      </c>
      <c r="AV13" s="18">
        <v>661.8</v>
      </c>
      <c r="AW13" s="19">
        <v>663.2</v>
      </c>
      <c r="AX13" s="88">
        <v>682.7</v>
      </c>
      <c r="AY13" s="89">
        <v>688.1</v>
      </c>
      <c r="AZ13" s="87">
        <v>695.3</v>
      </c>
      <c r="BA13" s="90">
        <v>696.9</v>
      </c>
      <c r="BB13" s="16">
        <v>723.3</v>
      </c>
      <c r="BC13" s="17">
        <v>595.4</v>
      </c>
      <c r="BD13" s="18">
        <v>736.1</v>
      </c>
      <c r="BE13" s="19">
        <v>738.6</v>
      </c>
      <c r="BF13" s="16">
        <v>793</v>
      </c>
      <c r="BG13" s="17">
        <v>797.3</v>
      </c>
      <c r="BH13" s="18">
        <v>801</v>
      </c>
      <c r="BI13" s="19">
        <v>898.8</v>
      </c>
      <c r="BJ13" s="16">
        <v>949.7</v>
      </c>
      <c r="BK13" s="16"/>
      <c r="BL13" s="16"/>
      <c r="BM13" s="17"/>
      <c r="BN13" s="18">
        <f>1007.3</f>
        <v>1007.3</v>
      </c>
      <c r="BO13" s="19">
        <f>1033.9</f>
        <v>1033.9000000000001</v>
      </c>
      <c r="BP13" s="91">
        <v>1201.0999999999999</v>
      </c>
      <c r="BQ13" s="92">
        <v>1288.7</v>
      </c>
      <c r="BR13" s="18">
        <v>1403.4</v>
      </c>
      <c r="BS13" s="19">
        <v>1446.4</v>
      </c>
      <c r="BT13" s="24">
        <v>1763.3</v>
      </c>
      <c r="BU13" s="68">
        <v>2001.9</v>
      </c>
      <c r="BV13" s="68">
        <v>2028</v>
      </c>
      <c r="BW13" s="25">
        <v>2123</v>
      </c>
      <c r="BX13" s="18">
        <v>2429.5</v>
      </c>
      <c r="BY13" s="19">
        <v>2522.8000000000002</v>
      </c>
      <c r="BZ13" s="91">
        <v>3177.4</v>
      </c>
      <c r="CA13" s="92">
        <v>3434.5</v>
      </c>
      <c r="CB13" s="18">
        <v>3549.9</v>
      </c>
      <c r="CC13" s="19">
        <v>3655.8</v>
      </c>
      <c r="CD13" s="91">
        <v>4492.2</v>
      </c>
      <c r="CE13" s="92">
        <v>4651.3</v>
      </c>
      <c r="CF13" s="14">
        <v>5166.3999999999996</v>
      </c>
      <c r="CG13" s="15">
        <v>5416.6</v>
      </c>
      <c r="CH13" s="15">
        <v>5426.7</v>
      </c>
      <c r="CI13" s="15">
        <v>5666.3</v>
      </c>
      <c r="CJ13" s="175">
        <v>6528</v>
      </c>
      <c r="CK13" s="175">
        <v>6852.2</v>
      </c>
      <c r="CL13" s="175">
        <v>7413.1</v>
      </c>
      <c r="CM13" s="175">
        <v>7482.3</v>
      </c>
      <c r="CN13" s="176">
        <v>8858.4</v>
      </c>
      <c r="CO13" s="177">
        <v>9323.5</v>
      </c>
      <c r="CP13" s="178"/>
      <c r="CQ13" s="179"/>
    </row>
    <row r="14" spans="1:95" x14ac:dyDescent="0.55000000000000004">
      <c r="A14" s="7">
        <v>12</v>
      </c>
      <c r="B14" s="16">
        <v>107.7</v>
      </c>
      <c r="C14" s="17">
        <v>109.3</v>
      </c>
      <c r="D14" s="18">
        <v>112.8</v>
      </c>
      <c r="E14" s="19">
        <v>115.1</v>
      </c>
      <c r="F14" s="16">
        <v>138.6</v>
      </c>
      <c r="G14" s="17">
        <v>140.19999999999999</v>
      </c>
      <c r="H14" s="18">
        <v>143.4</v>
      </c>
      <c r="I14" s="19">
        <v>143.4</v>
      </c>
      <c r="J14" s="16">
        <v>161</v>
      </c>
      <c r="K14" s="17">
        <v>162.4</v>
      </c>
      <c r="L14" s="18">
        <v>164.7</v>
      </c>
      <c r="M14" s="19">
        <v>165.1</v>
      </c>
      <c r="N14" s="16">
        <v>179.7</v>
      </c>
      <c r="O14" s="17">
        <v>179.7</v>
      </c>
      <c r="P14" s="18">
        <v>182.6</v>
      </c>
      <c r="Q14" s="19">
        <v>182.7</v>
      </c>
      <c r="R14" s="16">
        <v>210.2</v>
      </c>
      <c r="S14" s="17">
        <v>214.4</v>
      </c>
      <c r="T14" s="18">
        <v>217.7</v>
      </c>
      <c r="U14" s="19">
        <v>230</v>
      </c>
      <c r="V14" s="16">
        <v>270.5</v>
      </c>
      <c r="W14" s="17">
        <v>283.5</v>
      </c>
      <c r="X14" s="18">
        <v>276.39999999999998</v>
      </c>
      <c r="Y14" s="19">
        <v>277</v>
      </c>
      <c r="Z14" s="16">
        <v>283</v>
      </c>
      <c r="AA14" s="17">
        <v>284.10000000000002</v>
      </c>
      <c r="AB14" s="18">
        <v>285.8</v>
      </c>
      <c r="AC14" s="19">
        <v>287.10000000000002</v>
      </c>
      <c r="AD14" s="16">
        <v>297.2</v>
      </c>
      <c r="AE14" s="17">
        <v>298.10000000000002</v>
      </c>
      <c r="AF14" s="18">
        <v>311.8</v>
      </c>
      <c r="AG14" s="19">
        <v>324</v>
      </c>
      <c r="AH14" s="16">
        <v>339.7</v>
      </c>
      <c r="AI14" s="17">
        <v>346.3</v>
      </c>
      <c r="AJ14" s="18">
        <v>350.8</v>
      </c>
      <c r="AK14" s="19">
        <v>364.4</v>
      </c>
      <c r="AL14" s="16">
        <v>381.9</v>
      </c>
      <c r="AM14" s="17">
        <v>400.4</v>
      </c>
      <c r="AN14" s="18">
        <v>444.7</v>
      </c>
      <c r="AO14" s="19">
        <v>458.7</v>
      </c>
      <c r="AP14" s="16">
        <v>514.79999999999995</v>
      </c>
      <c r="AQ14" s="17">
        <v>522</v>
      </c>
      <c r="AR14" s="18">
        <v>531.70000000000005</v>
      </c>
      <c r="AS14" s="19">
        <v>537</v>
      </c>
      <c r="AT14" s="16">
        <v>601.1</v>
      </c>
      <c r="AU14" s="17">
        <v>615.79999999999995</v>
      </c>
      <c r="AV14" s="18">
        <v>620.20000000000005</v>
      </c>
      <c r="AW14" s="19">
        <v>623.20000000000005</v>
      </c>
      <c r="AX14" s="88">
        <v>646.20000000000005</v>
      </c>
      <c r="AY14" s="89">
        <v>649.4</v>
      </c>
      <c r="AZ14" s="87">
        <v>651.29999999999995</v>
      </c>
      <c r="BA14" s="90">
        <v>653.1</v>
      </c>
      <c r="BB14" s="16">
        <v>676.3</v>
      </c>
      <c r="BC14" s="17">
        <v>595.4</v>
      </c>
      <c r="BD14" s="18">
        <v>702.1</v>
      </c>
      <c r="BE14" s="19">
        <v>705.7</v>
      </c>
      <c r="BF14" s="16">
        <v>766.8</v>
      </c>
      <c r="BG14" s="17">
        <v>783.7</v>
      </c>
      <c r="BH14" s="18">
        <v>791.8</v>
      </c>
      <c r="BI14" s="19">
        <v>884.2</v>
      </c>
      <c r="BJ14" s="16">
        <v>951.4</v>
      </c>
      <c r="BK14" s="16"/>
      <c r="BL14" s="16"/>
      <c r="BM14" s="17"/>
      <c r="BN14" s="18">
        <f>1012</f>
        <v>1012</v>
      </c>
      <c r="BO14" s="19">
        <f>1031.2</f>
        <v>1031.2</v>
      </c>
      <c r="BP14" s="91">
        <v>1170.2</v>
      </c>
      <c r="BQ14" s="89">
        <v>1276.5</v>
      </c>
      <c r="BR14" s="18">
        <v>1315.1</v>
      </c>
      <c r="BS14" s="19">
        <v>1345.6</v>
      </c>
      <c r="BT14" s="24">
        <v>1574.1</v>
      </c>
      <c r="BU14" s="68">
        <v>1770.9</v>
      </c>
      <c r="BV14" s="68">
        <v>1800.4</v>
      </c>
      <c r="BW14" s="25">
        <v>1923.8</v>
      </c>
      <c r="BX14" s="18">
        <v>2160.3000000000002</v>
      </c>
      <c r="BY14" s="19">
        <v>2240.1999999999998</v>
      </c>
      <c r="BZ14" s="91">
        <v>2896.7</v>
      </c>
      <c r="CA14" s="89">
        <v>3119.3</v>
      </c>
      <c r="CB14" s="18">
        <v>3265.7</v>
      </c>
      <c r="CC14" s="19">
        <v>3346.9</v>
      </c>
      <c r="CD14" s="91">
        <v>4140.1000000000004</v>
      </c>
      <c r="CE14" s="89">
        <v>4327.8999999999996</v>
      </c>
      <c r="CF14" s="14">
        <v>4587.3</v>
      </c>
      <c r="CG14" s="15">
        <v>4804.7</v>
      </c>
      <c r="CH14" s="15">
        <v>4821.3999999999996</v>
      </c>
      <c r="CI14" s="15">
        <v>5036</v>
      </c>
      <c r="CJ14" s="175">
        <v>5941.9</v>
      </c>
      <c r="CK14" s="175">
        <v>6245.4</v>
      </c>
      <c r="CL14" s="175">
        <v>6552.5</v>
      </c>
      <c r="CM14" s="175">
        <v>6645.8</v>
      </c>
      <c r="CN14" s="176">
        <v>8035.6</v>
      </c>
      <c r="CO14" s="177">
        <v>8777.4</v>
      </c>
      <c r="CP14" s="178"/>
      <c r="CQ14" s="179"/>
    </row>
    <row r="15" spans="1:95" x14ac:dyDescent="0.55000000000000004">
      <c r="A15" s="7">
        <v>13</v>
      </c>
      <c r="B15" s="16">
        <v>102.3</v>
      </c>
      <c r="C15" s="17">
        <v>103.3</v>
      </c>
      <c r="D15" s="18">
        <v>103.9</v>
      </c>
      <c r="E15" s="19">
        <v>104.4</v>
      </c>
      <c r="F15" s="16">
        <v>113.6</v>
      </c>
      <c r="G15" s="17">
        <v>114.5</v>
      </c>
      <c r="H15" s="18">
        <v>118.2</v>
      </c>
      <c r="I15" s="19">
        <v>118.2</v>
      </c>
      <c r="J15" s="16">
        <v>117.3</v>
      </c>
      <c r="K15" s="17">
        <v>117.7</v>
      </c>
      <c r="L15" s="18">
        <v>118.4</v>
      </c>
      <c r="M15" s="19">
        <v>118.6</v>
      </c>
      <c r="N15" s="16">
        <v>121.2</v>
      </c>
      <c r="O15" s="17">
        <v>121.2</v>
      </c>
      <c r="P15" s="18">
        <v>123</v>
      </c>
      <c r="Q15" s="19">
        <v>123.1</v>
      </c>
      <c r="R15" s="16">
        <v>148.19999999999999</v>
      </c>
      <c r="S15" s="17">
        <v>148.9</v>
      </c>
      <c r="T15" s="18">
        <v>155.4</v>
      </c>
      <c r="U15" s="19">
        <v>159.80000000000001</v>
      </c>
      <c r="V15" s="16">
        <v>233.3</v>
      </c>
      <c r="W15" s="17">
        <v>265</v>
      </c>
      <c r="X15" s="18">
        <v>262.89999999999998</v>
      </c>
      <c r="Y15" s="19">
        <v>251.6</v>
      </c>
      <c r="Z15" s="16">
        <v>242.6</v>
      </c>
      <c r="AA15" s="17">
        <v>251.3</v>
      </c>
      <c r="AB15" s="18">
        <v>264.39999999999998</v>
      </c>
      <c r="AC15" s="19">
        <v>266.60000000000002</v>
      </c>
      <c r="AD15" s="16">
        <v>279</v>
      </c>
      <c r="AE15" s="17">
        <v>277.89999999999998</v>
      </c>
      <c r="AF15" s="18">
        <v>282.8</v>
      </c>
      <c r="AG15" s="19">
        <v>301.2</v>
      </c>
      <c r="AH15" s="16">
        <v>332.8</v>
      </c>
      <c r="AI15" s="17">
        <v>347</v>
      </c>
      <c r="AJ15" s="18">
        <v>363.7</v>
      </c>
      <c r="AK15" s="19">
        <v>377.6</v>
      </c>
      <c r="AL15" s="16">
        <v>423.6</v>
      </c>
      <c r="AM15" s="17">
        <v>443.8</v>
      </c>
      <c r="AN15" s="18">
        <v>482.6</v>
      </c>
      <c r="AO15" s="19">
        <v>622.70000000000005</v>
      </c>
      <c r="AP15" s="16">
        <v>675.9</v>
      </c>
      <c r="AQ15" s="17">
        <v>676.7</v>
      </c>
      <c r="AR15" s="18">
        <v>693.4</v>
      </c>
      <c r="AS15" s="19">
        <v>691.2</v>
      </c>
      <c r="AT15" s="16">
        <v>735.8</v>
      </c>
      <c r="AU15" s="17">
        <v>744.9</v>
      </c>
      <c r="AV15" s="18">
        <v>714.2</v>
      </c>
      <c r="AW15" s="19">
        <v>685.2</v>
      </c>
      <c r="AX15" s="88">
        <v>700.3</v>
      </c>
      <c r="AY15" s="89">
        <v>698.4</v>
      </c>
      <c r="AZ15" s="87">
        <v>698.4</v>
      </c>
      <c r="BA15" s="90">
        <v>619.5</v>
      </c>
      <c r="BB15" s="16">
        <v>637.6</v>
      </c>
      <c r="BC15" s="17">
        <v>595.4</v>
      </c>
      <c r="BD15" s="18">
        <v>690.2</v>
      </c>
      <c r="BE15" s="19">
        <v>715.7</v>
      </c>
      <c r="BF15" s="16">
        <v>732.4</v>
      </c>
      <c r="BG15" s="17">
        <v>763.7</v>
      </c>
      <c r="BH15" s="18">
        <v>811.3</v>
      </c>
      <c r="BI15" s="19">
        <v>939.3</v>
      </c>
      <c r="BJ15" s="16">
        <v>1144.3</v>
      </c>
      <c r="BK15" s="16"/>
      <c r="BL15" s="16"/>
      <c r="BM15" s="17"/>
      <c r="BN15" s="18">
        <f>1390.4</f>
        <v>1390.4</v>
      </c>
      <c r="BO15" s="19">
        <f>1302.4</f>
        <v>1302.4000000000001</v>
      </c>
      <c r="BP15" s="91">
        <v>1474.3</v>
      </c>
      <c r="BQ15" s="92">
        <v>1367</v>
      </c>
      <c r="BR15" s="18">
        <v>1346.3</v>
      </c>
      <c r="BS15" s="19">
        <v>1372</v>
      </c>
      <c r="BT15" s="24">
        <v>1486.7</v>
      </c>
      <c r="BU15" s="68">
        <v>1747.4</v>
      </c>
      <c r="BV15" s="68">
        <v>1810.7</v>
      </c>
      <c r="BW15" s="25">
        <v>1937.4</v>
      </c>
      <c r="BX15" s="18">
        <v>2185.3000000000002</v>
      </c>
      <c r="BY15" s="19">
        <v>2516.3000000000002</v>
      </c>
      <c r="BZ15" s="91">
        <v>2835.9</v>
      </c>
      <c r="CA15" s="92">
        <v>2994.8</v>
      </c>
      <c r="CB15" s="18">
        <v>3338.4</v>
      </c>
      <c r="CC15" s="19">
        <v>3614.1</v>
      </c>
      <c r="CD15" s="91">
        <v>4303.1000000000004</v>
      </c>
      <c r="CE15" s="92">
        <v>4154.6000000000004</v>
      </c>
      <c r="CF15" s="14">
        <v>4412.5</v>
      </c>
      <c r="CG15" s="15">
        <v>4830</v>
      </c>
      <c r="CH15" s="15">
        <v>5068.6000000000004</v>
      </c>
      <c r="CI15" s="15">
        <v>5599.4</v>
      </c>
      <c r="CJ15" s="175">
        <v>6280</v>
      </c>
      <c r="CK15" s="175">
        <v>6379.2</v>
      </c>
      <c r="CL15" s="175">
        <v>6265.9</v>
      </c>
      <c r="CM15" s="175">
        <v>6154.8</v>
      </c>
      <c r="CN15" s="176">
        <v>7080.2</v>
      </c>
      <c r="CO15" s="177">
        <v>7431.4</v>
      </c>
      <c r="CP15" s="178"/>
      <c r="CQ15" s="179"/>
    </row>
    <row r="16" spans="1:95" x14ac:dyDescent="0.55000000000000004">
      <c r="A16" s="7">
        <v>14</v>
      </c>
      <c r="B16" s="16">
        <v>110</v>
      </c>
      <c r="C16" s="17">
        <v>110.2</v>
      </c>
      <c r="D16" s="18">
        <v>110.3</v>
      </c>
      <c r="E16" s="19">
        <v>110.4</v>
      </c>
      <c r="F16" s="16">
        <v>113.4</v>
      </c>
      <c r="G16" s="17">
        <v>117.4</v>
      </c>
      <c r="H16" s="18">
        <v>117.5</v>
      </c>
      <c r="I16" s="19">
        <v>117.5</v>
      </c>
      <c r="J16" s="16">
        <v>129.19999999999999</v>
      </c>
      <c r="K16" s="17">
        <v>129.19999999999999</v>
      </c>
      <c r="L16" s="18">
        <v>129.4</v>
      </c>
      <c r="M16" s="19">
        <v>129.5</v>
      </c>
      <c r="N16" s="16">
        <v>134.69999999999999</v>
      </c>
      <c r="O16" s="17">
        <v>134.69999999999999</v>
      </c>
      <c r="P16" s="18">
        <v>138.19999999999999</v>
      </c>
      <c r="Q16" s="19">
        <v>138.19999999999999</v>
      </c>
      <c r="R16" s="16">
        <v>156</v>
      </c>
      <c r="S16" s="17">
        <v>156.1</v>
      </c>
      <c r="T16" s="18">
        <v>156.30000000000001</v>
      </c>
      <c r="U16" s="19">
        <v>156.4</v>
      </c>
      <c r="V16" s="16">
        <v>160.6</v>
      </c>
      <c r="W16" s="17">
        <v>160.69999999999999</v>
      </c>
      <c r="X16" s="18">
        <v>168.3</v>
      </c>
      <c r="Y16" s="19">
        <v>168.3</v>
      </c>
      <c r="Z16" s="16">
        <v>181.8</v>
      </c>
      <c r="AA16" s="17">
        <v>188.1</v>
      </c>
      <c r="AB16" s="18">
        <v>187.6</v>
      </c>
      <c r="AC16" s="19">
        <v>184.3</v>
      </c>
      <c r="AD16" s="16"/>
      <c r="AE16" s="17"/>
      <c r="AF16" s="18"/>
      <c r="AG16" s="19"/>
      <c r="AH16" s="16"/>
      <c r="AI16" s="17"/>
      <c r="AJ16" s="18"/>
      <c r="AK16" s="19"/>
      <c r="AL16" s="16"/>
      <c r="AM16" s="17"/>
      <c r="AN16" s="18"/>
      <c r="AO16" s="19">
        <v>305.8</v>
      </c>
      <c r="AP16" s="16">
        <v>311.60000000000002</v>
      </c>
      <c r="AQ16" s="17">
        <v>312.60000000000002</v>
      </c>
      <c r="AR16" s="18">
        <v>317.39999999999998</v>
      </c>
      <c r="AS16" s="19">
        <v>318.5</v>
      </c>
      <c r="AT16" s="16">
        <v>328.4</v>
      </c>
      <c r="AU16" s="17">
        <v>329.7</v>
      </c>
      <c r="AV16" s="18">
        <v>333.8</v>
      </c>
      <c r="AW16" s="19">
        <v>334.4</v>
      </c>
      <c r="AX16" s="88">
        <v>335.8</v>
      </c>
      <c r="AY16" s="89">
        <v>336.7</v>
      </c>
      <c r="AZ16" s="87">
        <v>343.3</v>
      </c>
      <c r="BA16" s="90">
        <v>343.8</v>
      </c>
      <c r="BB16" s="16">
        <v>349</v>
      </c>
      <c r="BC16" s="17">
        <v>595.4</v>
      </c>
      <c r="BD16" s="18">
        <v>368.4</v>
      </c>
      <c r="BE16" s="19">
        <v>368.9</v>
      </c>
      <c r="BF16" s="16">
        <v>384.9</v>
      </c>
      <c r="BG16" s="17">
        <v>398.1</v>
      </c>
      <c r="BH16" s="18">
        <v>398.9</v>
      </c>
      <c r="BI16" s="19">
        <v>432.8</v>
      </c>
      <c r="BJ16" s="16">
        <v>478.9</v>
      </c>
      <c r="BK16" s="16"/>
      <c r="BL16" s="16"/>
      <c r="BM16" s="17"/>
      <c r="BN16" s="18">
        <f>623.7</f>
        <v>623.70000000000005</v>
      </c>
      <c r="BO16" s="19">
        <f>636.4</f>
        <v>636.4</v>
      </c>
      <c r="BP16" s="91">
        <v>738.2</v>
      </c>
      <c r="BQ16" s="92">
        <v>818.3</v>
      </c>
      <c r="BR16" s="18">
        <v>841.8</v>
      </c>
      <c r="BS16" s="19">
        <v>848.5</v>
      </c>
      <c r="BT16" s="24">
        <v>908.5</v>
      </c>
      <c r="BU16" s="68">
        <v>1062.8</v>
      </c>
      <c r="BV16" s="68">
        <v>1098.4000000000001</v>
      </c>
      <c r="BW16" s="25">
        <v>1191.9000000000001</v>
      </c>
      <c r="BX16" s="18">
        <v>1416.1</v>
      </c>
      <c r="BY16" s="19">
        <v>1521.3</v>
      </c>
      <c r="BZ16" s="91">
        <v>1897.7</v>
      </c>
      <c r="CA16" s="92">
        <v>2001.7</v>
      </c>
      <c r="CB16" s="18">
        <v>2160.1999999999998</v>
      </c>
      <c r="CC16" s="19">
        <v>2199.1</v>
      </c>
      <c r="CD16" s="91">
        <v>2706.8</v>
      </c>
      <c r="CE16" s="92">
        <v>2864.4</v>
      </c>
      <c r="CF16" s="14">
        <v>3482.9</v>
      </c>
      <c r="CG16" s="15">
        <v>3506.5</v>
      </c>
      <c r="CH16" s="15">
        <v>3537.3</v>
      </c>
      <c r="CI16" s="15">
        <v>4242</v>
      </c>
      <c r="CJ16" s="175">
        <v>4553.3999999999996</v>
      </c>
      <c r="CK16" s="175">
        <v>4628.1000000000004</v>
      </c>
      <c r="CL16" s="175">
        <v>5377.5</v>
      </c>
      <c r="CM16" s="175">
        <v>5514.2</v>
      </c>
      <c r="CN16" s="176">
        <v>5975.1</v>
      </c>
      <c r="CO16" s="177">
        <v>6121.4</v>
      </c>
      <c r="CP16" s="178"/>
      <c r="CQ16" s="179"/>
    </row>
    <row r="17" spans="1:95" x14ac:dyDescent="0.55000000000000004">
      <c r="A17" s="7">
        <v>15</v>
      </c>
      <c r="B17" s="16">
        <v>109.6</v>
      </c>
      <c r="C17" s="17">
        <v>110.3</v>
      </c>
      <c r="D17" s="18">
        <v>112.2</v>
      </c>
      <c r="E17" s="19">
        <v>115.5</v>
      </c>
      <c r="F17" s="16">
        <v>135.80000000000001</v>
      </c>
      <c r="G17" s="17">
        <v>136.5</v>
      </c>
      <c r="H17" s="18">
        <v>138.6</v>
      </c>
      <c r="I17" s="19">
        <v>138.6</v>
      </c>
      <c r="J17" s="16">
        <v>154</v>
      </c>
      <c r="K17" s="17">
        <v>154.19999999999999</v>
      </c>
      <c r="L17" s="18">
        <v>154.69999999999999</v>
      </c>
      <c r="M17" s="19">
        <v>154.80000000000001</v>
      </c>
      <c r="N17" s="16">
        <v>165</v>
      </c>
      <c r="O17" s="17">
        <v>165</v>
      </c>
      <c r="P17" s="18">
        <v>169.9</v>
      </c>
      <c r="Q17" s="19">
        <v>170</v>
      </c>
      <c r="R17" s="16">
        <v>180.8</v>
      </c>
      <c r="S17" s="17">
        <v>197.6</v>
      </c>
      <c r="T17" s="18">
        <v>210.7</v>
      </c>
      <c r="U17" s="19">
        <v>211.8</v>
      </c>
      <c r="V17" s="16">
        <v>226.5</v>
      </c>
      <c r="W17" s="17">
        <v>251.2</v>
      </c>
      <c r="X17" s="18">
        <v>252</v>
      </c>
      <c r="Y17" s="19">
        <v>252.3</v>
      </c>
      <c r="Z17" s="16">
        <v>255.4</v>
      </c>
      <c r="AA17" s="17">
        <v>255.8</v>
      </c>
      <c r="AB17" s="18">
        <v>256.89999999999998</v>
      </c>
      <c r="AC17" s="19">
        <v>257.7</v>
      </c>
      <c r="AD17" s="16">
        <v>261.39999999999998</v>
      </c>
      <c r="AE17" s="17">
        <v>261.89999999999998</v>
      </c>
      <c r="AF17" s="18">
        <v>262.5</v>
      </c>
      <c r="AG17" s="19">
        <v>264.10000000000002</v>
      </c>
      <c r="AH17" s="16">
        <v>268.39999999999998</v>
      </c>
      <c r="AI17" s="17">
        <v>269</v>
      </c>
      <c r="AJ17" s="18">
        <v>270</v>
      </c>
      <c r="AK17" s="19">
        <v>271</v>
      </c>
      <c r="AL17" s="16">
        <v>277.7</v>
      </c>
      <c r="AM17" s="17">
        <v>282.60000000000002</v>
      </c>
      <c r="AN17" s="18">
        <v>286.2</v>
      </c>
      <c r="AO17" s="19">
        <v>288.2</v>
      </c>
      <c r="AP17" s="16">
        <v>298.5</v>
      </c>
      <c r="AQ17" s="17">
        <v>300.2</v>
      </c>
      <c r="AR17" s="18">
        <v>302.10000000000002</v>
      </c>
      <c r="AS17" s="19">
        <v>304.3</v>
      </c>
      <c r="AT17" s="16">
        <v>318.8</v>
      </c>
      <c r="AU17" s="17">
        <v>320.8</v>
      </c>
      <c r="AV17" s="18">
        <v>322</v>
      </c>
      <c r="AW17" s="19">
        <v>323</v>
      </c>
      <c r="AX17" s="88">
        <v>324</v>
      </c>
      <c r="AY17" s="89">
        <v>325</v>
      </c>
      <c r="AZ17" s="87">
        <v>326</v>
      </c>
      <c r="BA17" s="90">
        <v>327</v>
      </c>
      <c r="BB17" s="16">
        <v>328</v>
      </c>
      <c r="BC17" s="17">
        <v>595.4</v>
      </c>
      <c r="BD17" s="18">
        <v>330</v>
      </c>
      <c r="BE17" s="19">
        <v>331</v>
      </c>
      <c r="BF17" s="16">
        <v>333</v>
      </c>
      <c r="BG17" s="17">
        <v>334</v>
      </c>
      <c r="BH17" s="18">
        <v>335</v>
      </c>
      <c r="BI17" s="19">
        <v>336</v>
      </c>
      <c r="BJ17" s="16">
        <v>337</v>
      </c>
      <c r="BK17" s="16"/>
      <c r="BL17" s="16"/>
      <c r="BM17" s="17"/>
      <c r="BN17" s="18">
        <f>339</f>
        <v>339</v>
      </c>
      <c r="BO17" s="19">
        <f>340</f>
        <v>340</v>
      </c>
      <c r="BP17" s="91">
        <v>341</v>
      </c>
      <c r="BQ17" s="92">
        <v>342</v>
      </c>
      <c r="BR17" s="18">
        <v>343</v>
      </c>
      <c r="BS17" s="19">
        <v>344</v>
      </c>
      <c r="BT17" s="24">
        <v>345</v>
      </c>
      <c r="BU17" s="68">
        <v>346</v>
      </c>
      <c r="BV17" s="68">
        <v>347</v>
      </c>
      <c r="BW17" s="25">
        <v>348</v>
      </c>
      <c r="BX17" s="18">
        <v>349</v>
      </c>
      <c r="BY17" s="19">
        <v>350</v>
      </c>
      <c r="BZ17" s="91">
        <v>351</v>
      </c>
      <c r="CA17" s="92">
        <v>352</v>
      </c>
      <c r="CB17" s="18">
        <v>353</v>
      </c>
      <c r="CC17" s="19">
        <v>354</v>
      </c>
      <c r="CD17" s="91">
        <v>355</v>
      </c>
      <c r="CE17" s="92">
        <v>356</v>
      </c>
      <c r="CF17" s="14">
        <v>357</v>
      </c>
      <c r="CG17" s="15">
        <v>358</v>
      </c>
      <c r="CH17" s="15">
        <v>358</v>
      </c>
      <c r="CI17" s="15">
        <v>358</v>
      </c>
      <c r="CJ17" s="175">
        <v>359</v>
      </c>
      <c r="CK17" s="175">
        <v>360</v>
      </c>
      <c r="CL17" s="175">
        <v>361</v>
      </c>
      <c r="CM17" s="175">
        <v>362</v>
      </c>
      <c r="CN17" s="176">
        <v>363</v>
      </c>
      <c r="CO17" s="177">
        <v>364</v>
      </c>
      <c r="CP17" s="178"/>
      <c r="CQ17" s="179"/>
    </row>
    <row r="18" spans="1:95" x14ac:dyDescent="0.55000000000000004">
      <c r="A18" s="7">
        <v>16</v>
      </c>
      <c r="B18" s="16">
        <v>103</v>
      </c>
      <c r="C18" s="17">
        <v>101.7</v>
      </c>
      <c r="D18" s="18">
        <v>102.4</v>
      </c>
      <c r="E18" s="19">
        <v>114.3</v>
      </c>
      <c r="F18" s="16">
        <v>133.6</v>
      </c>
      <c r="G18" s="17">
        <v>142.1</v>
      </c>
      <c r="H18" s="18">
        <v>152.19999999999999</v>
      </c>
      <c r="I18" s="19">
        <v>149.6</v>
      </c>
      <c r="J18" s="16">
        <v>147.30000000000001</v>
      </c>
      <c r="K18" s="17">
        <v>142.1</v>
      </c>
      <c r="L18" s="18">
        <v>142</v>
      </c>
      <c r="M18" s="19">
        <v>136.5</v>
      </c>
      <c r="N18" s="16">
        <v>146.9</v>
      </c>
      <c r="O18" s="17">
        <v>160.80000000000001</v>
      </c>
      <c r="P18" s="18">
        <v>177.6</v>
      </c>
      <c r="Q18" s="19">
        <v>184.3</v>
      </c>
      <c r="R18" s="16">
        <v>205.1</v>
      </c>
      <c r="S18" s="17">
        <v>206.6</v>
      </c>
      <c r="T18" s="18">
        <v>223.1</v>
      </c>
      <c r="U18" s="19">
        <v>231.6</v>
      </c>
      <c r="V18" s="16">
        <v>271.89999999999998</v>
      </c>
      <c r="W18" s="17">
        <v>288.3</v>
      </c>
      <c r="X18" s="18">
        <v>232.3</v>
      </c>
      <c r="Y18" s="19">
        <v>203.9</v>
      </c>
      <c r="Z18" s="16">
        <v>193.9</v>
      </c>
      <c r="AA18" s="17">
        <v>205.9</v>
      </c>
      <c r="AB18" s="18">
        <v>204.2</v>
      </c>
      <c r="AC18" s="19">
        <v>213.3</v>
      </c>
      <c r="AD18" s="16">
        <v>227.9</v>
      </c>
      <c r="AE18" s="17">
        <v>234.4</v>
      </c>
      <c r="AF18" s="18">
        <v>247.7</v>
      </c>
      <c r="AG18" s="19">
        <v>252.3</v>
      </c>
      <c r="AH18" s="16">
        <v>272.5</v>
      </c>
      <c r="AI18" s="17">
        <v>289.2</v>
      </c>
      <c r="AJ18" s="18">
        <v>296.2</v>
      </c>
      <c r="AK18" s="19">
        <v>318.3</v>
      </c>
      <c r="AL18" s="16">
        <v>345.1</v>
      </c>
      <c r="AM18" s="17">
        <v>407.8</v>
      </c>
      <c r="AN18" s="18">
        <v>486.6</v>
      </c>
      <c r="AO18" s="19">
        <v>507.7</v>
      </c>
      <c r="AP18" s="16">
        <v>533.29999999999995</v>
      </c>
      <c r="AQ18" s="17">
        <v>521.29999999999995</v>
      </c>
      <c r="AR18" s="18">
        <v>510.7</v>
      </c>
      <c r="AS18" s="19">
        <v>503.7</v>
      </c>
      <c r="AT18" s="16">
        <v>549.79999999999995</v>
      </c>
      <c r="AU18" s="17">
        <v>541</v>
      </c>
      <c r="AV18" s="18">
        <v>547.6</v>
      </c>
      <c r="AW18" s="19">
        <v>523.79999999999995</v>
      </c>
      <c r="AX18" s="88">
        <v>504.7</v>
      </c>
      <c r="AY18" s="89">
        <v>490.9</v>
      </c>
      <c r="AZ18" s="87">
        <v>478.8</v>
      </c>
      <c r="BA18" s="90">
        <v>456.9</v>
      </c>
      <c r="BB18" s="16">
        <v>520.70000000000005</v>
      </c>
      <c r="BC18" s="17">
        <v>595.4</v>
      </c>
      <c r="BD18" s="18">
        <v>551.4</v>
      </c>
      <c r="BE18" s="19">
        <v>560.70000000000005</v>
      </c>
      <c r="BF18" s="16">
        <v>638.4</v>
      </c>
      <c r="BG18" s="17">
        <v>671.9</v>
      </c>
      <c r="BH18" s="18">
        <v>699.2</v>
      </c>
      <c r="BI18" s="19">
        <v>808.3</v>
      </c>
      <c r="BJ18" s="16">
        <v>929.1</v>
      </c>
      <c r="BK18" s="16"/>
      <c r="BL18" s="16"/>
      <c r="BM18" s="17"/>
      <c r="BN18" s="18">
        <f>1233.5</f>
        <v>1233.5</v>
      </c>
      <c r="BO18" s="19">
        <f>1214.4</f>
        <v>1214.4000000000001</v>
      </c>
      <c r="BP18" s="88">
        <v>1405.4</v>
      </c>
      <c r="BQ18" s="92">
        <v>1337.3</v>
      </c>
      <c r="BR18" s="18">
        <v>1355.5</v>
      </c>
      <c r="BS18" s="19">
        <v>1628.5</v>
      </c>
      <c r="BT18" s="24">
        <v>1913.7</v>
      </c>
      <c r="BU18" s="68">
        <v>2617.3000000000002</v>
      </c>
      <c r="BV18" s="68">
        <v>2820.1</v>
      </c>
      <c r="BW18" s="25">
        <v>2932.9</v>
      </c>
      <c r="BX18" s="18">
        <v>3192.8</v>
      </c>
      <c r="BY18" s="19">
        <v>3450.5</v>
      </c>
      <c r="BZ18" s="88">
        <v>3937.1</v>
      </c>
      <c r="CA18" s="92">
        <v>4343.6000000000004</v>
      </c>
      <c r="CB18" s="18">
        <v>4358.3</v>
      </c>
      <c r="CC18" s="19">
        <v>4262.7</v>
      </c>
      <c r="CD18" s="88">
        <v>4774.8999999999996</v>
      </c>
      <c r="CE18" s="92">
        <v>4517.1000000000004</v>
      </c>
      <c r="CF18" s="14">
        <v>4710.8999999999996</v>
      </c>
      <c r="CG18" s="15">
        <v>5394.9</v>
      </c>
      <c r="CH18" s="15">
        <v>6056.1</v>
      </c>
      <c r="CI18" s="15">
        <v>6783.9</v>
      </c>
      <c r="CJ18" s="175">
        <v>6849.6</v>
      </c>
      <c r="CK18" s="175">
        <v>6567.8</v>
      </c>
      <c r="CL18" s="175">
        <v>6612.8</v>
      </c>
      <c r="CM18" s="175">
        <v>6989.6</v>
      </c>
      <c r="CN18" s="176">
        <v>7656.8</v>
      </c>
      <c r="CO18" s="177">
        <v>7848.6</v>
      </c>
      <c r="CP18" s="178"/>
      <c r="CQ18" s="179"/>
    </row>
    <row r="19" spans="1:95" x14ac:dyDescent="0.55000000000000004">
      <c r="A19" s="7">
        <v>17</v>
      </c>
      <c r="B19" s="16">
        <v>103.1</v>
      </c>
      <c r="C19" s="17">
        <v>103.6</v>
      </c>
      <c r="D19" s="18">
        <v>106.5</v>
      </c>
      <c r="E19" s="19">
        <v>107.1</v>
      </c>
      <c r="F19" s="16">
        <v>113.4</v>
      </c>
      <c r="G19" s="17">
        <v>115.8</v>
      </c>
      <c r="H19" s="18">
        <v>133.9</v>
      </c>
      <c r="I19" s="19">
        <v>134.6</v>
      </c>
      <c r="J19" s="16">
        <v>143.6</v>
      </c>
      <c r="K19" s="17">
        <v>143.69999999999999</v>
      </c>
      <c r="L19" s="18">
        <v>146.30000000000001</v>
      </c>
      <c r="M19" s="19">
        <v>146.4</v>
      </c>
      <c r="N19" s="16">
        <v>191.1</v>
      </c>
      <c r="O19" s="17">
        <v>191.1</v>
      </c>
      <c r="P19" s="18">
        <v>194.7</v>
      </c>
      <c r="Q19" s="19">
        <v>194.7</v>
      </c>
      <c r="R19" s="16">
        <v>200.7</v>
      </c>
      <c r="S19" s="17">
        <v>200.8</v>
      </c>
      <c r="T19" s="18">
        <v>201.6</v>
      </c>
      <c r="U19" s="19">
        <v>202.4</v>
      </c>
      <c r="V19" s="16">
        <v>216</v>
      </c>
      <c r="W19" s="17">
        <v>216.8</v>
      </c>
      <c r="X19" s="18">
        <v>185.9</v>
      </c>
      <c r="Y19" s="19">
        <v>185.1</v>
      </c>
      <c r="Z19" s="16">
        <v>198.2</v>
      </c>
      <c r="AA19" s="17">
        <v>198.6</v>
      </c>
      <c r="AB19" s="18">
        <v>209.4</v>
      </c>
      <c r="AC19" s="19">
        <v>210.3</v>
      </c>
      <c r="AD19" s="16">
        <v>212.8</v>
      </c>
      <c r="AE19" s="17">
        <v>213.5</v>
      </c>
      <c r="AF19" s="18">
        <v>214.4</v>
      </c>
      <c r="AG19" s="19">
        <v>214.8</v>
      </c>
      <c r="AH19" s="16">
        <v>227.8</v>
      </c>
      <c r="AI19" s="17">
        <v>227.4</v>
      </c>
      <c r="AJ19" s="18">
        <v>234.9</v>
      </c>
      <c r="AK19" s="19">
        <v>235.3</v>
      </c>
      <c r="AL19" s="16">
        <v>241.3</v>
      </c>
      <c r="AM19" s="17">
        <v>276.3</v>
      </c>
      <c r="AN19" s="18">
        <v>332.2</v>
      </c>
      <c r="AO19" s="19">
        <v>349.6</v>
      </c>
      <c r="AP19" s="16">
        <v>354.8</v>
      </c>
      <c r="AQ19" s="17">
        <v>355.1</v>
      </c>
      <c r="AR19" s="18">
        <v>341.9</v>
      </c>
      <c r="AS19" s="19">
        <v>342.5</v>
      </c>
      <c r="AT19" s="16">
        <v>353.4</v>
      </c>
      <c r="AU19" s="17">
        <v>361.3</v>
      </c>
      <c r="AV19" s="18">
        <v>375.8</v>
      </c>
      <c r="AW19" s="19">
        <v>376.2</v>
      </c>
      <c r="AX19" s="88">
        <v>368.6</v>
      </c>
      <c r="AY19" s="89">
        <v>360.9</v>
      </c>
      <c r="AZ19" s="87">
        <v>339.7</v>
      </c>
      <c r="BA19" s="90">
        <v>339.9</v>
      </c>
      <c r="BB19" s="16">
        <v>349.7</v>
      </c>
      <c r="BC19" s="17">
        <v>595.4</v>
      </c>
      <c r="BD19" s="18">
        <v>367.9</v>
      </c>
      <c r="BE19" s="19">
        <v>368.3</v>
      </c>
      <c r="BF19" s="16">
        <v>393.9</v>
      </c>
      <c r="BG19" s="17">
        <v>399.1</v>
      </c>
      <c r="BH19" s="18">
        <v>410.2</v>
      </c>
      <c r="BI19" s="19">
        <v>455.9</v>
      </c>
      <c r="BJ19" s="16">
        <v>528.6</v>
      </c>
      <c r="BK19" s="16"/>
      <c r="BL19" s="16"/>
      <c r="BM19" s="17"/>
      <c r="BN19" s="18">
        <f>774.2</f>
        <v>774.2</v>
      </c>
      <c r="BO19" s="19">
        <f>775.3</f>
        <v>775.3</v>
      </c>
      <c r="BP19" s="91">
        <v>864.9</v>
      </c>
      <c r="BQ19" s="92">
        <v>866.8</v>
      </c>
      <c r="BR19" s="18">
        <v>873.2</v>
      </c>
      <c r="BS19" s="19">
        <v>884.8</v>
      </c>
      <c r="BT19" s="24">
        <v>1055.5</v>
      </c>
      <c r="BU19" s="68">
        <v>1277</v>
      </c>
      <c r="BV19" s="68">
        <v>1366.2</v>
      </c>
      <c r="BW19" s="25">
        <v>1521.1</v>
      </c>
      <c r="BX19" s="18">
        <v>1662.2</v>
      </c>
      <c r="BY19" s="19">
        <v>1724.6</v>
      </c>
      <c r="BZ19" s="91">
        <v>1987.7</v>
      </c>
      <c r="CA19" s="92">
        <v>2238.1</v>
      </c>
      <c r="CB19" s="18">
        <v>2375.5</v>
      </c>
      <c r="CC19" s="19">
        <v>2398.6999999999998</v>
      </c>
      <c r="CD19" s="91">
        <v>2888.3</v>
      </c>
      <c r="CE19" s="92">
        <v>2973.5</v>
      </c>
      <c r="CF19" s="14">
        <v>3006</v>
      </c>
      <c r="CG19" s="15">
        <v>3239.5</v>
      </c>
      <c r="CH19" s="15">
        <v>3431.3</v>
      </c>
      <c r="CI19" s="15">
        <v>3817.7</v>
      </c>
      <c r="CJ19" s="175">
        <v>3948.3</v>
      </c>
      <c r="CK19" s="175">
        <v>3942.3</v>
      </c>
      <c r="CL19" s="175">
        <v>4312.5</v>
      </c>
      <c r="CM19" s="175">
        <v>4322.7</v>
      </c>
      <c r="CN19" s="176">
        <v>4942</v>
      </c>
      <c r="CO19" s="177">
        <v>5148.3999999999996</v>
      </c>
      <c r="CP19" s="178"/>
      <c r="CQ19" s="179"/>
    </row>
    <row r="20" spans="1:95" x14ac:dyDescent="0.55000000000000004">
      <c r="A20" s="7">
        <v>18</v>
      </c>
      <c r="B20" s="16">
        <v>109.3</v>
      </c>
      <c r="C20" s="17">
        <v>111.9</v>
      </c>
      <c r="D20" s="18">
        <v>114.4</v>
      </c>
      <c r="E20" s="19">
        <v>118.7</v>
      </c>
      <c r="F20" s="16">
        <v>131.6</v>
      </c>
      <c r="G20" s="17">
        <v>133.6</v>
      </c>
      <c r="H20" s="18">
        <v>136.30000000000001</v>
      </c>
      <c r="I20" s="19">
        <v>136.30000000000001</v>
      </c>
      <c r="J20" s="16">
        <v>143.30000000000001</v>
      </c>
      <c r="K20" s="17">
        <v>145.30000000000001</v>
      </c>
      <c r="L20" s="18">
        <v>147.4</v>
      </c>
      <c r="M20" s="19">
        <v>147.69999999999999</v>
      </c>
      <c r="N20" s="16">
        <v>155.80000000000001</v>
      </c>
      <c r="O20" s="17">
        <v>157.1</v>
      </c>
      <c r="P20" s="18">
        <v>160.9</v>
      </c>
      <c r="Q20" s="19">
        <v>161.1</v>
      </c>
      <c r="R20" s="16">
        <v>179.6</v>
      </c>
      <c r="S20" s="17">
        <v>180.8</v>
      </c>
      <c r="T20" s="18">
        <v>185.4</v>
      </c>
      <c r="U20" s="19">
        <v>189.3</v>
      </c>
      <c r="V20" s="16">
        <v>211.6</v>
      </c>
      <c r="W20" s="17">
        <v>219.9</v>
      </c>
      <c r="X20" s="18">
        <v>220.7</v>
      </c>
      <c r="Y20" s="19">
        <v>218.4</v>
      </c>
      <c r="Z20" s="16">
        <v>227.5</v>
      </c>
      <c r="AA20" s="17">
        <v>229.3</v>
      </c>
      <c r="AB20" s="18">
        <v>233.9</v>
      </c>
      <c r="AC20" s="19">
        <v>237.9</v>
      </c>
      <c r="AD20" s="16">
        <v>252.8</v>
      </c>
      <c r="AE20" s="17">
        <v>254.4</v>
      </c>
      <c r="AF20" s="18">
        <v>257.3</v>
      </c>
      <c r="AG20" s="19">
        <v>268.39999999999998</v>
      </c>
      <c r="AH20" s="16">
        <v>285.7</v>
      </c>
      <c r="AI20" s="17">
        <v>292.2</v>
      </c>
      <c r="AJ20" s="18">
        <v>297.3</v>
      </c>
      <c r="AK20" s="19">
        <v>304.10000000000002</v>
      </c>
      <c r="AL20" s="16">
        <v>332.7</v>
      </c>
      <c r="AM20" s="17">
        <v>348.2</v>
      </c>
      <c r="AN20" s="18">
        <v>373.1</v>
      </c>
      <c r="AO20" s="19">
        <v>381.5</v>
      </c>
      <c r="AP20" s="16">
        <v>428.7</v>
      </c>
      <c r="AQ20" s="17">
        <v>438</v>
      </c>
      <c r="AR20" s="18">
        <v>447.6</v>
      </c>
      <c r="AS20" s="19">
        <v>456.9</v>
      </c>
      <c r="AT20" s="16">
        <v>520.1</v>
      </c>
      <c r="AU20" s="17">
        <v>538.4</v>
      </c>
      <c r="AV20" s="18">
        <v>545.5</v>
      </c>
      <c r="AW20" s="19">
        <v>552.29999999999995</v>
      </c>
      <c r="AX20" s="88">
        <v>598.79999999999995</v>
      </c>
      <c r="AY20" s="89">
        <v>603.29999999999995</v>
      </c>
      <c r="AZ20" s="87">
        <v>606.70000000000005</v>
      </c>
      <c r="BA20" s="90">
        <v>610.70000000000005</v>
      </c>
      <c r="BB20" s="16">
        <v>654</v>
      </c>
      <c r="BC20" s="17">
        <v>595.4</v>
      </c>
      <c r="BD20" s="18">
        <v>670.1</v>
      </c>
      <c r="BE20" s="19">
        <v>676.1</v>
      </c>
      <c r="BF20" s="16">
        <v>740.8</v>
      </c>
      <c r="BG20" s="17">
        <v>747.9</v>
      </c>
      <c r="BH20" s="18">
        <v>753.8</v>
      </c>
      <c r="BI20" s="19">
        <v>863.8</v>
      </c>
      <c r="BJ20" s="16">
        <v>896</v>
      </c>
      <c r="BK20" s="16"/>
      <c r="BL20" s="16"/>
      <c r="BM20" s="17"/>
      <c r="BN20" s="18">
        <f>941.1</f>
        <v>941.1</v>
      </c>
      <c r="BO20" s="19">
        <f>959.1</f>
        <v>959.1</v>
      </c>
      <c r="BP20" s="91">
        <v>1152.9000000000001</v>
      </c>
      <c r="BQ20" s="92">
        <v>1225.2</v>
      </c>
      <c r="BR20" s="18">
        <v>1249.8</v>
      </c>
      <c r="BS20" s="19">
        <v>1274.9000000000001</v>
      </c>
      <c r="BT20" s="24">
        <v>1530.2</v>
      </c>
      <c r="BU20" s="68">
        <v>1676.6</v>
      </c>
      <c r="BV20" s="68">
        <v>1688.6</v>
      </c>
      <c r="BW20" s="25">
        <v>1722.4</v>
      </c>
      <c r="BX20" s="18">
        <v>1902.7</v>
      </c>
      <c r="BY20" s="19">
        <v>1987.4</v>
      </c>
      <c r="BZ20" s="91">
        <v>2593.5</v>
      </c>
      <c r="CA20" s="92">
        <v>2796</v>
      </c>
      <c r="CB20" s="18">
        <v>2797.8</v>
      </c>
      <c r="CC20" s="19">
        <v>2830.1</v>
      </c>
      <c r="CD20" s="91">
        <v>3635.7</v>
      </c>
      <c r="CE20" s="92">
        <v>3754.1</v>
      </c>
      <c r="CF20" s="14">
        <v>3856.7</v>
      </c>
      <c r="CG20" s="15">
        <v>4054.6</v>
      </c>
      <c r="CH20" s="15">
        <v>4060</v>
      </c>
      <c r="CI20" s="15">
        <v>4147.6000000000004</v>
      </c>
      <c r="CJ20" s="175">
        <v>5033.7</v>
      </c>
      <c r="CK20" s="175">
        <v>5260.4</v>
      </c>
      <c r="CL20" s="175">
        <v>5451.7</v>
      </c>
      <c r="CM20" s="175">
        <v>5571.6</v>
      </c>
      <c r="CN20" s="176">
        <v>6845.1</v>
      </c>
      <c r="CO20" s="177">
        <v>7271</v>
      </c>
      <c r="CP20" s="178"/>
      <c r="CQ20" s="179"/>
    </row>
    <row r="21" spans="1:95" x14ac:dyDescent="0.55000000000000004">
      <c r="A21" s="7">
        <v>19</v>
      </c>
      <c r="B21" s="16">
        <v>109</v>
      </c>
      <c r="C21" s="17">
        <v>110.2</v>
      </c>
      <c r="D21" s="18">
        <v>110.9</v>
      </c>
      <c r="E21" s="19">
        <v>111.5</v>
      </c>
      <c r="F21" s="16">
        <v>126.3</v>
      </c>
      <c r="G21" s="17">
        <v>127.4</v>
      </c>
      <c r="H21" s="18">
        <v>130.5</v>
      </c>
      <c r="I21" s="19">
        <v>130.5</v>
      </c>
      <c r="J21" s="16">
        <v>139.69999999999999</v>
      </c>
      <c r="K21" s="17">
        <v>140.1</v>
      </c>
      <c r="L21" s="18">
        <v>136.4</v>
      </c>
      <c r="M21" s="19">
        <v>136.6</v>
      </c>
      <c r="N21" s="16">
        <v>149.6</v>
      </c>
      <c r="O21" s="17">
        <v>149.6</v>
      </c>
      <c r="P21" s="18">
        <v>152.5</v>
      </c>
      <c r="Q21" s="19">
        <v>152.6</v>
      </c>
      <c r="R21" s="16">
        <v>165.3</v>
      </c>
      <c r="S21" s="17">
        <v>166.3</v>
      </c>
      <c r="T21" s="18">
        <v>171.5</v>
      </c>
      <c r="U21" s="19">
        <v>177.4</v>
      </c>
      <c r="V21" s="16">
        <v>185.5</v>
      </c>
      <c r="W21" s="17">
        <v>186.3</v>
      </c>
      <c r="X21" s="18">
        <v>194.4</v>
      </c>
      <c r="Y21" s="19">
        <v>195.2</v>
      </c>
      <c r="Z21" s="16">
        <v>200.4</v>
      </c>
      <c r="AA21" s="17">
        <v>201.1</v>
      </c>
      <c r="AB21" s="18">
        <v>203</v>
      </c>
      <c r="AC21" s="19">
        <v>204.3</v>
      </c>
      <c r="AD21" s="16">
        <v>227.3</v>
      </c>
      <c r="AE21" s="17">
        <v>227.8</v>
      </c>
      <c r="AF21" s="18">
        <v>228.5</v>
      </c>
      <c r="AG21" s="19">
        <v>230.7</v>
      </c>
      <c r="AH21" s="16">
        <v>236</v>
      </c>
      <c r="AI21" s="17">
        <v>236.8</v>
      </c>
      <c r="AJ21" s="18">
        <v>250.1</v>
      </c>
      <c r="AK21" s="19">
        <v>279.3</v>
      </c>
      <c r="AL21" s="16">
        <v>293</v>
      </c>
      <c r="AM21" s="17">
        <v>316.10000000000002</v>
      </c>
      <c r="AN21" s="18">
        <v>363.6</v>
      </c>
      <c r="AO21" s="19">
        <v>378.4</v>
      </c>
      <c r="AP21" s="16">
        <v>401.3</v>
      </c>
      <c r="AQ21" s="17">
        <v>403</v>
      </c>
      <c r="AR21" s="18">
        <v>397.2</v>
      </c>
      <c r="AS21" s="19">
        <v>399.5</v>
      </c>
      <c r="AT21" s="16">
        <v>425.9</v>
      </c>
      <c r="AU21" s="17">
        <v>428</v>
      </c>
      <c r="AV21" s="18">
        <v>433.2</v>
      </c>
      <c r="AW21" s="19">
        <v>435</v>
      </c>
      <c r="AX21" s="88">
        <v>447</v>
      </c>
      <c r="AY21" s="89">
        <v>448.2</v>
      </c>
      <c r="AZ21" s="87">
        <v>463.7</v>
      </c>
      <c r="BA21" s="90">
        <v>464.8</v>
      </c>
      <c r="BB21" s="16">
        <v>481.9</v>
      </c>
      <c r="BC21" s="17">
        <v>595.4</v>
      </c>
      <c r="BD21" s="18">
        <v>499.7</v>
      </c>
      <c r="BE21" s="19">
        <v>511</v>
      </c>
      <c r="BF21" s="16">
        <v>543.70000000000005</v>
      </c>
      <c r="BG21" s="17">
        <v>552.5</v>
      </c>
      <c r="BH21" s="18">
        <v>555.29999999999995</v>
      </c>
      <c r="BI21" s="19">
        <v>638.6</v>
      </c>
      <c r="BJ21" s="16">
        <v>802.9</v>
      </c>
      <c r="BK21" s="16"/>
      <c r="BL21" s="16"/>
      <c r="BM21" s="17"/>
      <c r="BN21" s="18">
        <f>932.2</f>
        <v>932.2</v>
      </c>
      <c r="BO21" s="19">
        <f>935.9</f>
        <v>935.9</v>
      </c>
      <c r="BP21" s="88">
        <v>983.4</v>
      </c>
      <c r="BQ21" s="92">
        <v>994.2</v>
      </c>
      <c r="BR21" s="18">
        <v>999.2</v>
      </c>
      <c r="BS21" s="19">
        <v>1051.0999999999999</v>
      </c>
      <c r="BT21" s="24">
        <v>1274.5999999999999</v>
      </c>
      <c r="BU21" s="68">
        <v>1487.1</v>
      </c>
      <c r="BV21" s="68">
        <v>1488.7</v>
      </c>
      <c r="BW21" s="25">
        <v>1569.7</v>
      </c>
      <c r="BX21" s="18">
        <v>1794.3</v>
      </c>
      <c r="BY21" s="19">
        <v>1834.6</v>
      </c>
      <c r="BZ21" s="88">
        <v>2305.1</v>
      </c>
      <c r="CA21" s="92">
        <v>2490.6999999999998</v>
      </c>
      <c r="CB21" s="18">
        <v>2471</v>
      </c>
      <c r="CC21" s="19">
        <v>2491.5</v>
      </c>
      <c r="CD21" s="88">
        <v>2930.9</v>
      </c>
      <c r="CE21" s="92">
        <v>3018.2</v>
      </c>
      <c r="CF21" s="14">
        <v>3233.3</v>
      </c>
      <c r="CG21" s="15">
        <v>3472.5</v>
      </c>
      <c r="CH21" s="15">
        <v>3473</v>
      </c>
      <c r="CI21" s="15">
        <v>3727.2</v>
      </c>
      <c r="CJ21" s="175">
        <v>3982.9</v>
      </c>
      <c r="CK21" s="175">
        <v>4055.9</v>
      </c>
      <c r="CL21" s="175">
        <v>4079.7</v>
      </c>
      <c r="CM21" s="175">
        <v>4110.1000000000004</v>
      </c>
      <c r="CN21" s="176">
        <v>4607.8</v>
      </c>
      <c r="CO21" s="177">
        <v>4755.1000000000004</v>
      </c>
      <c r="CP21" s="178"/>
      <c r="CQ21" s="179"/>
    </row>
    <row r="22" spans="1:95" x14ac:dyDescent="0.55000000000000004">
      <c r="A22" s="7">
        <v>20</v>
      </c>
      <c r="B22" s="16">
        <v>105.5</v>
      </c>
      <c r="C22" s="17">
        <v>106.6</v>
      </c>
      <c r="D22" s="18">
        <v>108.4</v>
      </c>
      <c r="E22" s="19">
        <v>109.7</v>
      </c>
      <c r="F22" s="16">
        <v>117.4</v>
      </c>
      <c r="G22" s="17">
        <v>118.4</v>
      </c>
      <c r="H22" s="18">
        <v>121.6</v>
      </c>
      <c r="I22" s="19">
        <v>121.6</v>
      </c>
      <c r="J22" s="16">
        <v>125.3</v>
      </c>
      <c r="K22" s="17">
        <v>126</v>
      </c>
      <c r="L22" s="18">
        <v>126.7</v>
      </c>
      <c r="M22" s="19">
        <v>126.9</v>
      </c>
      <c r="N22" s="16">
        <v>129.5</v>
      </c>
      <c r="O22" s="17">
        <v>131.1</v>
      </c>
      <c r="P22" s="18">
        <v>135.30000000000001</v>
      </c>
      <c r="Q22" s="19">
        <v>135.4</v>
      </c>
      <c r="R22" s="16">
        <v>149.1</v>
      </c>
      <c r="S22" s="17">
        <v>150.5</v>
      </c>
      <c r="T22" s="18">
        <v>152.6</v>
      </c>
      <c r="U22" s="19">
        <v>153.6</v>
      </c>
      <c r="V22" s="16">
        <v>160.1</v>
      </c>
      <c r="W22" s="17">
        <v>162.5</v>
      </c>
      <c r="X22" s="18">
        <v>163.80000000000001</v>
      </c>
      <c r="Y22" s="19">
        <v>164.6</v>
      </c>
      <c r="Z22" s="16">
        <v>169.3</v>
      </c>
      <c r="AA22" s="17">
        <v>169.9</v>
      </c>
      <c r="AB22" s="18">
        <v>171.7</v>
      </c>
      <c r="AC22" s="19">
        <v>172.8</v>
      </c>
      <c r="AD22" s="16">
        <v>186.3</v>
      </c>
      <c r="AE22" s="17">
        <v>191.4</v>
      </c>
      <c r="AF22" s="18">
        <v>192.3</v>
      </c>
      <c r="AG22" s="19">
        <v>195</v>
      </c>
      <c r="AH22" s="16">
        <v>200</v>
      </c>
      <c r="AI22" s="17">
        <v>201.7</v>
      </c>
      <c r="AJ22" s="18">
        <v>202.9</v>
      </c>
      <c r="AK22" s="19">
        <v>210.6</v>
      </c>
      <c r="AL22" s="16">
        <v>225.2</v>
      </c>
      <c r="AM22" s="17">
        <v>241.2</v>
      </c>
      <c r="AN22" s="18">
        <v>279.2</v>
      </c>
      <c r="AO22" s="19">
        <v>287.3</v>
      </c>
      <c r="AP22" s="16">
        <v>330.3</v>
      </c>
      <c r="AQ22" s="17">
        <v>332.9</v>
      </c>
      <c r="AR22" s="18">
        <v>337</v>
      </c>
      <c r="AS22" s="19">
        <v>339.7</v>
      </c>
      <c r="AT22" s="16">
        <v>380.6</v>
      </c>
      <c r="AU22" s="17">
        <v>389.6</v>
      </c>
      <c r="AV22" s="18">
        <v>393.1</v>
      </c>
      <c r="AW22" s="19">
        <v>395</v>
      </c>
      <c r="AX22" s="88">
        <v>408.7</v>
      </c>
      <c r="AY22" s="89">
        <v>410.1</v>
      </c>
      <c r="AZ22" s="87">
        <v>411.1</v>
      </c>
      <c r="BA22" s="90">
        <v>412.3</v>
      </c>
      <c r="BB22" s="16">
        <v>425.1</v>
      </c>
      <c r="BC22" s="17">
        <v>595.4</v>
      </c>
      <c r="BD22" s="18">
        <v>429.7</v>
      </c>
      <c r="BE22" s="19">
        <v>431.4</v>
      </c>
      <c r="BF22" s="16">
        <v>460.1</v>
      </c>
      <c r="BG22" s="17">
        <v>461.8</v>
      </c>
      <c r="BH22" s="18">
        <v>463.4</v>
      </c>
      <c r="BI22" s="19">
        <v>523.1</v>
      </c>
      <c r="BJ22" s="16">
        <v>571.79999999999995</v>
      </c>
      <c r="BK22" s="16"/>
      <c r="BL22" s="16"/>
      <c r="BM22" s="17"/>
      <c r="BN22" s="18">
        <f>599</f>
        <v>599</v>
      </c>
      <c r="BO22" s="19">
        <f>603.6</f>
        <v>603.6</v>
      </c>
      <c r="BP22" s="91">
        <v>689.2</v>
      </c>
      <c r="BQ22" s="92">
        <v>724.2</v>
      </c>
      <c r="BR22" s="18">
        <v>749.7</v>
      </c>
      <c r="BS22" s="19">
        <v>771.7</v>
      </c>
      <c r="BT22" s="24">
        <v>907.7</v>
      </c>
      <c r="BU22" s="68">
        <v>962.7</v>
      </c>
      <c r="BV22" s="68">
        <v>965.4</v>
      </c>
      <c r="BW22" s="25">
        <v>991.9</v>
      </c>
      <c r="BX22" s="18">
        <v>1291.5</v>
      </c>
      <c r="BY22" s="19">
        <v>1314.3</v>
      </c>
      <c r="BZ22" s="91">
        <v>1701.2</v>
      </c>
      <c r="CA22" s="92">
        <v>1881.8</v>
      </c>
      <c r="CB22" s="18">
        <v>1905.9</v>
      </c>
      <c r="CC22" s="19">
        <v>1959.8</v>
      </c>
      <c r="CD22" s="91">
        <v>2362.3000000000002</v>
      </c>
      <c r="CE22" s="92">
        <v>2497.1</v>
      </c>
      <c r="CF22" s="14">
        <v>2571.8000000000002</v>
      </c>
      <c r="CG22" s="15">
        <v>2768.4</v>
      </c>
      <c r="CH22" s="15">
        <v>2770.6</v>
      </c>
      <c r="CI22" s="15">
        <v>2908</v>
      </c>
      <c r="CJ22" s="175">
        <v>3486.8</v>
      </c>
      <c r="CK22" s="175">
        <v>3671.7</v>
      </c>
      <c r="CL22" s="175">
        <v>4032.9</v>
      </c>
      <c r="CM22" s="175">
        <v>4146.8999999999996</v>
      </c>
      <c r="CN22" s="176">
        <v>4810.5</v>
      </c>
      <c r="CO22" s="177">
        <v>5010.3</v>
      </c>
      <c r="CP22" s="178"/>
      <c r="CQ22" s="179"/>
    </row>
    <row r="23" spans="1:95" x14ac:dyDescent="0.55000000000000004">
      <c r="A23" s="7">
        <v>21</v>
      </c>
      <c r="B23" s="16">
        <v>115.9</v>
      </c>
      <c r="C23" s="17">
        <v>117.2</v>
      </c>
      <c r="D23" s="18">
        <v>118.7</v>
      </c>
      <c r="E23" s="19">
        <v>120.7</v>
      </c>
      <c r="F23" s="16">
        <v>142.6</v>
      </c>
      <c r="G23" s="17">
        <v>143.80000000000001</v>
      </c>
      <c r="H23" s="18">
        <v>146.80000000000001</v>
      </c>
      <c r="I23" s="19">
        <v>146.80000000000001</v>
      </c>
      <c r="J23" s="16">
        <v>149.30000000000001</v>
      </c>
      <c r="K23" s="17">
        <v>150.30000000000001</v>
      </c>
      <c r="L23" s="18">
        <v>151.4</v>
      </c>
      <c r="M23" s="19">
        <v>151.69999999999999</v>
      </c>
      <c r="N23" s="16">
        <v>165.8</v>
      </c>
      <c r="O23" s="17">
        <v>165.8</v>
      </c>
      <c r="P23" s="18">
        <v>168.9</v>
      </c>
      <c r="Q23" s="19">
        <v>168.9</v>
      </c>
      <c r="R23" s="16">
        <v>204.9</v>
      </c>
      <c r="S23" s="17">
        <v>205.8</v>
      </c>
      <c r="T23" s="18">
        <v>209.2</v>
      </c>
      <c r="U23" s="19">
        <v>233.4</v>
      </c>
      <c r="V23" s="16">
        <v>240.3</v>
      </c>
      <c r="W23" s="17">
        <v>224.9</v>
      </c>
      <c r="X23" s="18">
        <v>225.7</v>
      </c>
      <c r="Y23" s="19">
        <v>226.5</v>
      </c>
      <c r="Z23" s="16">
        <v>225.7</v>
      </c>
      <c r="AA23" s="17">
        <v>226.4</v>
      </c>
      <c r="AB23" s="18">
        <v>233.5</v>
      </c>
      <c r="AC23" s="19">
        <v>234.6</v>
      </c>
      <c r="AD23" s="16"/>
      <c r="AE23" s="17"/>
      <c r="AF23" s="18"/>
      <c r="AG23" s="19"/>
      <c r="AH23" s="16"/>
      <c r="AI23" s="17"/>
      <c r="AJ23" s="18"/>
      <c r="AK23" s="19"/>
      <c r="AL23" s="16"/>
      <c r="AM23" s="17"/>
      <c r="AN23" s="18"/>
      <c r="AO23" s="19">
        <v>397.8</v>
      </c>
      <c r="AP23" s="16">
        <v>466.3</v>
      </c>
      <c r="AQ23" s="17">
        <v>470.3</v>
      </c>
      <c r="AR23" s="18">
        <v>476.6</v>
      </c>
      <c r="AS23" s="19">
        <v>479.8</v>
      </c>
      <c r="AT23" s="16">
        <v>532.29999999999995</v>
      </c>
      <c r="AU23" s="17">
        <v>556.29999999999995</v>
      </c>
      <c r="AV23" s="18">
        <v>560.29999999999995</v>
      </c>
      <c r="AW23" s="19">
        <v>562</v>
      </c>
      <c r="AX23" s="88">
        <v>576.4</v>
      </c>
      <c r="AY23" s="89">
        <v>578.6</v>
      </c>
      <c r="AZ23" s="87">
        <v>598.29999999999995</v>
      </c>
      <c r="BA23" s="90">
        <v>599.5</v>
      </c>
      <c r="BB23" s="16">
        <v>624.4</v>
      </c>
      <c r="BC23" s="17">
        <v>595.4</v>
      </c>
      <c r="BD23" s="18">
        <v>620</v>
      </c>
      <c r="BE23" s="19">
        <v>622.1</v>
      </c>
      <c r="BF23" s="16">
        <v>647.29999999999995</v>
      </c>
      <c r="BG23" s="17">
        <v>675.8</v>
      </c>
      <c r="BH23" s="18">
        <v>677.9</v>
      </c>
      <c r="BI23" s="19">
        <v>738.6</v>
      </c>
      <c r="BJ23" s="16">
        <v>778</v>
      </c>
      <c r="BK23" s="16"/>
      <c r="BL23" s="16"/>
      <c r="BM23" s="17"/>
      <c r="BN23" s="18">
        <f>876.5</f>
        <v>876.5</v>
      </c>
      <c r="BO23" s="19">
        <f>886.4</f>
        <v>886.4</v>
      </c>
      <c r="BP23" s="91">
        <v>1041.3</v>
      </c>
      <c r="BQ23" s="89">
        <v>1110.4000000000001</v>
      </c>
      <c r="BR23" s="18">
        <v>1138.5999999999999</v>
      </c>
      <c r="BS23" s="19">
        <v>1150.4000000000001</v>
      </c>
      <c r="BT23" s="24">
        <v>1355.8</v>
      </c>
      <c r="BU23" s="68">
        <v>1526.8</v>
      </c>
      <c r="BV23" s="68">
        <v>1535.6</v>
      </c>
      <c r="BW23" s="25">
        <v>1583.4</v>
      </c>
      <c r="BX23" s="18">
        <v>1754.4</v>
      </c>
      <c r="BY23" s="19">
        <v>1943.1</v>
      </c>
      <c r="BZ23" s="91">
        <v>2525.8000000000002</v>
      </c>
      <c r="CA23" s="89">
        <v>2734.4</v>
      </c>
      <c r="CB23" s="18">
        <v>2774.9</v>
      </c>
      <c r="CC23" s="19">
        <v>2842.1</v>
      </c>
      <c r="CD23" s="91">
        <v>3528.1</v>
      </c>
      <c r="CE23" s="89">
        <v>3681.9</v>
      </c>
      <c r="CF23" s="14">
        <v>3856</v>
      </c>
      <c r="CG23" s="15">
        <v>4048.7</v>
      </c>
      <c r="CH23" s="15">
        <v>4052.9</v>
      </c>
      <c r="CI23" s="15">
        <v>4116.8</v>
      </c>
      <c r="CJ23" s="175">
        <v>4826.8999999999996</v>
      </c>
      <c r="CK23" s="175">
        <v>4936.8</v>
      </c>
      <c r="CL23" s="175">
        <v>5085.2</v>
      </c>
      <c r="CM23" s="175">
        <v>5148.1000000000004</v>
      </c>
      <c r="CN23" s="176">
        <v>6045.6</v>
      </c>
      <c r="CO23" s="177">
        <v>6421.6</v>
      </c>
      <c r="CP23" s="178"/>
      <c r="CQ23" s="179"/>
    </row>
    <row r="24" spans="1:95" x14ac:dyDescent="0.55000000000000004">
      <c r="A24" s="7">
        <v>22</v>
      </c>
      <c r="B24" s="16">
        <v>108.1</v>
      </c>
      <c r="C24" s="17">
        <v>108.2</v>
      </c>
      <c r="D24" s="18">
        <v>108.7</v>
      </c>
      <c r="E24" s="19">
        <v>109.6</v>
      </c>
      <c r="F24" s="16">
        <v>129.30000000000001</v>
      </c>
      <c r="G24" s="17">
        <v>130</v>
      </c>
      <c r="H24" s="18">
        <v>132.80000000000001</v>
      </c>
      <c r="I24" s="19">
        <v>132.80000000000001</v>
      </c>
      <c r="J24" s="16">
        <v>135.69999999999999</v>
      </c>
      <c r="K24" s="17">
        <v>136.30000000000001</v>
      </c>
      <c r="L24" s="18">
        <v>136.9</v>
      </c>
      <c r="M24" s="19">
        <v>137</v>
      </c>
      <c r="N24" s="16">
        <v>138.30000000000001</v>
      </c>
      <c r="O24" s="17">
        <v>138.30000000000001</v>
      </c>
      <c r="P24" s="18">
        <v>141.1</v>
      </c>
      <c r="Q24" s="19">
        <v>141.1</v>
      </c>
      <c r="R24" s="16">
        <v>158</v>
      </c>
      <c r="S24" s="17">
        <v>158.5</v>
      </c>
      <c r="T24" s="18">
        <v>160</v>
      </c>
      <c r="U24" s="19">
        <v>160.69999999999999</v>
      </c>
      <c r="V24" s="16">
        <v>191</v>
      </c>
      <c r="W24" s="17">
        <v>242.7</v>
      </c>
      <c r="X24" s="18">
        <v>199</v>
      </c>
      <c r="Y24" s="19">
        <v>198.5</v>
      </c>
      <c r="Z24" s="16">
        <v>200.8</v>
      </c>
      <c r="AA24" s="17">
        <v>201.3</v>
      </c>
      <c r="AB24" s="18">
        <v>202.3</v>
      </c>
      <c r="AC24" s="19">
        <v>202.9</v>
      </c>
      <c r="AD24" s="16">
        <v>205</v>
      </c>
      <c r="AE24" s="17">
        <v>205.3</v>
      </c>
      <c r="AF24" s="18">
        <v>204.9</v>
      </c>
      <c r="AG24" s="19">
        <v>217.2</v>
      </c>
      <c r="AH24" s="16">
        <v>219.5</v>
      </c>
      <c r="AI24" s="17">
        <v>230.3</v>
      </c>
      <c r="AJ24" s="18">
        <v>242.9</v>
      </c>
      <c r="AK24" s="19">
        <v>248</v>
      </c>
      <c r="AL24" s="16">
        <v>258.5</v>
      </c>
      <c r="AM24" s="17">
        <v>264.60000000000002</v>
      </c>
      <c r="AN24" s="18">
        <v>295.2</v>
      </c>
      <c r="AO24" s="19">
        <v>321.7</v>
      </c>
      <c r="AP24" s="16">
        <v>352.3</v>
      </c>
      <c r="AQ24" s="17">
        <v>353.9</v>
      </c>
      <c r="AR24" s="18">
        <v>361.4</v>
      </c>
      <c r="AS24" s="19">
        <v>367.2</v>
      </c>
      <c r="AT24" s="16">
        <v>404.2</v>
      </c>
      <c r="AU24" s="17">
        <v>409.1</v>
      </c>
      <c r="AV24" s="18">
        <v>420</v>
      </c>
      <c r="AW24" s="19">
        <v>420.8</v>
      </c>
      <c r="AX24" s="88">
        <v>427.5</v>
      </c>
      <c r="AY24" s="89">
        <v>428.4</v>
      </c>
      <c r="AZ24" s="87">
        <v>429.1</v>
      </c>
      <c r="BA24" s="90">
        <v>429.5</v>
      </c>
      <c r="BB24" s="16">
        <v>435.9</v>
      </c>
      <c r="BC24" s="17">
        <v>595.4</v>
      </c>
      <c r="BD24" s="18">
        <v>443</v>
      </c>
      <c r="BE24" s="19">
        <v>443.7</v>
      </c>
      <c r="BF24" s="16">
        <v>470.2</v>
      </c>
      <c r="BG24" s="17">
        <v>488.9</v>
      </c>
      <c r="BH24" s="18">
        <v>506.7</v>
      </c>
      <c r="BI24" s="19">
        <v>573.70000000000005</v>
      </c>
      <c r="BJ24" s="16">
        <v>650.70000000000005</v>
      </c>
      <c r="BK24" s="16"/>
      <c r="BL24" s="16"/>
      <c r="BM24" s="17"/>
      <c r="BN24" s="18">
        <f>699.4</f>
        <v>699.4</v>
      </c>
      <c r="BO24" s="19">
        <f>703.4</f>
        <v>703.4</v>
      </c>
      <c r="BP24" s="88">
        <v>798.5</v>
      </c>
      <c r="BQ24" s="92">
        <v>845.1</v>
      </c>
      <c r="BR24" s="18">
        <v>873</v>
      </c>
      <c r="BS24" s="19">
        <v>955.8</v>
      </c>
      <c r="BT24" s="24">
        <v>1129.5</v>
      </c>
      <c r="BU24" s="68">
        <v>1243.2</v>
      </c>
      <c r="BV24" s="68">
        <v>1246.3</v>
      </c>
      <c r="BW24" s="25">
        <v>1340.9</v>
      </c>
      <c r="BX24" s="18">
        <v>1513.5</v>
      </c>
      <c r="BY24" s="19">
        <v>1600.8</v>
      </c>
      <c r="BZ24" s="88">
        <v>2016.5</v>
      </c>
      <c r="CA24" s="92">
        <v>2148.4</v>
      </c>
      <c r="CB24" s="18">
        <v>2262.5</v>
      </c>
      <c r="CC24" s="19">
        <v>2305.5</v>
      </c>
      <c r="CD24" s="88">
        <v>2686.9</v>
      </c>
      <c r="CE24" s="92">
        <v>2835.2</v>
      </c>
      <c r="CF24" s="14">
        <v>3081.5</v>
      </c>
      <c r="CG24" s="15">
        <v>3396.2</v>
      </c>
      <c r="CH24" s="15">
        <v>3398.7</v>
      </c>
      <c r="CI24" s="15">
        <v>3600.5</v>
      </c>
      <c r="CJ24" s="175">
        <v>4093.2</v>
      </c>
      <c r="CK24" s="175">
        <v>4140.3999999999996</v>
      </c>
      <c r="CL24" s="175">
        <v>4486.8999999999996</v>
      </c>
      <c r="CM24" s="175">
        <v>4508.3</v>
      </c>
      <c r="CN24" s="176">
        <v>5321.4</v>
      </c>
      <c r="CO24" s="177">
        <v>5587.1</v>
      </c>
      <c r="CP24" s="178"/>
      <c r="CQ24" s="179"/>
    </row>
    <row r="25" spans="1:95" x14ac:dyDescent="0.55000000000000004">
      <c r="A25" s="7">
        <v>23</v>
      </c>
      <c r="B25" s="16">
        <v>101.2</v>
      </c>
      <c r="C25" s="17">
        <v>101.6</v>
      </c>
      <c r="D25" s="18">
        <v>106</v>
      </c>
      <c r="E25" s="19">
        <v>106.2</v>
      </c>
      <c r="F25" s="16">
        <v>120.7</v>
      </c>
      <c r="G25" s="17">
        <v>121</v>
      </c>
      <c r="H25" s="18">
        <v>123.6</v>
      </c>
      <c r="I25" s="19">
        <v>123.6</v>
      </c>
      <c r="J25" s="16">
        <v>124.5</v>
      </c>
      <c r="K25" s="17">
        <v>124.6</v>
      </c>
      <c r="L25" s="18">
        <v>133</v>
      </c>
      <c r="M25" s="19">
        <v>133.1</v>
      </c>
      <c r="N25" s="16">
        <v>143.1</v>
      </c>
      <c r="O25" s="17">
        <v>143.1</v>
      </c>
      <c r="P25" s="18">
        <v>145.1</v>
      </c>
      <c r="Q25" s="19">
        <v>145.19999999999999</v>
      </c>
      <c r="R25" s="16">
        <v>165.4</v>
      </c>
      <c r="S25" s="17">
        <v>167.8</v>
      </c>
      <c r="T25" s="18">
        <v>176.4</v>
      </c>
      <c r="U25" s="19">
        <v>177.1</v>
      </c>
      <c r="V25" s="16">
        <v>204.8</v>
      </c>
      <c r="W25" s="17">
        <v>203.8</v>
      </c>
      <c r="X25" s="18">
        <v>190.2</v>
      </c>
      <c r="Y25" s="19">
        <v>185.3</v>
      </c>
      <c r="Z25" s="16">
        <v>186.2</v>
      </c>
      <c r="AA25" s="17">
        <v>191.3</v>
      </c>
      <c r="AB25" s="18">
        <v>192.5</v>
      </c>
      <c r="AC25" s="19">
        <v>193.2</v>
      </c>
      <c r="AD25" s="16"/>
      <c r="AE25" s="17"/>
      <c r="AF25" s="18"/>
      <c r="AG25" s="19"/>
      <c r="AH25" s="16"/>
      <c r="AI25" s="17"/>
      <c r="AJ25" s="18"/>
      <c r="AK25" s="19"/>
      <c r="AL25" s="16"/>
      <c r="AM25" s="17"/>
      <c r="AN25" s="18"/>
      <c r="AO25" s="19">
        <v>341</v>
      </c>
      <c r="AP25" s="16">
        <v>364.5</v>
      </c>
      <c r="AQ25" s="17">
        <v>361.2</v>
      </c>
      <c r="AR25" s="18">
        <v>375.7</v>
      </c>
      <c r="AS25" s="19">
        <v>374.4</v>
      </c>
      <c r="AT25" s="16">
        <v>419.5</v>
      </c>
      <c r="AU25" s="17">
        <v>421.3</v>
      </c>
      <c r="AV25" s="18">
        <v>428.7</v>
      </c>
      <c r="AW25" s="19">
        <v>429.7</v>
      </c>
      <c r="AX25" s="88">
        <v>435.5</v>
      </c>
      <c r="AY25" s="89">
        <v>432.9</v>
      </c>
      <c r="AZ25" s="87">
        <v>437.8</v>
      </c>
      <c r="BA25" s="90">
        <v>435.2</v>
      </c>
      <c r="BB25" s="16">
        <v>454</v>
      </c>
      <c r="BC25" s="17">
        <v>595.4</v>
      </c>
      <c r="BD25" s="18">
        <v>483</v>
      </c>
      <c r="BE25" s="19">
        <v>490.1</v>
      </c>
      <c r="BF25" s="16">
        <v>518.9</v>
      </c>
      <c r="BG25" s="17">
        <v>533.79999999999995</v>
      </c>
      <c r="BH25" s="18">
        <v>546.4</v>
      </c>
      <c r="BI25" s="19">
        <v>632.20000000000005</v>
      </c>
      <c r="BJ25" s="16">
        <v>681.9</v>
      </c>
      <c r="BK25" s="16"/>
      <c r="BL25" s="16"/>
      <c r="BM25" s="17"/>
      <c r="BN25" s="18">
        <f>915.2</f>
        <v>915.2</v>
      </c>
      <c r="BO25" s="19">
        <f>918.4</f>
        <v>918.4</v>
      </c>
      <c r="BP25" s="91">
        <v>1083.2</v>
      </c>
      <c r="BQ25" s="92">
        <v>1056.8</v>
      </c>
      <c r="BR25" s="18">
        <v>1088.5999999999999</v>
      </c>
      <c r="BS25" s="19">
        <v>1180.0999999999999</v>
      </c>
      <c r="BT25" s="24">
        <v>1412.9</v>
      </c>
      <c r="BU25" s="68">
        <v>1733.5</v>
      </c>
      <c r="BV25" s="68">
        <v>1769.4</v>
      </c>
      <c r="BW25" s="25">
        <v>1887.3</v>
      </c>
      <c r="BX25" s="18">
        <v>2065.6999999999998</v>
      </c>
      <c r="BY25" s="19">
        <v>2329.3000000000002</v>
      </c>
      <c r="BZ25" s="91">
        <v>2717.7</v>
      </c>
      <c r="CA25" s="92">
        <v>2976.4</v>
      </c>
      <c r="CB25" s="18">
        <v>3073.8</v>
      </c>
      <c r="CC25" s="19">
        <v>3057.8</v>
      </c>
      <c r="CD25" s="91">
        <v>3600.1</v>
      </c>
      <c r="CE25" s="92">
        <v>3666.6</v>
      </c>
      <c r="CF25" s="14">
        <v>3915.6</v>
      </c>
      <c r="CG25" s="15">
        <v>4341</v>
      </c>
      <c r="CH25" s="15">
        <v>4554.2</v>
      </c>
      <c r="CI25" s="15">
        <v>4799.6000000000004</v>
      </c>
      <c r="CJ25" s="175">
        <v>5184.5</v>
      </c>
      <c r="CK25" s="175">
        <v>5123.7</v>
      </c>
      <c r="CL25" s="175">
        <v>5386.3</v>
      </c>
      <c r="CM25" s="175">
        <v>5467.6</v>
      </c>
      <c r="CN25" s="176">
        <v>6014.1</v>
      </c>
      <c r="CO25" s="177">
        <v>6243.1</v>
      </c>
      <c r="CP25" s="178"/>
      <c r="CQ25" s="179"/>
    </row>
    <row r="26" spans="1:95" x14ac:dyDescent="0.55000000000000004">
      <c r="A26" s="7">
        <v>24</v>
      </c>
      <c r="B26" s="16">
        <v>101.2</v>
      </c>
      <c r="C26" s="17">
        <v>101.9</v>
      </c>
      <c r="D26" s="18">
        <v>104.7</v>
      </c>
      <c r="E26" s="19">
        <v>105.1</v>
      </c>
      <c r="F26" s="16">
        <v>121.3</v>
      </c>
      <c r="G26" s="17">
        <v>122</v>
      </c>
      <c r="H26" s="18">
        <v>117.8</v>
      </c>
      <c r="I26" s="19">
        <v>117.8</v>
      </c>
      <c r="J26" s="16">
        <v>122.5</v>
      </c>
      <c r="K26" s="17">
        <v>122.7</v>
      </c>
      <c r="L26" s="18">
        <v>123.5</v>
      </c>
      <c r="M26" s="19">
        <v>123.7</v>
      </c>
      <c r="N26" s="16">
        <v>119.6</v>
      </c>
      <c r="O26" s="17">
        <v>120.1</v>
      </c>
      <c r="P26" s="18">
        <v>119.6</v>
      </c>
      <c r="Q26" s="19">
        <v>119.6</v>
      </c>
      <c r="R26" s="16">
        <v>123.5</v>
      </c>
      <c r="S26" s="17">
        <v>123.9</v>
      </c>
      <c r="T26" s="18">
        <v>126.4</v>
      </c>
      <c r="U26" s="19">
        <v>128.5</v>
      </c>
      <c r="V26" s="16">
        <v>145.4</v>
      </c>
      <c r="W26" s="17">
        <v>145.69999999999999</v>
      </c>
      <c r="X26" s="18">
        <v>146.30000000000001</v>
      </c>
      <c r="Y26" s="19">
        <v>151.6</v>
      </c>
      <c r="Z26" s="16">
        <v>149.1</v>
      </c>
      <c r="AA26" s="17">
        <v>145.69999999999999</v>
      </c>
      <c r="AB26" s="18">
        <v>145</v>
      </c>
      <c r="AC26" s="19">
        <v>145</v>
      </c>
      <c r="AD26" s="16"/>
      <c r="AE26" s="17"/>
      <c r="AF26" s="18"/>
      <c r="AG26" s="19"/>
      <c r="AH26" s="16"/>
      <c r="AI26" s="17"/>
      <c r="AJ26" s="18"/>
      <c r="AK26" s="19"/>
      <c r="AL26" s="16"/>
      <c r="AM26" s="17"/>
      <c r="AN26" s="18"/>
      <c r="AO26" s="19">
        <v>239.3</v>
      </c>
      <c r="AP26" s="16">
        <v>263.2</v>
      </c>
      <c r="AQ26" s="17">
        <v>265.5</v>
      </c>
      <c r="AR26" s="18">
        <v>267.8</v>
      </c>
      <c r="AS26" s="19">
        <v>271.10000000000002</v>
      </c>
      <c r="AT26" s="16">
        <v>293.60000000000002</v>
      </c>
      <c r="AU26" s="17">
        <v>296.5</v>
      </c>
      <c r="AV26" s="18">
        <v>304.7</v>
      </c>
      <c r="AW26" s="19">
        <v>307.10000000000002</v>
      </c>
      <c r="AX26" s="88">
        <v>324.8</v>
      </c>
      <c r="AY26" s="89">
        <v>326.7</v>
      </c>
      <c r="AZ26" s="87">
        <v>328.7</v>
      </c>
      <c r="BA26" s="90">
        <v>330.2</v>
      </c>
      <c r="BB26" s="16">
        <v>346.9</v>
      </c>
      <c r="BC26" s="17">
        <v>595.4</v>
      </c>
      <c r="BD26" s="18">
        <v>353</v>
      </c>
      <c r="BE26" s="19">
        <v>354.7</v>
      </c>
      <c r="BF26" s="16">
        <v>385.7</v>
      </c>
      <c r="BG26" s="17">
        <v>388.1</v>
      </c>
      <c r="BH26" s="18">
        <v>390.2</v>
      </c>
      <c r="BI26" s="19">
        <v>443.8</v>
      </c>
      <c r="BJ26" s="16">
        <v>482.7</v>
      </c>
      <c r="BK26" s="16"/>
      <c r="BL26" s="16"/>
      <c r="BM26" s="17"/>
      <c r="BN26" s="18">
        <f>547.9</f>
        <v>547.9</v>
      </c>
      <c r="BO26" s="19">
        <f>554.7</f>
        <v>554.70000000000005</v>
      </c>
      <c r="BP26" s="91">
        <v>620.1</v>
      </c>
      <c r="BQ26" s="92">
        <v>634.79999999999995</v>
      </c>
      <c r="BR26" s="18">
        <v>645.29999999999995</v>
      </c>
      <c r="BS26" s="19">
        <v>655.1</v>
      </c>
      <c r="BT26" s="24">
        <v>761.7</v>
      </c>
      <c r="BU26" s="68">
        <v>818.2</v>
      </c>
      <c r="BV26" s="68">
        <v>819.7</v>
      </c>
      <c r="BW26" s="25">
        <v>829.6</v>
      </c>
      <c r="BX26" s="18">
        <v>1043.0999999999999</v>
      </c>
      <c r="BY26" s="19">
        <v>1109.8</v>
      </c>
      <c r="BZ26" s="91">
        <v>1472.1</v>
      </c>
      <c r="CA26" s="92">
        <v>1583</v>
      </c>
      <c r="CB26" s="18">
        <v>1611.5</v>
      </c>
      <c r="CC26" s="19">
        <v>1645.7</v>
      </c>
      <c r="CD26" s="91">
        <v>2074.1</v>
      </c>
      <c r="CE26" s="92">
        <v>2140</v>
      </c>
      <c r="CF26" s="14">
        <v>2225.3000000000002</v>
      </c>
      <c r="CG26" s="15">
        <v>2329.1</v>
      </c>
      <c r="CH26" s="15">
        <v>2329.9</v>
      </c>
      <c r="CI26" s="15">
        <v>2436.1</v>
      </c>
      <c r="CJ26" s="175">
        <v>2846.6</v>
      </c>
      <c r="CK26" s="175">
        <v>2905.3</v>
      </c>
      <c r="CL26" s="175">
        <v>3177.1</v>
      </c>
      <c r="CM26" s="175">
        <v>3216.3</v>
      </c>
      <c r="CN26" s="176">
        <v>3734.1</v>
      </c>
      <c r="CO26" s="177">
        <v>3854.1</v>
      </c>
      <c r="CP26" s="178"/>
      <c r="CQ26" s="179"/>
    </row>
    <row r="27" spans="1:95" x14ac:dyDescent="0.55000000000000004">
      <c r="A27" s="7">
        <v>25</v>
      </c>
      <c r="B27" s="16">
        <v>101</v>
      </c>
      <c r="C27" s="17">
        <v>102.9</v>
      </c>
      <c r="D27" s="18">
        <v>104.3</v>
      </c>
      <c r="E27" s="19">
        <v>105.3</v>
      </c>
      <c r="F27" s="16">
        <v>114.5</v>
      </c>
      <c r="G27" s="17">
        <v>116.2</v>
      </c>
      <c r="H27" s="18">
        <v>124.9</v>
      </c>
      <c r="I27" s="19">
        <v>124.9</v>
      </c>
      <c r="J27" s="16">
        <v>129.30000000000001</v>
      </c>
      <c r="K27" s="17">
        <v>130.19999999999999</v>
      </c>
      <c r="L27" s="18">
        <v>134.19999999999999</v>
      </c>
      <c r="M27" s="19">
        <v>134.6</v>
      </c>
      <c r="N27" s="16">
        <v>140.9</v>
      </c>
      <c r="O27" s="17">
        <v>141.1</v>
      </c>
      <c r="P27" s="18">
        <v>143.5</v>
      </c>
      <c r="Q27" s="19">
        <v>143.6</v>
      </c>
      <c r="R27" s="16">
        <v>168.1</v>
      </c>
      <c r="S27" s="17">
        <v>169.4</v>
      </c>
      <c r="T27" s="18">
        <v>176</v>
      </c>
      <c r="U27" s="19">
        <v>195.8</v>
      </c>
      <c r="V27" s="16">
        <v>207.9</v>
      </c>
      <c r="W27" s="17">
        <v>209</v>
      </c>
      <c r="X27" s="18">
        <v>205.9</v>
      </c>
      <c r="Y27" s="19">
        <v>204.3</v>
      </c>
      <c r="Z27" s="16">
        <v>214.8</v>
      </c>
      <c r="AA27" s="17">
        <v>216.3</v>
      </c>
      <c r="AB27" s="18">
        <v>219.5</v>
      </c>
      <c r="AC27" s="19">
        <v>231.5</v>
      </c>
      <c r="AD27" s="16">
        <v>243.2</v>
      </c>
      <c r="AE27" s="17">
        <v>244.4</v>
      </c>
      <c r="AF27" s="18">
        <v>246.1</v>
      </c>
      <c r="AG27" s="19">
        <v>252.6</v>
      </c>
      <c r="AH27" s="16">
        <v>263.2</v>
      </c>
      <c r="AI27" s="17">
        <v>272.5</v>
      </c>
      <c r="AJ27" s="18">
        <v>281.39999999999998</v>
      </c>
      <c r="AK27" s="19">
        <v>284.7</v>
      </c>
      <c r="AL27" s="16">
        <v>317.5</v>
      </c>
      <c r="AM27" s="17">
        <v>336.2</v>
      </c>
      <c r="AN27" s="18">
        <v>358.6</v>
      </c>
      <c r="AO27" s="19">
        <v>364</v>
      </c>
      <c r="AP27" s="16">
        <v>411.7</v>
      </c>
      <c r="AQ27" s="17">
        <v>416.7</v>
      </c>
      <c r="AR27" s="18">
        <v>423.6</v>
      </c>
      <c r="AS27" s="19">
        <v>431.4</v>
      </c>
      <c r="AT27" s="16">
        <v>471.6</v>
      </c>
      <c r="AU27" s="17">
        <v>477.4</v>
      </c>
      <c r="AV27" s="18">
        <v>484.1</v>
      </c>
      <c r="AW27" s="19">
        <v>488.9</v>
      </c>
      <c r="AX27" s="88">
        <v>521.29999999999995</v>
      </c>
      <c r="AY27" s="89">
        <v>524.20000000000005</v>
      </c>
      <c r="AZ27" s="87">
        <v>527.29999999999995</v>
      </c>
      <c r="BA27" s="90">
        <v>529.9</v>
      </c>
      <c r="BB27" s="16">
        <v>559.6</v>
      </c>
      <c r="BC27" s="17">
        <v>595.4</v>
      </c>
      <c r="BD27" s="18">
        <v>570</v>
      </c>
      <c r="BE27" s="19">
        <v>573.79999999999995</v>
      </c>
      <c r="BF27" s="16">
        <v>617.79999999999995</v>
      </c>
      <c r="BG27" s="17">
        <v>629.1</v>
      </c>
      <c r="BH27" s="18">
        <v>640</v>
      </c>
      <c r="BI27" s="19">
        <v>788.7</v>
      </c>
      <c r="BJ27" s="16">
        <v>856</v>
      </c>
      <c r="BK27" s="16"/>
      <c r="BL27" s="16"/>
      <c r="BM27" s="17"/>
      <c r="BN27" s="18">
        <f>922.4</f>
        <v>922.4</v>
      </c>
      <c r="BO27" s="19">
        <f>938.4</f>
        <v>938.4</v>
      </c>
      <c r="BP27" s="91">
        <v>1100.9000000000001</v>
      </c>
      <c r="BQ27" s="89">
        <v>1135.4000000000001</v>
      </c>
      <c r="BR27" s="18">
        <v>1155.0999999999999</v>
      </c>
      <c r="BS27" s="19">
        <v>1181.3</v>
      </c>
      <c r="BT27" s="24">
        <v>1374.5</v>
      </c>
      <c r="BU27" s="68">
        <v>1504.8</v>
      </c>
      <c r="BV27" s="68">
        <v>1522.7</v>
      </c>
      <c r="BW27" s="25">
        <v>1583.4</v>
      </c>
      <c r="BX27" s="18">
        <v>1793.7</v>
      </c>
      <c r="BY27" s="19">
        <v>1897.9</v>
      </c>
      <c r="BZ27" s="91">
        <v>2433.4</v>
      </c>
      <c r="CA27" s="89">
        <v>2610.5</v>
      </c>
      <c r="CB27" s="18">
        <v>2674.6</v>
      </c>
      <c r="CC27" s="19">
        <v>2727.9</v>
      </c>
      <c r="CD27" s="91">
        <v>3458</v>
      </c>
      <c r="CE27" s="89">
        <v>3605.4</v>
      </c>
      <c r="CF27" s="14">
        <v>3735.9</v>
      </c>
      <c r="CG27" s="15">
        <v>3956</v>
      </c>
      <c r="CH27" s="15">
        <v>3957.9</v>
      </c>
      <c r="CI27" s="15">
        <v>3963.7</v>
      </c>
      <c r="CJ27" s="175">
        <v>4733.8999999999996</v>
      </c>
      <c r="CK27" s="175">
        <v>4883</v>
      </c>
      <c r="CL27" s="175">
        <v>5010.1000000000004</v>
      </c>
      <c r="CM27" s="175">
        <v>5134.2</v>
      </c>
      <c r="CN27" s="176">
        <v>6088.7</v>
      </c>
      <c r="CO27" s="177">
        <v>6375.7</v>
      </c>
      <c r="CP27" s="178"/>
      <c r="CQ27" s="179"/>
    </row>
    <row r="28" spans="1:95" x14ac:dyDescent="0.55000000000000004">
      <c r="A28" s="7">
        <v>26</v>
      </c>
      <c r="B28" s="16">
        <v>115.5</v>
      </c>
      <c r="C28" s="17">
        <v>118.7</v>
      </c>
      <c r="D28" s="18">
        <v>119.7</v>
      </c>
      <c r="E28" s="19">
        <v>120.8</v>
      </c>
      <c r="F28" s="16">
        <v>143</v>
      </c>
      <c r="G28" s="17">
        <v>146.1</v>
      </c>
      <c r="H28" s="18">
        <v>150.30000000000001</v>
      </c>
      <c r="I28" s="19">
        <v>150.30000000000001</v>
      </c>
      <c r="J28" s="16">
        <v>151.30000000000001</v>
      </c>
      <c r="K28" s="17">
        <v>152.19999999999999</v>
      </c>
      <c r="L28" s="18">
        <v>156.4</v>
      </c>
      <c r="M28" s="19">
        <v>157.19999999999999</v>
      </c>
      <c r="N28" s="16">
        <v>160.9</v>
      </c>
      <c r="O28" s="17">
        <v>162.19999999999999</v>
      </c>
      <c r="P28" s="18">
        <v>164.6</v>
      </c>
      <c r="Q28" s="19">
        <v>164.6</v>
      </c>
      <c r="R28" s="16">
        <v>182.2</v>
      </c>
      <c r="S28" s="17">
        <v>184.8</v>
      </c>
      <c r="T28" s="18">
        <v>192.9</v>
      </c>
      <c r="U28" s="19">
        <v>195</v>
      </c>
      <c r="V28" s="16">
        <v>220.2</v>
      </c>
      <c r="W28" s="17">
        <v>223.1</v>
      </c>
      <c r="X28" s="18">
        <v>220.2</v>
      </c>
      <c r="Y28" s="19">
        <v>220.2</v>
      </c>
      <c r="Z28" s="16">
        <v>220.5</v>
      </c>
      <c r="AA28" s="17">
        <v>221.2</v>
      </c>
      <c r="AB28" s="18">
        <v>226.5</v>
      </c>
      <c r="AC28" s="19">
        <v>227.8</v>
      </c>
      <c r="AD28" s="16">
        <v>237.7</v>
      </c>
      <c r="AE28" s="17">
        <v>239.1</v>
      </c>
      <c r="AF28" s="18">
        <v>239.1</v>
      </c>
      <c r="AG28" s="19">
        <v>273.89999999999998</v>
      </c>
      <c r="AH28" s="16">
        <v>284.39999999999998</v>
      </c>
      <c r="AI28" s="17">
        <v>291.39999999999998</v>
      </c>
      <c r="AJ28" s="18">
        <v>293.2</v>
      </c>
      <c r="AK28" s="19">
        <v>325.7</v>
      </c>
      <c r="AL28" s="16">
        <v>361.4</v>
      </c>
      <c r="AM28" s="17">
        <v>383.8</v>
      </c>
      <c r="AN28" s="18">
        <v>394.1</v>
      </c>
      <c r="AO28" s="19">
        <v>421.5</v>
      </c>
      <c r="AP28" s="16">
        <v>429.3</v>
      </c>
      <c r="AQ28" s="17">
        <v>429.3</v>
      </c>
      <c r="AR28" s="18">
        <v>442.2</v>
      </c>
      <c r="AS28" s="19">
        <v>470.5</v>
      </c>
      <c r="AT28" s="16">
        <v>520.1</v>
      </c>
      <c r="AU28" s="17">
        <v>531.9</v>
      </c>
      <c r="AV28" s="18">
        <v>558.29999999999995</v>
      </c>
      <c r="AW28" s="19">
        <v>556</v>
      </c>
      <c r="AX28" s="88">
        <v>559.4</v>
      </c>
      <c r="AY28" s="89">
        <v>568</v>
      </c>
      <c r="AZ28" s="87">
        <v>582.1</v>
      </c>
      <c r="BA28" s="90">
        <v>582.1</v>
      </c>
      <c r="BB28" s="16">
        <v>600.6</v>
      </c>
      <c r="BC28" s="17">
        <v>595.4</v>
      </c>
      <c r="BD28" s="18">
        <v>608</v>
      </c>
      <c r="BE28" s="19">
        <v>608</v>
      </c>
      <c r="BF28" s="16">
        <v>658.7</v>
      </c>
      <c r="BG28" s="17">
        <v>666.7</v>
      </c>
      <c r="BH28" s="18">
        <v>674.6</v>
      </c>
      <c r="BI28" s="19">
        <v>753.4</v>
      </c>
      <c r="BJ28" s="16">
        <v>829.4</v>
      </c>
      <c r="BK28" s="16"/>
      <c r="BL28" s="16"/>
      <c r="BM28" s="17"/>
      <c r="BN28" s="18">
        <f>938.1</f>
        <v>938.1</v>
      </c>
      <c r="BO28" s="19">
        <f>984.6</f>
        <v>984.6</v>
      </c>
      <c r="BP28" s="91">
        <v>1121</v>
      </c>
      <c r="BQ28" s="89">
        <v>1194.5999999999999</v>
      </c>
      <c r="BR28" s="18">
        <v>1385.2</v>
      </c>
      <c r="BS28" s="19">
        <v>1457.4</v>
      </c>
      <c r="BT28" s="24">
        <v>1897.9</v>
      </c>
      <c r="BU28" s="68">
        <v>2231.8000000000002</v>
      </c>
      <c r="BV28" s="68">
        <v>2478.5</v>
      </c>
      <c r="BW28" s="25">
        <v>2713.1</v>
      </c>
      <c r="BX28" s="18">
        <v>2698.9</v>
      </c>
      <c r="BY28" s="19">
        <v>2777.9</v>
      </c>
      <c r="BZ28" s="91">
        <v>3490.1</v>
      </c>
      <c r="CA28" s="89">
        <v>3793.8</v>
      </c>
      <c r="CB28" s="18">
        <v>4058.1</v>
      </c>
      <c r="CC28" s="19">
        <v>4198.2</v>
      </c>
      <c r="CD28" s="91">
        <v>4861.3</v>
      </c>
      <c r="CE28" s="89">
        <v>5108.1000000000004</v>
      </c>
      <c r="CF28" s="14">
        <v>5795.7</v>
      </c>
      <c r="CG28" s="15">
        <v>6219.7</v>
      </c>
      <c r="CH28" s="15">
        <v>6239.2</v>
      </c>
      <c r="CI28" s="15">
        <v>6401.7</v>
      </c>
      <c r="CJ28" s="175">
        <v>7528.1</v>
      </c>
      <c r="CK28" s="175">
        <v>7898</v>
      </c>
      <c r="CL28" s="175">
        <v>8496.6</v>
      </c>
      <c r="CM28" s="175">
        <v>8619.4</v>
      </c>
      <c r="CN28" s="176">
        <v>10449.9</v>
      </c>
      <c r="CO28" s="177">
        <v>11265.9</v>
      </c>
      <c r="CP28" s="178"/>
      <c r="CQ28" s="179"/>
    </row>
    <row r="29" spans="1:95" x14ac:dyDescent="0.55000000000000004">
      <c r="A29" s="7">
        <v>27</v>
      </c>
      <c r="B29" s="16">
        <v>103.6</v>
      </c>
      <c r="C29" s="17">
        <v>104.3</v>
      </c>
      <c r="D29" s="18">
        <v>104.6</v>
      </c>
      <c r="E29" s="19">
        <v>104.9</v>
      </c>
      <c r="F29" s="16">
        <v>115.4</v>
      </c>
      <c r="G29" s="17">
        <v>116.1</v>
      </c>
      <c r="H29" s="18">
        <v>116.8</v>
      </c>
      <c r="I29" s="19">
        <v>116.8</v>
      </c>
      <c r="J29" s="16">
        <v>117.6</v>
      </c>
      <c r="K29" s="17">
        <v>117.9</v>
      </c>
      <c r="L29" s="18">
        <v>118.7</v>
      </c>
      <c r="M29" s="19">
        <v>118.9</v>
      </c>
      <c r="N29" s="16">
        <v>119.2</v>
      </c>
      <c r="O29" s="17">
        <v>119.2</v>
      </c>
      <c r="P29" s="18">
        <v>120.7</v>
      </c>
      <c r="Q29" s="19">
        <v>120.8</v>
      </c>
      <c r="R29" s="16">
        <v>123.7</v>
      </c>
      <c r="S29" s="17">
        <v>124.1</v>
      </c>
      <c r="T29" s="18">
        <v>132.9</v>
      </c>
      <c r="U29" s="19">
        <v>133.6</v>
      </c>
      <c r="V29" s="16">
        <v>309.89999999999998</v>
      </c>
      <c r="W29" s="17">
        <v>313.2</v>
      </c>
      <c r="X29" s="18">
        <v>313.10000000000002</v>
      </c>
      <c r="Y29" s="19">
        <v>312.3</v>
      </c>
      <c r="Z29" s="16">
        <v>313.2</v>
      </c>
      <c r="AA29" s="17">
        <v>315.5</v>
      </c>
      <c r="AB29" s="18">
        <v>322.3</v>
      </c>
      <c r="AC29" s="19">
        <v>323.39999999999998</v>
      </c>
      <c r="AD29" s="16"/>
      <c r="AE29" s="17"/>
      <c r="AF29" s="18"/>
      <c r="AG29" s="19"/>
      <c r="AH29" s="16"/>
      <c r="AI29" s="17"/>
      <c r="AJ29" s="18"/>
      <c r="AK29" s="19"/>
      <c r="AL29" s="16"/>
      <c r="AM29" s="17"/>
      <c r="AN29" s="18"/>
      <c r="AO29" s="19">
        <v>783.3</v>
      </c>
      <c r="AP29" s="16">
        <v>803</v>
      </c>
      <c r="AQ29" s="17">
        <v>808.5</v>
      </c>
      <c r="AR29" s="18">
        <v>846</v>
      </c>
      <c r="AS29" s="19">
        <v>848.5</v>
      </c>
      <c r="AT29" s="16">
        <v>864.3</v>
      </c>
      <c r="AU29" s="17">
        <v>870.5</v>
      </c>
      <c r="AV29" s="18">
        <v>825.9</v>
      </c>
      <c r="AW29" s="19">
        <v>814</v>
      </c>
      <c r="AX29" s="88">
        <v>821.4</v>
      </c>
      <c r="AY29" s="89">
        <v>821.6</v>
      </c>
      <c r="AZ29" s="87">
        <v>756.4</v>
      </c>
      <c r="BA29" s="90">
        <v>589.4</v>
      </c>
      <c r="BB29" s="16">
        <v>609</v>
      </c>
      <c r="BC29" s="17">
        <v>595.4</v>
      </c>
      <c r="BD29" s="18">
        <v>708.7</v>
      </c>
      <c r="BE29" s="19">
        <v>800.7</v>
      </c>
      <c r="BF29" s="16">
        <v>841.8</v>
      </c>
      <c r="BG29" s="17">
        <v>869</v>
      </c>
      <c r="BH29" s="18">
        <v>964.2</v>
      </c>
      <c r="BI29" s="19">
        <v>1061.5</v>
      </c>
      <c r="BJ29" s="16">
        <v>1172.5</v>
      </c>
      <c r="BK29" s="16"/>
      <c r="BL29" s="16"/>
      <c r="BM29" s="17"/>
      <c r="BN29" s="18">
        <f>1688.6</f>
        <v>1688.6</v>
      </c>
      <c r="BO29" s="19">
        <f>1681.8</f>
        <v>1681.8</v>
      </c>
      <c r="BP29" s="88">
        <v>1876.6</v>
      </c>
      <c r="BQ29" s="92">
        <v>1901.7</v>
      </c>
      <c r="BR29" s="18">
        <v>1902.5</v>
      </c>
      <c r="BS29" s="19">
        <v>1914.8</v>
      </c>
      <c r="BT29" s="24">
        <v>2163.3000000000002</v>
      </c>
      <c r="BU29" s="68">
        <v>2502.5</v>
      </c>
      <c r="BV29" s="68">
        <v>2530.6</v>
      </c>
      <c r="BW29" s="25">
        <v>2690.3</v>
      </c>
      <c r="BX29" s="18">
        <v>3013.6</v>
      </c>
      <c r="BY29" s="19">
        <v>3149.1</v>
      </c>
      <c r="BZ29" s="88">
        <v>3742.4</v>
      </c>
      <c r="CA29" s="92">
        <v>4106.1000000000004</v>
      </c>
      <c r="CB29" s="18">
        <v>4458.6000000000004</v>
      </c>
      <c r="CC29" s="19">
        <v>4597.3999999999996</v>
      </c>
      <c r="CD29" s="88">
        <v>5375.5</v>
      </c>
      <c r="CE29" s="92">
        <v>5302.1</v>
      </c>
      <c r="CF29" s="14">
        <v>5493.8</v>
      </c>
      <c r="CG29" s="15">
        <v>5886.2</v>
      </c>
      <c r="CH29" s="15">
        <v>6178.2</v>
      </c>
      <c r="CI29" s="15">
        <v>6978.4</v>
      </c>
      <c r="CJ29" s="175">
        <v>7531.4</v>
      </c>
      <c r="CK29" s="175">
        <v>7636.9</v>
      </c>
      <c r="CL29" s="175">
        <v>7887.5</v>
      </c>
      <c r="CM29" s="175">
        <v>8115.2</v>
      </c>
      <c r="CN29" s="176">
        <v>9840</v>
      </c>
      <c r="CO29" s="177">
        <v>10278.200000000001</v>
      </c>
      <c r="CP29" s="178"/>
      <c r="CQ29" s="179"/>
    </row>
    <row r="30" spans="1:95" x14ac:dyDescent="0.55000000000000004">
      <c r="A30" s="7">
        <v>28</v>
      </c>
      <c r="B30" s="16">
        <v>108.1</v>
      </c>
      <c r="C30" s="17">
        <v>114</v>
      </c>
      <c r="D30" s="18">
        <v>116</v>
      </c>
      <c r="E30" s="19">
        <v>118.1</v>
      </c>
      <c r="F30" s="16">
        <v>142.1</v>
      </c>
      <c r="G30" s="17">
        <v>147.30000000000001</v>
      </c>
      <c r="H30" s="18">
        <v>146.30000000000001</v>
      </c>
      <c r="I30" s="19">
        <v>146.30000000000001</v>
      </c>
      <c r="J30" s="16">
        <v>147.80000000000001</v>
      </c>
      <c r="K30" s="17">
        <v>149.19999999999999</v>
      </c>
      <c r="L30" s="18">
        <v>156.6</v>
      </c>
      <c r="M30" s="19">
        <v>158</v>
      </c>
      <c r="N30" s="16">
        <v>162.80000000000001</v>
      </c>
      <c r="O30" s="17">
        <v>166.1</v>
      </c>
      <c r="P30" s="18">
        <v>168.1</v>
      </c>
      <c r="Q30" s="19">
        <v>168.3</v>
      </c>
      <c r="R30" s="16">
        <v>188.7</v>
      </c>
      <c r="S30" s="17">
        <v>192.2</v>
      </c>
      <c r="T30" s="18">
        <v>195.4</v>
      </c>
      <c r="U30" s="19">
        <v>199.8</v>
      </c>
      <c r="V30" s="16">
        <v>214.2</v>
      </c>
      <c r="W30" s="17">
        <v>217.9</v>
      </c>
      <c r="X30" s="18">
        <v>214.9</v>
      </c>
      <c r="Y30" s="19">
        <v>214.9</v>
      </c>
      <c r="Z30" s="16">
        <v>217.1</v>
      </c>
      <c r="AA30" s="17">
        <v>217.9</v>
      </c>
      <c r="AB30" s="18">
        <v>226.9</v>
      </c>
      <c r="AC30" s="19">
        <v>228</v>
      </c>
      <c r="AD30" s="16">
        <v>245.6</v>
      </c>
      <c r="AE30" s="17">
        <v>247.1</v>
      </c>
      <c r="AF30" s="18">
        <v>247.1</v>
      </c>
      <c r="AG30" s="19">
        <v>284.2</v>
      </c>
      <c r="AH30" s="16">
        <v>297</v>
      </c>
      <c r="AI30" s="17">
        <v>307.39999999999998</v>
      </c>
      <c r="AJ30" s="18">
        <v>315.39999999999998</v>
      </c>
      <c r="AK30" s="19">
        <v>335.3</v>
      </c>
      <c r="AL30" s="16">
        <v>373.1</v>
      </c>
      <c r="AM30" s="17">
        <v>396.1</v>
      </c>
      <c r="AN30" s="18">
        <v>402.4</v>
      </c>
      <c r="AO30" s="19">
        <v>419.1</v>
      </c>
      <c r="AP30" s="16">
        <v>474.3</v>
      </c>
      <c r="AQ30" s="17">
        <v>491.3</v>
      </c>
      <c r="AR30" s="18">
        <v>499.9</v>
      </c>
      <c r="AS30" s="19">
        <v>505.6</v>
      </c>
      <c r="AT30" s="16">
        <v>559.70000000000005</v>
      </c>
      <c r="AU30" s="17">
        <v>573.9</v>
      </c>
      <c r="AV30" s="18">
        <v>587</v>
      </c>
      <c r="AW30" s="19">
        <v>584</v>
      </c>
      <c r="AX30" s="88">
        <v>594</v>
      </c>
      <c r="AY30" s="89">
        <v>608.6</v>
      </c>
      <c r="AZ30" s="87">
        <v>628.4</v>
      </c>
      <c r="BA30" s="90">
        <v>628.4</v>
      </c>
      <c r="BB30" s="16">
        <v>640.5</v>
      </c>
      <c r="BC30" s="17">
        <v>595.4</v>
      </c>
      <c r="BD30" s="18">
        <v>669.2</v>
      </c>
      <c r="BE30" s="19">
        <v>671.5</v>
      </c>
      <c r="BF30" s="16">
        <v>725.2</v>
      </c>
      <c r="BG30" s="17">
        <v>731.9</v>
      </c>
      <c r="BH30" s="18">
        <v>738.7</v>
      </c>
      <c r="BI30" s="19">
        <v>824.6</v>
      </c>
      <c r="BJ30" s="16">
        <v>901.2</v>
      </c>
      <c r="BK30" s="16"/>
      <c r="BL30" s="16"/>
      <c r="BM30" s="17"/>
      <c r="BN30" s="18">
        <f>1055.1</f>
        <v>1055.0999999999999</v>
      </c>
      <c r="BO30" s="19">
        <f>1148.6</f>
        <v>1148.5999999999999</v>
      </c>
      <c r="BP30" s="91">
        <v>1295.3</v>
      </c>
      <c r="BQ30" s="92">
        <v>1363.1</v>
      </c>
      <c r="BR30" s="18">
        <v>1592.1</v>
      </c>
      <c r="BS30" s="19">
        <v>1658</v>
      </c>
      <c r="BT30" s="24">
        <v>2094.1</v>
      </c>
      <c r="BU30" s="68">
        <v>2553.4</v>
      </c>
      <c r="BV30" s="68">
        <v>2619.6999999999998</v>
      </c>
      <c r="BW30" s="25">
        <v>2818.7</v>
      </c>
      <c r="BX30" s="18">
        <v>2984.5</v>
      </c>
      <c r="BY30" s="19">
        <v>3110.6</v>
      </c>
      <c r="BZ30" s="91">
        <v>3909.7</v>
      </c>
      <c r="CA30" s="92">
        <v>4321.1000000000004</v>
      </c>
      <c r="CB30" s="18">
        <v>4459.7</v>
      </c>
      <c r="CC30" s="19">
        <v>4663.7</v>
      </c>
      <c r="CD30" s="91">
        <v>5735.3</v>
      </c>
      <c r="CE30" s="92">
        <v>5984.1</v>
      </c>
      <c r="CF30" s="14">
        <v>6492.7</v>
      </c>
      <c r="CG30" s="15">
        <v>6795</v>
      </c>
      <c r="CH30" s="15">
        <v>6858.7</v>
      </c>
      <c r="CI30" s="15">
        <v>6919.5</v>
      </c>
      <c r="CJ30" s="175">
        <v>8205</v>
      </c>
      <c r="CK30" s="175">
        <v>8779.7999999999993</v>
      </c>
      <c r="CL30" s="175">
        <v>9333.7000000000007</v>
      </c>
      <c r="CM30" s="175">
        <v>9459.4</v>
      </c>
      <c r="CN30" s="176">
        <v>11527.7</v>
      </c>
      <c r="CO30" s="177">
        <v>12116.5</v>
      </c>
      <c r="CP30" s="178"/>
      <c r="CQ30" s="179"/>
    </row>
    <row r="31" spans="1:95" x14ac:dyDescent="0.55000000000000004">
      <c r="A31" s="7">
        <v>29</v>
      </c>
      <c r="B31" s="16">
        <v>109</v>
      </c>
      <c r="C31" s="17">
        <v>112.8</v>
      </c>
      <c r="D31" s="18">
        <v>114.9</v>
      </c>
      <c r="E31" s="19">
        <v>117</v>
      </c>
      <c r="F31" s="16">
        <v>133.4</v>
      </c>
      <c r="G31" s="17">
        <v>137.1</v>
      </c>
      <c r="H31" s="18">
        <v>139.80000000000001</v>
      </c>
      <c r="I31" s="19">
        <v>139.80000000000001</v>
      </c>
      <c r="J31" s="16">
        <v>147.80000000000001</v>
      </c>
      <c r="K31" s="17">
        <v>149.9</v>
      </c>
      <c r="L31" s="18">
        <v>152.5</v>
      </c>
      <c r="M31" s="19">
        <v>153.30000000000001</v>
      </c>
      <c r="N31" s="16">
        <v>166.8</v>
      </c>
      <c r="O31" s="17">
        <v>170.5</v>
      </c>
      <c r="P31" s="18">
        <v>171.4</v>
      </c>
      <c r="Q31" s="19">
        <v>171.7</v>
      </c>
      <c r="R31" s="16">
        <v>189.7</v>
      </c>
      <c r="S31" s="17">
        <v>192.2</v>
      </c>
      <c r="T31" s="18">
        <v>198.6</v>
      </c>
      <c r="U31" s="19">
        <v>203</v>
      </c>
      <c r="V31" s="16">
        <v>226</v>
      </c>
      <c r="W31" s="17">
        <v>228.4</v>
      </c>
      <c r="X31" s="18">
        <v>233.1</v>
      </c>
      <c r="Y31" s="19">
        <v>234.3</v>
      </c>
      <c r="Z31" s="16">
        <v>251.6</v>
      </c>
      <c r="AA31" s="17">
        <v>255.7</v>
      </c>
      <c r="AB31" s="18">
        <v>259.39999999999998</v>
      </c>
      <c r="AC31" s="19">
        <v>264.5</v>
      </c>
      <c r="AD31" s="16"/>
      <c r="AE31" s="17"/>
      <c r="AF31" s="18"/>
      <c r="AG31" s="19"/>
      <c r="AH31" s="16"/>
      <c r="AI31" s="17"/>
      <c r="AJ31" s="18"/>
      <c r="AK31" s="19"/>
      <c r="AL31" s="16"/>
      <c r="AM31" s="17"/>
      <c r="AN31" s="18"/>
      <c r="AO31" s="19">
        <v>429.7</v>
      </c>
      <c r="AP31" s="16">
        <v>486.1</v>
      </c>
      <c r="AQ31" s="17">
        <v>495.3</v>
      </c>
      <c r="AR31" s="18">
        <v>505.7</v>
      </c>
      <c r="AS31" s="19">
        <v>517</v>
      </c>
      <c r="AT31" s="16">
        <v>599.70000000000005</v>
      </c>
      <c r="AU31" s="17">
        <v>610.20000000000005</v>
      </c>
      <c r="AV31" s="18">
        <v>619.6</v>
      </c>
      <c r="AW31" s="19">
        <v>629.20000000000005</v>
      </c>
      <c r="AX31" s="88">
        <v>694.3</v>
      </c>
      <c r="AY31" s="89">
        <v>700.2</v>
      </c>
      <c r="AZ31" s="87">
        <v>705.3</v>
      </c>
      <c r="BA31" s="90">
        <v>710.7</v>
      </c>
      <c r="BB31" s="16">
        <v>768.3</v>
      </c>
      <c r="BC31" s="17">
        <v>595.4</v>
      </c>
      <c r="BD31" s="18">
        <v>782.5</v>
      </c>
      <c r="BE31" s="19">
        <v>789.6</v>
      </c>
      <c r="BF31" s="16">
        <v>863.8</v>
      </c>
      <c r="BG31" s="17">
        <v>876.4</v>
      </c>
      <c r="BH31" s="18">
        <v>884.3</v>
      </c>
      <c r="BI31" s="19">
        <v>1015.2</v>
      </c>
      <c r="BJ31" s="16">
        <v>1061.2</v>
      </c>
      <c r="BK31" s="16"/>
      <c r="BL31" s="16"/>
      <c r="BM31" s="17"/>
      <c r="BN31" s="18">
        <f>1097.3</f>
        <v>1097.3</v>
      </c>
      <c r="BO31" s="19">
        <f>1125.6</f>
        <v>1125.5999999999999</v>
      </c>
      <c r="BP31" s="88">
        <v>1371.5</v>
      </c>
      <c r="BQ31" s="25">
        <f>1432.8</f>
        <v>1432.8</v>
      </c>
      <c r="BR31" s="18">
        <v>1459.2</v>
      </c>
      <c r="BS31" s="19">
        <v>1493.5</v>
      </c>
      <c r="BT31" s="24">
        <v>1823.6</v>
      </c>
      <c r="BU31" s="68">
        <v>1992.3</v>
      </c>
      <c r="BV31" s="68">
        <v>2005.8</v>
      </c>
      <c r="BW31" s="25">
        <v>2035.6</v>
      </c>
      <c r="BX31" s="18">
        <v>2235.8000000000002</v>
      </c>
      <c r="BY31" s="19">
        <v>2347.8000000000002</v>
      </c>
      <c r="BZ31" s="88">
        <v>3082.7</v>
      </c>
      <c r="CA31" s="25">
        <v>3228.2</v>
      </c>
      <c r="CB31" s="18">
        <v>3235.3</v>
      </c>
      <c r="CC31" s="19">
        <v>3251.7</v>
      </c>
      <c r="CD31" s="88">
        <v>4227.2</v>
      </c>
      <c r="CE31" s="25">
        <v>4308.5</v>
      </c>
      <c r="CF31" s="14">
        <v>4578.3999999999996</v>
      </c>
      <c r="CG31" s="15">
        <v>4747.5</v>
      </c>
      <c r="CH31" s="15">
        <v>4747.5</v>
      </c>
      <c r="CI31" s="15">
        <v>4747.5</v>
      </c>
      <c r="CJ31" s="175">
        <v>5867.9</v>
      </c>
      <c r="CK31" s="175">
        <v>6067.3</v>
      </c>
      <c r="CL31" s="175">
        <v>6224</v>
      </c>
      <c r="CM31" s="175">
        <v>6385.4</v>
      </c>
      <c r="CN31" s="176">
        <v>7949.8</v>
      </c>
      <c r="CO31" s="177">
        <v>8262.7000000000007</v>
      </c>
      <c r="CP31" s="178"/>
      <c r="CQ31" s="179"/>
    </row>
    <row r="32" spans="1:95" ht="25.5" hidden="1" customHeight="1" x14ac:dyDescent="0.55000000000000004">
      <c r="A32" s="7"/>
      <c r="B32" s="16"/>
      <c r="C32" s="17"/>
      <c r="D32" s="18"/>
      <c r="E32" s="19"/>
      <c r="F32" s="16"/>
      <c r="G32" s="17"/>
      <c r="H32" s="18"/>
      <c r="I32" s="19"/>
      <c r="J32" s="16"/>
      <c r="K32" s="17"/>
      <c r="L32" s="18"/>
      <c r="M32" s="19"/>
      <c r="N32" s="16"/>
      <c r="O32" s="17"/>
      <c r="P32" s="18"/>
      <c r="Q32" s="19"/>
      <c r="R32" s="16"/>
      <c r="S32" s="17"/>
      <c r="T32" s="18"/>
      <c r="U32" s="19"/>
      <c r="V32" s="16"/>
      <c r="W32" s="17"/>
      <c r="X32" s="18"/>
      <c r="Y32" s="19"/>
      <c r="Z32" s="16"/>
      <c r="AA32" s="17"/>
      <c r="AB32" s="18"/>
      <c r="AC32" s="19"/>
      <c r="AD32" s="16"/>
      <c r="AE32" s="17"/>
      <c r="AF32" s="18"/>
      <c r="AG32" s="19"/>
      <c r="AH32" s="16"/>
      <c r="AI32" s="17"/>
      <c r="AJ32" s="18"/>
      <c r="AK32" s="19"/>
      <c r="AL32" s="16"/>
      <c r="AM32" s="17"/>
      <c r="AN32" s="18"/>
      <c r="AO32" s="19"/>
      <c r="AP32" s="16"/>
      <c r="AQ32" s="17"/>
      <c r="AR32" s="18"/>
      <c r="AS32" s="19"/>
      <c r="AT32" s="16"/>
      <c r="AU32" s="17"/>
      <c r="AV32" s="18"/>
      <c r="AW32" s="19"/>
      <c r="AX32" s="16"/>
      <c r="AY32" s="17"/>
      <c r="AZ32" s="18"/>
      <c r="BA32" s="19"/>
      <c r="BB32" s="16"/>
      <c r="BC32" s="17"/>
      <c r="BD32" s="18"/>
      <c r="BE32" s="19"/>
      <c r="BF32" s="16"/>
      <c r="BG32" s="17"/>
      <c r="BH32" s="18"/>
      <c r="BI32" s="19"/>
      <c r="BJ32" s="16"/>
      <c r="BK32" s="16"/>
      <c r="BL32" s="16"/>
      <c r="BM32" s="17"/>
      <c r="BN32" s="18"/>
      <c r="BO32" s="19"/>
      <c r="BP32" s="16"/>
      <c r="BQ32" s="17"/>
      <c r="BR32" s="18"/>
      <c r="BS32" s="19"/>
      <c r="BT32" s="24"/>
      <c r="BU32" s="68"/>
      <c r="BV32" s="68"/>
      <c r="BW32" s="25"/>
      <c r="BX32" s="18"/>
      <c r="BY32" s="19"/>
      <c r="BZ32" s="16"/>
      <c r="CA32" s="17"/>
      <c r="CB32" s="18"/>
      <c r="CC32" s="19"/>
      <c r="CD32" s="16"/>
      <c r="CE32" s="17"/>
      <c r="CF32" s="14"/>
      <c r="CG32" s="15"/>
      <c r="CH32" s="15"/>
      <c r="CI32" s="15"/>
      <c r="CN32" s="176"/>
      <c r="CO32" s="177"/>
      <c r="CP32" s="178"/>
      <c r="CQ32" s="179"/>
    </row>
    <row r="33" spans="1:95" ht="25.5" hidden="1" customHeight="1" x14ac:dyDescent="0.55000000000000004">
      <c r="A33" s="7"/>
      <c r="B33" s="16"/>
      <c r="C33" s="17"/>
      <c r="D33" s="18"/>
      <c r="E33" s="19"/>
      <c r="F33" s="16"/>
      <c r="G33" s="17"/>
      <c r="H33" s="18"/>
      <c r="I33" s="19"/>
      <c r="J33" s="16"/>
      <c r="K33" s="17"/>
      <c r="L33" s="18"/>
      <c r="M33" s="19"/>
      <c r="N33" s="16"/>
      <c r="O33" s="17"/>
      <c r="P33" s="18"/>
      <c r="Q33" s="19"/>
      <c r="R33" s="16"/>
      <c r="S33" s="17"/>
      <c r="T33" s="18"/>
      <c r="U33" s="19"/>
      <c r="V33" s="16"/>
      <c r="W33" s="17"/>
      <c r="X33" s="18"/>
      <c r="Y33" s="19"/>
      <c r="Z33" s="16"/>
      <c r="AA33" s="17"/>
      <c r="AB33" s="18"/>
      <c r="AC33" s="19"/>
      <c r="AD33" s="16"/>
      <c r="AE33" s="17"/>
      <c r="AF33" s="18"/>
      <c r="AG33" s="19"/>
      <c r="AH33" s="16"/>
      <c r="AI33" s="17"/>
      <c r="AJ33" s="18"/>
      <c r="AK33" s="19"/>
      <c r="AL33" s="16"/>
      <c r="AM33" s="17"/>
      <c r="AN33" s="18"/>
      <c r="AO33" s="19"/>
      <c r="AP33" s="16"/>
      <c r="AQ33" s="17"/>
      <c r="AR33" s="18"/>
      <c r="AS33" s="19"/>
      <c r="AT33" s="16"/>
      <c r="AU33" s="17"/>
      <c r="AV33" s="18"/>
      <c r="AW33" s="19"/>
      <c r="AX33" s="16"/>
      <c r="AY33" s="17"/>
      <c r="AZ33" s="18"/>
      <c r="BA33" s="19"/>
      <c r="BB33" s="16"/>
      <c r="BC33" s="17"/>
      <c r="BD33" s="18"/>
      <c r="BE33" s="19"/>
      <c r="BF33" s="16"/>
      <c r="BG33" s="17"/>
      <c r="BH33" s="18"/>
      <c r="BI33" s="19"/>
      <c r="BJ33" s="16"/>
      <c r="BK33" s="16"/>
      <c r="BL33" s="16"/>
      <c r="BM33" s="17"/>
      <c r="BN33" s="18"/>
      <c r="BO33" s="19"/>
      <c r="BP33" s="16"/>
      <c r="BQ33" s="17"/>
      <c r="BR33" s="18"/>
      <c r="BS33" s="19"/>
      <c r="BT33" s="24">
        <v>0</v>
      </c>
      <c r="BU33" s="68">
        <v>0</v>
      </c>
      <c r="BV33" s="68">
        <v>0</v>
      </c>
      <c r="BW33" s="25">
        <v>0</v>
      </c>
      <c r="BX33" s="18"/>
      <c r="BY33" s="19"/>
      <c r="BZ33" s="16"/>
      <c r="CA33" s="17"/>
      <c r="CB33" s="18"/>
      <c r="CC33" s="19"/>
      <c r="CD33" s="16"/>
      <c r="CE33" s="17"/>
      <c r="CF33" s="14"/>
      <c r="CG33" s="15"/>
      <c r="CH33" s="15"/>
      <c r="CI33" s="15"/>
      <c r="CN33" s="176"/>
      <c r="CO33" s="177"/>
      <c r="CP33" s="178"/>
      <c r="CQ33" s="179"/>
    </row>
    <row r="34" spans="1:95" ht="25.5" hidden="1" customHeight="1" x14ac:dyDescent="0.55000000000000004">
      <c r="A34" s="7"/>
      <c r="B34" s="16"/>
      <c r="C34" s="17"/>
      <c r="D34" s="18"/>
      <c r="E34" s="19"/>
      <c r="F34" s="16"/>
      <c r="G34" s="17"/>
      <c r="H34" s="18"/>
      <c r="I34" s="19"/>
      <c r="J34" s="16"/>
      <c r="K34" s="17"/>
      <c r="L34" s="18"/>
      <c r="M34" s="19"/>
      <c r="N34" s="16"/>
      <c r="O34" s="17"/>
      <c r="P34" s="18"/>
      <c r="Q34" s="19"/>
      <c r="R34" s="16"/>
      <c r="S34" s="17"/>
      <c r="T34" s="18"/>
      <c r="U34" s="19"/>
      <c r="V34" s="16"/>
      <c r="W34" s="17"/>
      <c r="X34" s="18"/>
      <c r="Y34" s="19"/>
      <c r="Z34" s="16"/>
      <c r="AA34" s="17"/>
      <c r="AB34" s="18"/>
      <c r="AC34" s="19"/>
      <c r="AD34" s="16"/>
      <c r="AE34" s="17"/>
      <c r="AF34" s="18"/>
      <c r="AG34" s="19"/>
      <c r="AH34" s="16"/>
      <c r="AI34" s="17"/>
      <c r="AJ34" s="18"/>
      <c r="AK34" s="19"/>
      <c r="AL34" s="16"/>
      <c r="AM34" s="17"/>
      <c r="AN34" s="18"/>
      <c r="AO34" s="19"/>
      <c r="AP34" s="16"/>
      <c r="AQ34" s="17"/>
      <c r="AR34" s="18"/>
      <c r="AS34" s="19"/>
      <c r="AT34" s="16"/>
      <c r="AU34" s="17"/>
      <c r="AV34" s="18"/>
      <c r="AW34" s="19"/>
      <c r="AX34" s="16"/>
      <c r="AY34" s="17"/>
      <c r="AZ34" s="18"/>
      <c r="BA34" s="19"/>
      <c r="BB34" s="16"/>
      <c r="BC34" s="17"/>
      <c r="BD34" s="18"/>
      <c r="BE34" s="19"/>
      <c r="BF34" s="16"/>
      <c r="BG34" s="17"/>
      <c r="BH34" s="18"/>
      <c r="BI34" s="19"/>
      <c r="BJ34" s="16"/>
      <c r="BK34" s="16"/>
      <c r="BL34" s="16"/>
      <c r="BM34" s="17"/>
      <c r="BN34" s="18"/>
      <c r="BO34" s="19"/>
      <c r="BP34" s="16"/>
      <c r="BQ34" s="17"/>
      <c r="BR34" s="18"/>
      <c r="BS34" s="19"/>
      <c r="BT34" s="24">
        <v>0</v>
      </c>
      <c r="BU34" s="68">
        <v>0</v>
      </c>
      <c r="BV34" s="68">
        <v>0</v>
      </c>
      <c r="BW34" s="25">
        <v>0</v>
      </c>
      <c r="BX34" s="18"/>
      <c r="BY34" s="19"/>
      <c r="BZ34" s="16"/>
      <c r="CA34" s="17"/>
      <c r="CB34" s="18"/>
      <c r="CC34" s="19"/>
      <c r="CD34" s="16"/>
      <c r="CE34" s="17"/>
      <c r="CF34" s="14"/>
      <c r="CG34" s="15"/>
      <c r="CH34" s="15"/>
      <c r="CI34" s="15"/>
      <c r="CN34" s="176"/>
      <c r="CO34" s="177"/>
      <c r="CP34" s="178"/>
      <c r="CQ34" s="179"/>
    </row>
    <row r="35" spans="1:95" ht="25.5" hidden="1" customHeight="1" x14ac:dyDescent="0.55000000000000004">
      <c r="A35" s="7"/>
      <c r="B35" s="16"/>
      <c r="C35" s="17"/>
      <c r="D35" s="18"/>
      <c r="E35" s="19"/>
      <c r="F35" s="16"/>
      <c r="G35" s="17"/>
      <c r="H35" s="18"/>
      <c r="I35" s="19"/>
      <c r="J35" s="16"/>
      <c r="K35" s="17"/>
      <c r="L35" s="18"/>
      <c r="M35" s="19"/>
      <c r="N35" s="16"/>
      <c r="O35" s="17"/>
      <c r="P35" s="18"/>
      <c r="Q35" s="19"/>
      <c r="R35" s="16"/>
      <c r="S35" s="17"/>
      <c r="T35" s="18"/>
      <c r="U35" s="19"/>
      <c r="V35" s="16"/>
      <c r="W35" s="17"/>
      <c r="X35" s="18"/>
      <c r="Y35" s="19"/>
      <c r="Z35" s="16"/>
      <c r="AA35" s="17"/>
      <c r="AB35" s="18"/>
      <c r="AC35" s="19"/>
      <c r="AD35" s="16"/>
      <c r="AE35" s="17"/>
      <c r="AF35" s="18"/>
      <c r="AG35" s="19"/>
      <c r="AH35" s="16"/>
      <c r="AI35" s="17"/>
      <c r="AJ35" s="18"/>
      <c r="AK35" s="19"/>
      <c r="AL35" s="16"/>
      <c r="AM35" s="17"/>
      <c r="AN35" s="18"/>
      <c r="AO35" s="19"/>
      <c r="AP35" s="16"/>
      <c r="AQ35" s="17"/>
      <c r="AR35" s="18"/>
      <c r="AS35" s="19"/>
      <c r="AT35" s="16"/>
      <c r="AU35" s="17"/>
      <c r="AV35" s="18"/>
      <c r="AW35" s="19"/>
      <c r="AX35" s="16"/>
      <c r="AY35" s="17"/>
      <c r="AZ35" s="18"/>
      <c r="BA35" s="19"/>
      <c r="BB35" s="16"/>
      <c r="BC35" s="17"/>
      <c r="BD35" s="18"/>
      <c r="BE35" s="19"/>
      <c r="BF35" s="16"/>
      <c r="BG35" s="17"/>
      <c r="BH35" s="18"/>
      <c r="BI35" s="19"/>
      <c r="BJ35" s="16"/>
      <c r="BK35" s="16"/>
      <c r="BL35" s="16"/>
      <c r="BM35" s="17"/>
      <c r="BN35" s="18"/>
      <c r="BO35" s="19"/>
      <c r="BP35" s="16"/>
      <c r="BQ35" s="17"/>
      <c r="BR35" s="18"/>
      <c r="BS35" s="19"/>
      <c r="BT35" s="24">
        <v>0</v>
      </c>
      <c r="BU35" s="68">
        <v>0</v>
      </c>
      <c r="BV35" s="68">
        <v>0</v>
      </c>
      <c r="BW35" s="25">
        <v>0</v>
      </c>
      <c r="BX35" s="18"/>
      <c r="BY35" s="19"/>
      <c r="BZ35" s="16"/>
      <c r="CA35" s="17"/>
      <c r="CB35" s="18"/>
      <c r="CC35" s="19"/>
      <c r="CD35" s="16"/>
      <c r="CE35" s="17"/>
      <c r="CF35" s="14"/>
      <c r="CG35" s="15"/>
      <c r="CH35" s="15"/>
      <c r="CI35" s="15"/>
      <c r="CN35" s="176"/>
      <c r="CO35" s="177"/>
      <c r="CP35" s="178"/>
      <c r="CQ35" s="179"/>
    </row>
    <row r="36" spans="1:95" ht="25.5" hidden="1" customHeight="1" x14ac:dyDescent="0.55000000000000004">
      <c r="A36" s="7"/>
      <c r="B36" s="16"/>
      <c r="C36" s="17"/>
      <c r="D36" s="18"/>
      <c r="E36" s="19"/>
      <c r="F36" s="16"/>
      <c r="G36" s="17"/>
      <c r="H36" s="18"/>
      <c r="I36" s="19"/>
      <c r="J36" s="16"/>
      <c r="K36" s="17"/>
      <c r="L36" s="18"/>
      <c r="M36" s="19"/>
      <c r="N36" s="16"/>
      <c r="O36" s="17"/>
      <c r="P36" s="18"/>
      <c r="Q36" s="19"/>
      <c r="R36" s="16"/>
      <c r="S36" s="17"/>
      <c r="T36" s="18"/>
      <c r="U36" s="19"/>
      <c r="V36" s="16"/>
      <c r="W36" s="17"/>
      <c r="X36" s="18"/>
      <c r="Y36" s="19"/>
      <c r="Z36" s="16"/>
      <c r="AA36" s="17"/>
      <c r="AB36" s="18"/>
      <c r="AC36" s="19"/>
      <c r="AD36" s="16"/>
      <c r="AE36" s="17"/>
      <c r="AF36" s="18"/>
      <c r="AG36" s="19"/>
      <c r="AH36" s="16"/>
      <c r="AI36" s="17"/>
      <c r="AJ36" s="18"/>
      <c r="AK36" s="19"/>
      <c r="AL36" s="16"/>
      <c r="AM36" s="17"/>
      <c r="AN36" s="18"/>
      <c r="AO36" s="19"/>
      <c r="AP36" s="16"/>
      <c r="AQ36" s="17"/>
      <c r="AR36" s="18"/>
      <c r="AS36" s="19"/>
      <c r="AT36" s="16"/>
      <c r="AU36" s="17"/>
      <c r="AV36" s="18"/>
      <c r="AW36" s="19"/>
      <c r="AX36" s="16"/>
      <c r="AY36" s="17"/>
      <c r="AZ36" s="18"/>
      <c r="BA36" s="19"/>
      <c r="BB36" s="16"/>
      <c r="BC36" s="17"/>
      <c r="BD36" s="18"/>
      <c r="BE36" s="19"/>
      <c r="BF36" s="16"/>
      <c r="BG36" s="17"/>
      <c r="BH36" s="18"/>
      <c r="BI36" s="19"/>
      <c r="BJ36" s="16"/>
      <c r="BK36" s="16"/>
      <c r="BL36" s="16"/>
      <c r="BM36" s="17"/>
      <c r="BN36" s="18"/>
      <c r="BO36" s="19"/>
      <c r="BP36" s="16"/>
      <c r="BQ36" s="17"/>
      <c r="BR36" s="18"/>
      <c r="BS36" s="19"/>
      <c r="BT36" s="24">
        <v>0</v>
      </c>
      <c r="BU36" s="68">
        <v>0</v>
      </c>
      <c r="BV36" s="68">
        <v>0</v>
      </c>
      <c r="BW36" s="25">
        <v>0</v>
      </c>
      <c r="BX36" s="18"/>
      <c r="BY36" s="19"/>
      <c r="BZ36" s="16"/>
      <c r="CA36" s="17"/>
      <c r="CB36" s="18"/>
      <c r="CC36" s="19"/>
      <c r="CD36" s="16"/>
      <c r="CE36" s="17"/>
      <c r="CF36" s="14"/>
      <c r="CG36" s="15"/>
      <c r="CH36" s="15"/>
      <c r="CI36" s="15"/>
      <c r="CN36" s="176"/>
      <c r="CO36" s="177"/>
      <c r="CP36" s="178"/>
      <c r="CQ36" s="179"/>
    </row>
    <row r="37" spans="1:95" ht="25.5" hidden="1" customHeight="1" x14ac:dyDescent="0.55000000000000004">
      <c r="A37" s="7"/>
      <c r="B37" s="16"/>
      <c r="C37" s="17"/>
      <c r="D37" s="18"/>
      <c r="E37" s="19"/>
      <c r="F37" s="16"/>
      <c r="G37" s="17"/>
      <c r="H37" s="18"/>
      <c r="I37" s="19"/>
      <c r="J37" s="16"/>
      <c r="K37" s="17"/>
      <c r="L37" s="18"/>
      <c r="M37" s="19"/>
      <c r="N37" s="16"/>
      <c r="O37" s="17"/>
      <c r="P37" s="18"/>
      <c r="Q37" s="19"/>
      <c r="R37" s="16"/>
      <c r="S37" s="17"/>
      <c r="T37" s="18"/>
      <c r="U37" s="19"/>
      <c r="V37" s="16"/>
      <c r="W37" s="17"/>
      <c r="X37" s="18"/>
      <c r="Y37" s="19"/>
      <c r="Z37" s="16"/>
      <c r="AA37" s="17"/>
      <c r="AB37" s="18"/>
      <c r="AC37" s="19"/>
      <c r="AD37" s="16"/>
      <c r="AE37" s="17"/>
      <c r="AF37" s="18"/>
      <c r="AG37" s="19"/>
      <c r="AH37" s="16"/>
      <c r="AI37" s="17"/>
      <c r="AJ37" s="18"/>
      <c r="AK37" s="19"/>
      <c r="AL37" s="16"/>
      <c r="AM37" s="17"/>
      <c r="AN37" s="18"/>
      <c r="AO37" s="19"/>
      <c r="AP37" s="16"/>
      <c r="AQ37" s="17"/>
      <c r="AR37" s="18"/>
      <c r="AS37" s="19"/>
      <c r="AT37" s="16"/>
      <c r="AU37" s="17"/>
      <c r="AV37" s="18"/>
      <c r="AW37" s="19"/>
      <c r="AX37" s="16"/>
      <c r="AY37" s="17"/>
      <c r="AZ37" s="18"/>
      <c r="BA37" s="19"/>
      <c r="BB37" s="16"/>
      <c r="BC37" s="17"/>
      <c r="BD37" s="18"/>
      <c r="BE37" s="19"/>
      <c r="BF37" s="16"/>
      <c r="BG37" s="17"/>
      <c r="BH37" s="18"/>
      <c r="BI37" s="19"/>
      <c r="BJ37" s="16"/>
      <c r="BK37" s="16"/>
      <c r="BL37" s="16"/>
      <c r="BM37" s="17"/>
      <c r="BN37" s="18"/>
      <c r="BO37" s="19"/>
      <c r="BP37" s="16"/>
      <c r="BQ37" s="17"/>
      <c r="BR37" s="18"/>
      <c r="BS37" s="19"/>
      <c r="BT37" s="24">
        <v>0</v>
      </c>
      <c r="BU37" s="68">
        <v>0</v>
      </c>
      <c r="BV37" s="68">
        <v>0</v>
      </c>
      <c r="BW37" s="25">
        <v>0</v>
      </c>
      <c r="BX37" s="18"/>
      <c r="BY37" s="19"/>
      <c r="BZ37" s="16"/>
      <c r="CA37" s="17"/>
      <c r="CB37" s="18"/>
      <c r="CC37" s="19"/>
      <c r="CD37" s="16"/>
      <c r="CE37" s="17"/>
      <c r="CF37" s="14"/>
      <c r="CG37" s="15"/>
      <c r="CH37" s="15"/>
      <c r="CI37" s="15"/>
      <c r="CN37" s="176"/>
      <c r="CO37" s="177"/>
      <c r="CP37" s="178"/>
      <c r="CQ37" s="179"/>
    </row>
    <row r="38" spans="1:95" ht="25.5" hidden="1" customHeight="1" x14ac:dyDescent="0.55000000000000004">
      <c r="A38" s="7"/>
      <c r="B38" s="16"/>
      <c r="C38" s="17"/>
      <c r="D38" s="18"/>
      <c r="E38" s="19"/>
      <c r="F38" s="16"/>
      <c r="G38" s="17"/>
      <c r="H38" s="18"/>
      <c r="I38" s="19"/>
      <c r="J38" s="16"/>
      <c r="K38" s="17"/>
      <c r="L38" s="18"/>
      <c r="M38" s="19"/>
      <c r="N38" s="16"/>
      <c r="O38" s="17"/>
      <c r="P38" s="18"/>
      <c r="Q38" s="19"/>
      <c r="R38" s="16"/>
      <c r="S38" s="17"/>
      <c r="T38" s="18"/>
      <c r="U38" s="19"/>
      <c r="V38" s="16"/>
      <c r="W38" s="17"/>
      <c r="X38" s="18"/>
      <c r="Y38" s="19"/>
      <c r="Z38" s="16"/>
      <c r="AA38" s="17"/>
      <c r="AB38" s="18"/>
      <c r="AC38" s="19"/>
      <c r="AD38" s="16"/>
      <c r="AE38" s="17"/>
      <c r="AF38" s="18"/>
      <c r="AG38" s="19"/>
      <c r="AH38" s="16"/>
      <c r="AI38" s="17"/>
      <c r="AJ38" s="18"/>
      <c r="AK38" s="19"/>
      <c r="AL38" s="16"/>
      <c r="AM38" s="17"/>
      <c r="AN38" s="18"/>
      <c r="AO38" s="19"/>
      <c r="AP38" s="16"/>
      <c r="AQ38" s="17"/>
      <c r="AR38" s="18"/>
      <c r="AS38" s="19"/>
      <c r="AT38" s="16"/>
      <c r="AU38" s="17"/>
      <c r="AV38" s="18"/>
      <c r="AW38" s="19"/>
      <c r="AX38" s="16"/>
      <c r="AY38" s="17"/>
      <c r="AZ38" s="18"/>
      <c r="BA38" s="19"/>
      <c r="BB38" s="16"/>
      <c r="BC38" s="17"/>
      <c r="BD38" s="18"/>
      <c r="BE38" s="19"/>
      <c r="BF38" s="16"/>
      <c r="BG38" s="17"/>
      <c r="BH38" s="18"/>
      <c r="BI38" s="19"/>
      <c r="BJ38" s="16"/>
      <c r="BK38" s="16"/>
      <c r="BL38" s="16"/>
      <c r="BM38" s="17"/>
      <c r="BN38" s="18"/>
      <c r="BO38" s="19"/>
      <c r="BP38" s="16"/>
      <c r="BQ38" s="17"/>
      <c r="BR38" s="18"/>
      <c r="BS38" s="19"/>
      <c r="BT38" s="24">
        <v>0</v>
      </c>
      <c r="BU38" s="68">
        <v>0</v>
      </c>
      <c r="BV38" s="68">
        <v>0</v>
      </c>
      <c r="BW38" s="25">
        <v>0</v>
      </c>
      <c r="BX38" s="18"/>
      <c r="BY38" s="19"/>
      <c r="BZ38" s="16"/>
      <c r="CA38" s="17"/>
      <c r="CB38" s="18"/>
      <c r="CC38" s="19"/>
      <c r="CD38" s="16"/>
      <c r="CE38" s="17"/>
      <c r="CF38" s="14"/>
      <c r="CG38" s="15"/>
      <c r="CH38" s="15"/>
      <c r="CI38" s="15"/>
      <c r="CN38" s="176"/>
      <c r="CO38" s="177"/>
      <c r="CP38" s="178"/>
      <c r="CQ38" s="179"/>
    </row>
    <row r="39" spans="1:95" ht="25.5" hidden="1" customHeight="1" x14ac:dyDescent="0.55000000000000004">
      <c r="A39" s="7"/>
      <c r="B39" s="16"/>
      <c r="C39" s="17"/>
      <c r="D39" s="18"/>
      <c r="E39" s="19"/>
      <c r="F39" s="16"/>
      <c r="G39" s="17"/>
      <c r="H39" s="18"/>
      <c r="I39" s="19"/>
      <c r="J39" s="16"/>
      <c r="K39" s="17"/>
      <c r="L39" s="18"/>
      <c r="M39" s="19"/>
      <c r="N39" s="16"/>
      <c r="O39" s="17"/>
      <c r="P39" s="18"/>
      <c r="Q39" s="19"/>
      <c r="R39" s="16"/>
      <c r="S39" s="17"/>
      <c r="T39" s="18"/>
      <c r="U39" s="19"/>
      <c r="V39" s="16"/>
      <c r="W39" s="17"/>
      <c r="X39" s="18"/>
      <c r="Y39" s="19"/>
      <c r="Z39" s="16"/>
      <c r="AA39" s="17"/>
      <c r="AB39" s="18"/>
      <c r="AC39" s="19"/>
      <c r="AD39" s="16"/>
      <c r="AE39" s="17"/>
      <c r="AF39" s="18"/>
      <c r="AG39" s="19"/>
      <c r="AH39" s="16"/>
      <c r="AI39" s="17"/>
      <c r="AJ39" s="18"/>
      <c r="AK39" s="19"/>
      <c r="AL39" s="16"/>
      <c r="AM39" s="17"/>
      <c r="AN39" s="18"/>
      <c r="AO39" s="19"/>
      <c r="AP39" s="16"/>
      <c r="AQ39" s="17"/>
      <c r="AR39" s="18"/>
      <c r="AS39" s="19"/>
      <c r="AT39" s="16"/>
      <c r="AU39" s="17"/>
      <c r="AV39" s="18"/>
      <c r="AW39" s="19"/>
      <c r="AX39" s="16"/>
      <c r="AY39" s="17"/>
      <c r="AZ39" s="18"/>
      <c r="BA39" s="19"/>
      <c r="BB39" s="16"/>
      <c r="BC39" s="17"/>
      <c r="BD39" s="18"/>
      <c r="BE39" s="19"/>
      <c r="BF39" s="16"/>
      <c r="BG39" s="17"/>
      <c r="BH39" s="18"/>
      <c r="BI39" s="19"/>
      <c r="BJ39" s="16"/>
      <c r="BK39" s="16"/>
      <c r="BL39" s="16"/>
      <c r="BM39" s="17"/>
      <c r="BN39" s="18"/>
      <c r="BO39" s="19"/>
      <c r="BP39" s="16"/>
      <c r="BQ39" s="17"/>
      <c r="BR39" s="18"/>
      <c r="BS39" s="19"/>
      <c r="BT39" s="24">
        <v>0</v>
      </c>
      <c r="BU39" s="68">
        <v>0</v>
      </c>
      <c r="BV39" s="68">
        <v>0</v>
      </c>
      <c r="BW39" s="25">
        <v>0</v>
      </c>
      <c r="BX39" s="18"/>
      <c r="BY39" s="19"/>
      <c r="BZ39" s="16"/>
      <c r="CA39" s="17"/>
      <c r="CB39" s="18"/>
      <c r="CC39" s="19"/>
      <c r="CD39" s="16"/>
      <c r="CE39" s="17"/>
      <c r="CF39" s="14"/>
      <c r="CG39" s="15"/>
      <c r="CH39" s="15"/>
      <c r="CI39" s="15"/>
      <c r="CN39" s="176"/>
      <c r="CO39" s="177"/>
      <c r="CP39" s="178"/>
      <c r="CQ39" s="179"/>
    </row>
    <row r="40" spans="1:95" ht="25.5" hidden="1" customHeight="1" x14ac:dyDescent="0.55000000000000004">
      <c r="A40" s="7"/>
      <c r="B40" s="16"/>
      <c r="C40" s="17"/>
      <c r="D40" s="18"/>
      <c r="E40" s="19"/>
      <c r="F40" s="16"/>
      <c r="G40" s="17"/>
      <c r="H40" s="18"/>
      <c r="I40" s="19"/>
      <c r="J40" s="16"/>
      <c r="K40" s="17"/>
      <c r="L40" s="18"/>
      <c r="M40" s="19"/>
      <c r="N40" s="16"/>
      <c r="O40" s="17"/>
      <c r="P40" s="18"/>
      <c r="Q40" s="19"/>
      <c r="R40" s="16"/>
      <c r="S40" s="17"/>
      <c r="T40" s="18"/>
      <c r="U40" s="19"/>
      <c r="V40" s="16"/>
      <c r="W40" s="17"/>
      <c r="X40" s="18"/>
      <c r="Y40" s="19"/>
      <c r="Z40" s="16"/>
      <c r="AA40" s="17"/>
      <c r="AB40" s="18"/>
      <c r="AC40" s="19"/>
      <c r="AD40" s="16"/>
      <c r="AE40" s="17"/>
      <c r="AF40" s="18"/>
      <c r="AG40" s="19"/>
      <c r="AH40" s="16"/>
      <c r="AI40" s="17"/>
      <c r="AJ40" s="18"/>
      <c r="AK40" s="19"/>
      <c r="AL40" s="16"/>
      <c r="AM40" s="17"/>
      <c r="AN40" s="18"/>
      <c r="AO40" s="19"/>
      <c r="AP40" s="16"/>
      <c r="AQ40" s="17"/>
      <c r="AR40" s="18"/>
      <c r="AS40" s="19"/>
      <c r="AT40" s="16"/>
      <c r="AU40" s="17"/>
      <c r="AV40" s="18"/>
      <c r="AW40" s="19"/>
      <c r="AX40" s="16"/>
      <c r="AY40" s="17"/>
      <c r="AZ40" s="18"/>
      <c r="BA40" s="19"/>
      <c r="BB40" s="16"/>
      <c r="BC40" s="17"/>
      <c r="BD40" s="18"/>
      <c r="BE40" s="19"/>
      <c r="BF40" s="16"/>
      <c r="BG40" s="17"/>
      <c r="BH40" s="18"/>
      <c r="BI40" s="19"/>
      <c r="BJ40" s="16"/>
      <c r="BK40" s="16"/>
      <c r="BL40" s="16"/>
      <c r="BM40" s="17"/>
      <c r="BN40" s="18"/>
      <c r="BO40" s="19"/>
      <c r="BP40" s="16"/>
      <c r="BQ40" s="17"/>
      <c r="BR40" s="18"/>
      <c r="BS40" s="19"/>
      <c r="BT40" s="24">
        <v>0</v>
      </c>
      <c r="BU40" s="68">
        <v>0</v>
      </c>
      <c r="BV40" s="68">
        <v>0</v>
      </c>
      <c r="BW40" s="25">
        <v>0</v>
      </c>
      <c r="BX40" s="18"/>
      <c r="BY40" s="19"/>
      <c r="BZ40" s="16"/>
      <c r="CA40" s="17"/>
      <c r="CB40" s="18"/>
      <c r="CC40" s="19"/>
      <c r="CD40" s="16"/>
      <c r="CE40" s="17"/>
      <c r="CF40" s="14"/>
      <c r="CG40" s="15"/>
      <c r="CH40" s="15"/>
      <c r="CI40" s="15"/>
      <c r="CN40" s="176"/>
      <c r="CO40" s="177"/>
      <c r="CP40" s="178"/>
      <c r="CQ40" s="179"/>
    </row>
    <row r="41" spans="1:95" ht="25.5" hidden="1" customHeight="1" x14ac:dyDescent="0.55000000000000004">
      <c r="A41" s="7"/>
      <c r="B41" s="16"/>
      <c r="C41" s="17"/>
      <c r="D41" s="18"/>
      <c r="E41" s="19"/>
      <c r="F41" s="16"/>
      <c r="G41" s="17"/>
      <c r="H41" s="18"/>
      <c r="I41" s="19"/>
      <c r="J41" s="16"/>
      <c r="K41" s="17"/>
      <c r="L41" s="18"/>
      <c r="M41" s="19"/>
      <c r="N41" s="16"/>
      <c r="O41" s="17"/>
      <c r="P41" s="18"/>
      <c r="Q41" s="19"/>
      <c r="R41" s="16"/>
      <c r="S41" s="17"/>
      <c r="T41" s="18"/>
      <c r="U41" s="19"/>
      <c r="V41" s="16"/>
      <c r="W41" s="17"/>
      <c r="X41" s="18"/>
      <c r="Y41" s="19"/>
      <c r="Z41" s="16"/>
      <c r="AA41" s="17"/>
      <c r="AB41" s="18"/>
      <c r="AC41" s="19"/>
      <c r="AD41" s="16"/>
      <c r="AE41" s="17"/>
      <c r="AF41" s="18"/>
      <c r="AG41" s="19"/>
      <c r="AH41" s="16"/>
      <c r="AI41" s="17"/>
      <c r="AJ41" s="18"/>
      <c r="AK41" s="19"/>
      <c r="AL41" s="16"/>
      <c r="AM41" s="17"/>
      <c r="AN41" s="18"/>
      <c r="AO41" s="19"/>
      <c r="AP41" s="16"/>
      <c r="AQ41" s="17"/>
      <c r="AR41" s="18"/>
      <c r="AS41" s="19"/>
      <c r="AT41" s="16"/>
      <c r="AU41" s="17"/>
      <c r="AV41" s="18"/>
      <c r="AW41" s="19"/>
      <c r="AX41" s="16"/>
      <c r="AY41" s="17"/>
      <c r="AZ41" s="18"/>
      <c r="BA41" s="19"/>
      <c r="BB41" s="16"/>
      <c r="BC41" s="17"/>
      <c r="BD41" s="18"/>
      <c r="BE41" s="19"/>
      <c r="BF41" s="16"/>
      <c r="BG41" s="17"/>
      <c r="BH41" s="18"/>
      <c r="BI41" s="19"/>
      <c r="BJ41" s="16"/>
      <c r="BK41" s="16"/>
      <c r="BL41" s="16"/>
      <c r="BM41" s="17"/>
      <c r="BN41" s="18"/>
      <c r="BO41" s="19"/>
      <c r="BP41" s="16"/>
      <c r="BQ41" s="17"/>
      <c r="BR41" s="18"/>
      <c r="BS41" s="19"/>
      <c r="BT41" s="24">
        <v>0</v>
      </c>
      <c r="BU41" s="68">
        <v>0</v>
      </c>
      <c r="BV41" s="68">
        <v>0</v>
      </c>
      <c r="BW41" s="25">
        <v>0</v>
      </c>
      <c r="BX41" s="18"/>
      <c r="BY41" s="19"/>
      <c r="BZ41" s="16"/>
      <c r="CA41" s="17"/>
      <c r="CB41" s="18"/>
      <c r="CC41" s="19"/>
      <c r="CD41" s="16"/>
      <c r="CE41" s="17"/>
      <c r="CF41" s="14"/>
      <c r="CG41" s="15"/>
      <c r="CH41" s="15"/>
      <c r="CI41" s="15"/>
      <c r="CN41" s="176"/>
      <c r="CO41" s="177"/>
      <c r="CP41" s="178"/>
      <c r="CQ41" s="179"/>
    </row>
    <row r="42" spans="1:95" ht="25.5" hidden="1" customHeight="1" x14ac:dyDescent="0.55000000000000004">
      <c r="A42" s="7"/>
      <c r="B42" s="16"/>
      <c r="C42" s="17"/>
      <c r="D42" s="18"/>
      <c r="E42" s="19"/>
      <c r="F42" s="16"/>
      <c r="G42" s="17"/>
      <c r="H42" s="18"/>
      <c r="I42" s="19"/>
      <c r="J42" s="16"/>
      <c r="K42" s="17"/>
      <c r="L42" s="18"/>
      <c r="M42" s="19"/>
      <c r="N42" s="16"/>
      <c r="O42" s="17"/>
      <c r="P42" s="18"/>
      <c r="Q42" s="19"/>
      <c r="R42" s="16"/>
      <c r="S42" s="17"/>
      <c r="T42" s="18"/>
      <c r="U42" s="19"/>
      <c r="V42" s="16"/>
      <c r="W42" s="17"/>
      <c r="X42" s="18"/>
      <c r="Y42" s="19"/>
      <c r="Z42" s="16"/>
      <c r="AA42" s="17"/>
      <c r="AB42" s="18"/>
      <c r="AC42" s="19"/>
      <c r="AD42" s="16"/>
      <c r="AE42" s="17"/>
      <c r="AF42" s="18"/>
      <c r="AG42" s="19"/>
      <c r="AH42" s="16"/>
      <c r="AI42" s="17"/>
      <c r="AJ42" s="18"/>
      <c r="AK42" s="19"/>
      <c r="AL42" s="16"/>
      <c r="AM42" s="17"/>
      <c r="AN42" s="18"/>
      <c r="AO42" s="19"/>
      <c r="AP42" s="16"/>
      <c r="AQ42" s="17"/>
      <c r="AR42" s="18"/>
      <c r="AS42" s="19"/>
      <c r="AT42" s="16"/>
      <c r="AU42" s="17"/>
      <c r="AV42" s="18"/>
      <c r="AW42" s="19"/>
      <c r="AX42" s="16"/>
      <c r="AY42" s="17"/>
      <c r="AZ42" s="18"/>
      <c r="BA42" s="19"/>
      <c r="BB42" s="16"/>
      <c r="BC42" s="17"/>
      <c r="BD42" s="18"/>
      <c r="BE42" s="19"/>
      <c r="BF42" s="16"/>
      <c r="BG42" s="17"/>
      <c r="BH42" s="18"/>
      <c r="BI42" s="19"/>
      <c r="BJ42" s="16"/>
      <c r="BK42" s="16"/>
      <c r="BL42" s="16"/>
      <c r="BM42" s="17"/>
      <c r="BN42" s="18"/>
      <c r="BO42" s="19"/>
      <c r="BP42" s="16"/>
      <c r="BQ42" s="17"/>
      <c r="BR42" s="18"/>
      <c r="BS42" s="19"/>
      <c r="BT42" s="24">
        <v>0</v>
      </c>
      <c r="BU42" s="68">
        <v>0</v>
      </c>
      <c r="BV42" s="68">
        <v>0</v>
      </c>
      <c r="BW42" s="25">
        <v>0</v>
      </c>
      <c r="BX42" s="18"/>
      <c r="BY42" s="19"/>
      <c r="BZ42" s="16"/>
      <c r="CA42" s="17"/>
      <c r="CB42" s="18"/>
      <c r="CC42" s="19"/>
      <c r="CD42" s="16"/>
      <c r="CE42" s="17"/>
      <c r="CF42" s="14"/>
      <c r="CG42" s="15"/>
      <c r="CH42" s="15"/>
      <c r="CI42" s="15"/>
      <c r="CN42" s="176"/>
      <c r="CO42" s="177"/>
      <c r="CP42" s="178"/>
      <c r="CQ42" s="179"/>
    </row>
    <row r="43" spans="1:95" ht="25.5" hidden="1" customHeight="1" x14ac:dyDescent="0.55000000000000004">
      <c r="A43" s="7"/>
      <c r="B43" s="16"/>
      <c r="C43" s="17"/>
      <c r="D43" s="18"/>
      <c r="E43" s="19"/>
      <c r="F43" s="16"/>
      <c r="G43" s="17"/>
      <c r="H43" s="18"/>
      <c r="I43" s="19"/>
      <c r="J43" s="16"/>
      <c r="K43" s="17"/>
      <c r="L43" s="18"/>
      <c r="M43" s="19"/>
      <c r="N43" s="16"/>
      <c r="O43" s="17"/>
      <c r="P43" s="18"/>
      <c r="Q43" s="19"/>
      <c r="R43" s="16"/>
      <c r="S43" s="17"/>
      <c r="T43" s="18"/>
      <c r="U43" s="19"/>
      <c r="V43" s="16"/>
      <c r="W43" s="17"/>
      <c r="X43" s="18"/>
      <c r="Y43" s="19"/>
      <c r="Z43" s="16"/>
      <c r="AA43" s="17"/>
      <c r="AB43" s="18"/>
      <c r="AC43" s="19"/>
      <c r="AD43" s="16"/>
      <c r="AE43" s="17"/>
      <c r="AF43" s="18"/>
      <c r="AG43" s="19"/>
      <c r="AH43" s="16"/>
      <c r="AI43" s="17"/>
      <c r="AJ43" s="18"/>
      <c r="AK43" s="19"/>
      <c r="AL43" s="16"/>
      <c r="AM43" s="17"/>
      <c r="AN43" s="18"/>
      <c r="AO43" s="19"/>
      <c r="AP43" s="16"/>
      <c r="AQ43" s="17"/>
      <c r="AR43" s="18"/>
      <c r="AS43" s="19"/>
      <c r="AT43" s="16"/>
      <c r="AU43" s="17"/>
      <c r="AV43" s="18"/>
      <c r="AW43" s="19"/>
      <c r="AX43" s="16"/>
      <c r="AY43" s="17"/>
      <c r="AZ43" s="18"/>
      <c r="BA43" s="19"/>
      <c r="BB43" s="16"/>
      <c r="BC43" s="17"/>
      <c r="BD43" s="18"/>
      <c r="BE43" s="19"/>
      <c r="BF43" s="16"/>
      <c r="BG43" s="17"/>
      <c r="BH43" s="18"/>
      <c r="BI43" s="19"/>
      <c r="BJ43" s="16"/>
      <c r="BK43" s="16"/>
      <c r="BL43" s="16"/>
      <c r="BM43" s="17"/>
      <c r="BN43" s="18"/>
      <c r="BO43" s="19"/>
      <c r="BP43" s="16"/>
      <c r="BQ43" s="17"/>
      <c r="BR43" s="18"/>
      <c r="BS43" s="19"/>
      <c r="BT43" s="24">
        <v>0</v>
      </c>
      <c r="BU43" s="68">
        <v>0</v>
      </c>
      <c r="BV43" s="68">
        <v>0</v>
      </c>
      <c r="BW43" s="25">
        <v>0</v>
      </c>
      <c r="BX43" s="18"/>
      <c r="BY43" s="19"/>
      <c r="BZ43" s="16"/>
      <c r="CA43" s="17"/>
      <c r="CB43" s="18"/>
      <c r="CC43" s="19"/>
      <c r="CD43" s="16"/>
      <c r="CE43" s="17"/>
      <c r="CF43" s="14"/>
      <c r="CG43" s="15"/>
      <c r="CH43" s="15"/>
      <c r="CI43" s="15"/>
      <c r="CN43" s="176"/>
      <c r="CO43" s="177"/>
      <c r="CP43" s="178"/>
      <c r="CQ43" s="179"/>
    </row>
    <row r="44" spans="1:95" ht="25.5" hidden="1" customHeight="1" x14ac:dyDescent="0.55000000000000004">
      <c r="A44" s="7"/>
      <c r="B44" s="16"/>
      <c r="C44" s="17"/>
      <c r="D44" s="18"/>
      <c r="E44" s="19"/>
      <c r="F44" s="16"/>
      <c r="G44" s="17"/>
      <c r="H44" s="18"/>
      <c r="I44" s="19"/>
      <c r="J44" s="16"/>
      <c r="K44" s="17"/>
      <c r="L44" s="18"/>
      <c r="M44" s="19"/>
      <c r="N44" s="16"/>
      <c r="O44" s="17"/>
      <c r="P44" s="18"/>
      <c r="Q44" s="19"/>
      <c r="R44" s="16"/>
      <c r="S44" s="17"/>
      <c r="T44" s="18"/>
      <c r="U44" s="19"/>
      <c r="V44" s="16"/>
      <c r="W44" s="17"/>
      <c r="X44" s="18"/>
      <c r="Y44" s="19"/>
      <c r="Z44" s="16"/>
      <c r="AA44" s="17"/>
      <c r="AB44" s="18"/>
      <c r="AC44" s="19"/>
      <c r="AD44" s="16"/>
      <c r="AE44" s="17"/>
      <c r="AF44" s="18"/>
      <c r="AG44" s="19"/>
      <c r="AH44" s="16"/>
      <c r="AI44" s="17"/>
      <c r="AJ44" s="18"/>
      <c r="AK44" s="19"/>
      <c r="AL44" s="16"/>
      <c r="AM44" s="17"/>
      <c r="AN44" s="18"/>
      <c r="AO44" s="19"/>
      <c r="AP44" s="16"/>
      <c r="AQ44" s="17"/>
      <c r="AR44" s="18"/>
      <c r="AS44" s="19"/>
      <c r="AT44" s="16"/>
      <c r="AU44" s="17"/>
      <c r="AV44" s="18"/>
      <c r="AW44" s="19"/>
      <c r="AX44" s="16"/>
      <c r="AY44" s="17"/>
      <c r="AZ44" s="18"/>
      <c r="BA44" s="19"/>
      <c r="BB44" s="16"/>
      <c r="BC44" s="17"/>
      <c r="BD44" s="18"/>
      <c r="BE44" s="19"/>
      <c r="BF44" s="16"/>
      <c r="BG44" s="17"/>
      <c r="BH44" s="18"/>
      <c r="BI44" s="19"/>
      <c r="BJ44" s="16"/>
      <c r="BK44" s="16"/>
      <c r="BL44" s="16"/>
      <c r="BM44" s="17"/>
      <c r="BN44" s="18"/>
      <c r="BO44" s="19"/>
      <c r="BP44" s="16"/>
      <c r="BQ44" s="17"/>
      <c r="BR44" s="18"/>
      <c r="BS44" s="19"/>
      <c r="BT44" s="24">
        <v>0</v>
      </c>
      <c r="BU44" s="68">
        <v>0</v>
      </c>
      <c r="BV44" s="68">
        <v>0</v>
      </c>
      <c r="BW44" s="25">
        <v>0</v>
      </c>
      <c r="BX44" s="18"/>
      <c r="BY44" s="19"/>
      <c r="BZ44" s="16"/>
      <c r="CA44" s="17"/>
      <c r="CB44" s="18"/>
      <c r="CC44" s="19"/>
      <c r="CD44" s="16"/>
      <c r="CE44" s="17"/>
      <c r="CF44" s="14"/>
      <c r="CG44" s="15"/>
      <c r="CH44" s="15"/>
      <c r="CI44" s="15"/>
      <c r="CN44" s="176"/>
      <c r="CO44" s="177"/>
      <c r="CP44" s="178"/>
      <c r="CQ44" s="179"/>
    </row>
    <row r="45" spans="1:95" ht="25.5" hidden="1" customHeight="1" x14ac:dyDescent="0.55000000000000004">
      <c r="A45" s="7"/>
      <c r="B45" s="16"/>
      <c r="C45" s="17"/>
      <c r="D45" s="18"/>
      <c r="E45" s="19"/>
      <c r="F45" s="16"/>
      <c r="G45" s="17"/>
      <c r="H45" s="18"/>
      <c r="I45" s="19"/>
      <c r="J45" s="16"/>
      <c r="K45" s="17"/>
      <c r="L45" s="18"/>
      <c r="M45" s="19"/>
      <c r="N45" s="16"/>
      <c r="O45" s="17"/>
      <c r="P45" s="18"/>
      <c r="Q45" s="19"/>
      <c r="R45" s="16"/>
      <c r="S45" s="17"/>
      <c r="T45" s="18"/>
      <c r="U45" s="19"/>
      <c r="V45" s="16"/>
      <c r="W45" s="17"/>
      <c r="X45" s="18"/>
      <c r="Y45" s="19"/>
      <c r="Z45" s="16"/>
      <c r="AA45" s="17"/>
      <c r="AB45" s="18"/>
      <c r="AC45" s="19"/>
      <c r="AD45" s="16"/>
      <c r="AE45" s="17"/>
      <c r="AF45" s="18"/>
      <c r="AG45" s="19"/>
      <c r="AH45" s="16"/>
      <c r="AI45" s="17"/>
      <c r="AJ45" s="18"/>
      <c r="AK45" s="19"/>
      <c r="AL45" s="16"/>
      <c r="AM45" s="17"/>
      <c r="AN45" s="18"/>
      <c r="AO45" s="19"/>
      <c r="AP45" s="16"/>
      <c r="AQ45" s="17"/>
      <c r="AR45" s="18"/>
      <c r="AS45" s="19"/>
      <c r="AT45" s="16"/>
      <c r="AU45" s="17"/>
      <c r="AV45" s="18"/>
      <c r="AW45" s="19"/>
      <c r="AX45" s="16"/>
      <c r="AY45" s="17"/>
      <c r="AZ45" s="18"/>
      <c r="BA45" s="19"/>
      <c r="BB45" s="16"/>
      <c r="BC45" s="17"/>
      <c r="BD45" s="18"/>
      <c r="BE45" s="19"/>
      <c r="BF45" s="16"/>
      <c r="BG45" s="17"/>
      <c r="BH45" s="18"/>
      <c r="BI45" s="19"/>
      <c r="BJ45" s="16"/>
      <c r="BK45" s="16"/>
      <c r="BL45" s="16"/>
      <c r="BM45" s="17"/>
      <c r="BN45" s="18"/>
      <c r="BO45" s="19"/>
      <c r="BP45" s="16"/>
      <c r="BQ45" s="17"/>
      <c r="BR45" s="18"/>
      <c r="BS45" s="19"/>
      <c r="BT45" s="24">
        <v>0</v>
      </c>
      <c r="BU45" s="68">
        <v>0</v>
      </c>
      <c r="BV45" s="68">
        <v>0</v>
      </c>
      <c r="BW45" s="25">
        <v>0</v>
      </c>
      <c r="BX45" s="18"/>
      <c r="BY45" s="19"/>
      <c r="BZ45" s="16"/>
      <c r="CA45" s="17"/>
      <c r="CB45" s="18"/>
      <c r="CC45" s="19"/>
      <c r="CD45" s="16"/>
      <c r="CE45" s="17"/>
      <c r="CF45" s="14"/>
      <c r="CG45" s="15"/>
      <c r="CH45" s="15"/>
      <c r="CI45" s="15"/>
      <c r="CN45" s="176"/>
      <c r="CO45" s="177"/>
      <c r="CP45" s="178"/>
      <c r="CQ45" s="179"/>
    </row>
    <row r="46" spans="1:95" ht="25.5" hidden="1" customHeight="1" x14ac:dyDescent="0.55000000000000004">
      <c r="A46" s="7"/>
      <c r="B46" s="16"/>
      <c r="C46" s="17"/>
      <c r="D46" s="18"/>
      <c r="E46" s="19"/>
      <c r="F46" s="16"/>
      <c r="G46" s="17"/>
      <c r="H46" s="18"/>
      <c r="I46" s="19"/>
      <c r="J46" s="16"/>
      <c r="K46" s="17"/>
      <c r="L46" s="18"/>
      <c r="M46" s="19"/>
      <c r="N46" s="16"/>
      <c r="O46" s="17"/>
      <c r="P46" s="18"/>
      <c r="Q46" s="19"/>
      <c r="R46" s="16"/>
      <c r="S46" s="17"/>
      <c r="T46" s="18"/>
      <c r="U46" s="19"/>
      <c r="V46" s="16"/>
      <c r="W46" s="17"/>
      <c r="X46" s="18"/>
      <c r="Y46" s="19"/>
      <c r="Z46" s="16"/>
      <c r="AA46" s="17"/>
      <c r="AB46" s="18"/>
      <c r="AC46" s="19"/>
      <c r="AD46" s="16"/>
      <c r="AE46" s="17"/>
      <c r="AF46" s="18"/>
      <c r="AG46" s="19"/>
      <c r="AH46" s="16"/>
      <c r="AI46" s="17"/>
      <c r="AJ46" s="18"/>
      <c r="AK46" s="19"/>
      <c r="AL46" s="16"/>
      <c r="AM46" s="17"/>
      <c r="AN46" s="18"/>
      <c r="AO46" s="19"/>
      <c r="AP46" s="16"/>
      <c r="AQ46" s="17"/>
      <c r="AR46" s="18"/>
      <c r="AS46" s="19"/>
      <c r="AT46" s="16"/>
      <c r="AU46" s="17"/>
      <c r="AV46" s="18"/>
      <c r="AW46" s="19"/>
      <c r="AX46" s="16"/>
      <c r="AY46" s="17"/>
      <c r="AZ46" s="18"/>
      <c r="BA46" s="19"/>
      <c r="BB46" s="16"/>
      <c r="BC46" s="17"/>
      <c r="BD46" s="18"/>
      <c r="BE46" s="19"/>
      <c r="BF46" s="16"/>
      <c r="BG46" s="17"/>
      <c r="BH46" s="18"/>
      <c r="BI46" s="19"/>
      <c r="BJ46" s="16"/>
      <c r="BK46" s="16"/>
      <c r="BL46" s="16"/>
      <c r="BM46" s="17"/>
      <c r="BN46" s="18"/>
      <c r="BO46" s="19"/>
      <c r="BP46" s="16"/>
      <c r="BQ46" s="17"/>
      <c r="BR46" s="18"/>
      <c r="BS46" s="19"/>
      <c r="BT46" s="24">
        <v>0</v>
      </c>
      <c r="BU46" s="68">
        <v>0</v>
      </c>
      <c r="BV46" s="68">
        <v>0</v>
      </c>
      <c r="BW46" s="25">
        <v>0</v>
      </c>
      <c r="BX46" s="18"/>
      <c r="BY46" s="19"/>
      <c r="BZ46" s="16"/>
      <c r="CA46" s="17"/>
      <c r="CB46" s="18"/>
      <c r="CC46" s="19"/>
      <c r="CD46" s="16"/>
      <c r="CE46" s="17"/>
      <c r="CF46" s="14"/>
      <c r="CG46" s="15"/>
      <c r="CH46" s="15"/>
      <c r="CI46" s="15"/>
      <c r="CN46" s="176"/>
      <c r="CO46" s="177"/>
      <c r="CP46" s="178"/>
      <c r="CQ46" s="179"/>
    </row>
    <row r="47" spans="1:95" ht="25.5" hidden="1" customHeight="1" x14ac:dyDescent="0.55000000000000004">
      <c r="A47" s="7"/>
      <c r="B47" s="16"/>
      <c r="C47" s="17"/>
      <c r="D47" s="18"/>
      <c r="E47" s="19"/>
      <c r="F47" s="16"/>
      <c r="G47" s="17"/>
      <c r="H47" s="18"/>
      <c r="I47" s="19"/>
      <c r="J47" s="16"/>
      <c r="K47" s="17"/>
      <c r="L47" s="18"/>
      <c r="M47" s="19"/>
      <c r="N47" s="16"/>
      <c r="O47" s="17"/>
      <c r="P47" s="18"/>
      <c r="Q47" s="19"/>
      <c r="R47" s="16"/>
      <c r="S47" s="17"/>
      <c r="T47" s="18"/>
      <c r="U47" s="19"/>
      <c r="V47" s="16"/>
      <c r="W47" s="17"/>
      <c r="X47" s="18"/>
      <c r="Y47" s="19"/>
      <c r="Z47" s="16"/>
      <c r="AA47" s="17"/>
      <c r="AB47" s="18"/>
      <c r="AC47" s="19"/>
      <c r="AD47" s="16"/>
      <c r="AE47" s="17"/>
      <c r="AF47" s="18"/>
      <c r="AG47" s="19"/>
      <c r="AH47" s="16"/>
      <c r="AI47" s="17"/>
      <c r="AJ47" s="18"/>
      <c r="AK47" s="19"/>
      <c r="AL47" s="16"/>
      <c r="AM47" s="17"/>
      <c r="AN47" s="18"/>
      <c r="AO47" s="19"/>
      <c r="AP47" s="16"/>
      <c r="AQ47" s="17"/>
      <c r="AR47" s="18"/>
      <c r="AS47" s="19"/>
      <c r="AT47" s="16"/>
      <c r="AU47" s="17"/>
      <c r="AV47" s="18"/>
      <c r="AW47" s="19"/>
      <c r="AX47" s="16"/>
      <c r="AY47" s="17"/>
      <c r="AZ47" s="18"/>
      <c r="BA47" s="19"/>
      <c r="BB47" s="16"/>
      <c r="BC47" s="17"/>
      <c r="BD47" s="18"/>
      <c r="BE47" s="19"/>
      <c r="BF47" s="16"/>
      <c r="BG47" s="17"/>
      <c r="BH47" s="18"/>
      <c r="BI47" s="19"/>
      <c r="BJ47" s="16"/>
      <c r="BK47" s="16"/>
      <c r="BL47" s="16"/>
      <c r="BM47" s="17"/>
      <c r="BN47" s="18"/>
      <c r="BO47" s="19"/>
      <c r="BP47" s="16"/>
      <c r="BQ47" s="17"/>
      <c r="BR47" s="18"/>
      <c r="BS47" s="19"/>
      <c r="BT47" s="24">
        <v>0</v>
      </c>
      <c r="BU47" s="68">
        <v>0</v>
      </c>
      <c r="BV47" s="68">
        <v>0</v>
      </c>
      <c r="BW47" s="25">
        <v>0</v>
      </c>
      <c r="BX47" s="18"/>
      <c r="BY47" s="19"/>
      <c r="BZ47" s="16"/>
      <c r="CA47" s="17"/>
      <c r="CB47" s="18"/>
      <c r="CC47" s="19"/>
      <c r="CD47" s="16"/>
      <c r="CE47" s="17"/>
      <c r="CF47" s="14"/>
      <c r="CG47" s="15"/>
      <c r="CH47" s="15"/>
      <c r="CI47" s="15"/>
      <c r="CN47" s="176"/>
      <c r="CO47" s="177"/>
      <c r="CP47" s="178"/>
      <c r="CQ47" s="179"/>
    </row>
    <row r="48" spans="1:95" ht="25.5" hidden="1" customHeight="1" x14ac:dyDescent="0.55000000000000004">
      <c r="A48" s="7"/>
      <c r="B48" s="16"/>
      <c r="C48" s="17"/>
      <c r="D48" s="18"/>
      <c r="E48" s="19"/>
      <c r="F48" s="16"/>
      <c r="G48" s="17"/>
      <c r="H48" s="18"/>
      <c r="I48" s="19"/>
      <c r="J48" s="16"/>
      <c r="K48" s="17"/>
      <c r="L48" s="18"/>
      <c r="M48" s="19"/>
      <c r="N48" s="16"/>
      <c r="O48" s="17"/>
      <c r="P48" s="18"/>
      <c r="Q48" s="19"/>
      <c r="R48" s="16"/>
      <c r="S48" s="17"/>
      <c r="T48" s="18"/>
      <c r="U48" s="19"/>
      <c r="V48" s="16"/>
      <c r="W48" s="17"/>
      <c r="X48" s="18"/>
      <c r="Y48" s="19"/>
      <c r="Z48" s="16"/>
      <c r="AA48" s="17"/>
      <c r="AB48" s="18"/>
      <c r="AC48" s="19"/>
      <c r="AD48" s="16"/>
      <c r="AE48" s="17"/>
      <c r="AF48" s="18"/>
      <c r="AG48" s="19"/>
      <c r="AH48" s="16"/>
      <c r="AI48" s="17"/>
      <c r="AJ48" s="18"/>
      <c r="AK48" s="19"/>
      <c r="AL48" s="16"/>
      <c r="AM48" s="17"/>
      <c r="AN48" s="18"/>
      <c r="AO48" s="19"/>
      <c r="AP48" s="16"/>
      <c r="AQ48" s="17"/>
      <c r="AR48" s="18"/>
      <c r="AS48" s="19"/>
      <c r="AT48" s="16"/>
      <c r="AU48" s="17"/>
      <c r="AV48" s="18"/>
      <c r="AW48" s="19"/>
      <c r="AX48" s="16"/>
      <c r="AY48" s="17"/>
      <c r="AZ48" s="18"/>
      <c r="BA48" s="19"/>
      <c r="BB48" s="16"/>
      <c r="BC48" s="17"/>
      <c r="BD48" s="18"/>
      <c r="BE48" s="19"/>
      <c r="BF48" s="16"/>
      <c r="BG48" s="17"/>
      <c r="BH48" s="18"/>
      <c r="BI48" s="19"/>
      <c r="BJ48" s="16"/>
      <c r="BK48" s="16"/>
      <c r="BL48" s="16"/>
      <c r="BM48" s="17"/>
      <c r="BN48" s="18"/>
      <c r="BO48" s="19"/>
      <c r="BP48" s="16"/>
      <c r="BQ48" s="17"/>
      <c r="BR48" s="18"/>
      <c r="BS48" s="19"/>
      <c r="BT48" s="24">
        <v>0</v>
      </c>
      <c r="BU48" s="68">
        <v>0</v>
      </c>
      <c r="BV48" s="68">
        <v>0</v>
      </c>
      <c r="BW48" s="25">
        <v>0</v>
      </c>
      <c r="BX48" s="18"/>
      <c r="BY48" s="19"/>
      <c r="BZ48" s="16"/>
      <c r="CA48" s="17"/>
      <c r="CB48" s="18"/>
      <c r="CC48" s="19"/>
      <c r="CD48" s="16"/>
      <c r="CE48" s="17"/>
      <c r="CF48" s="14"/>
      <c r="CG48" s="15"/>
      <c r="CH48" s="15"/>
      <c r="CI48" s="15"/>
      <c r="CN48" s="176"/>
      <c r="CO48" s="177"/>
      <c r="CP48" s="178"/>
      <c r="CQ48" s="179"/>
    </row>
    <row r="49" spans="1:95" ht="25.5" hidden="1" customHeight="1" x14ac:dyDescent="0.55000000000000004">
      <c r="A49" s="7"/>
      <c r="B49" s="16"/>
      <c r="C49" s="17"/>
      <c r="D49" s="18"/>
      <c r="E49" s="19"/>
      <c r="F49" s="16"/>
      <c r="G49" s="17"/>
      <c r="H49" s="18"/>
      <c r="I49" s="19"/>
      <c r="J49" s="16"/>
      <c r="K49" s="17"/>
      <c r="L49" s="18"/>
      <c r="M49" s="19"/>
      <c r="N49" s="16"/>
      <c r="O49" s="17"/>
      <c r="P49" s="18"/>
      <c r="Q49" s="19"/>
      <c r="R49" s="16"/>
      <c r="S49" s="17"/>
      <c r="T49" s="18"/>
      <c r="U49" s="19"/>
      <c r="V49" s="16"/>
      <c r="W49" s="17"/>
      <c r="X49" s="18"/>
      <c r="Y49" s="19"/>
      <c r="Z49" s="16"/>
      <c r="AA49" s="17"/>
      <c r="AB49" s="18"/>
      <c r="AC49" s="19"/>
      <c r="AD49" s="16"/>
      <c r="AE49" s="17"/>
      <c r="AF49" s="18"/>
      <c r="AG49" s="19"/>
      <c r="AH49" s="16"/>
      <c r="AI49" s="17"/>
      <c r="AJ49" s="18"/>
      <c r="AK49" s="19"/>
      <c r="AL49" s="16"/>
      <c r="AM49" s="17"/>
      <c r="AN49" s="18"/>
      <c r="AO49" s="19"/>
      <c r="AP49" s="16"/>
      <c r="AQ49" s="17"/>
      <c r="AR49" s="18"/>
      <c r="AS49" s="19"/>
      <c r="AT49" s="16"/>
      <c r="AU49" s="17"/>
      <c r="AV49" s="18"/>
      <c r="AW49" s="19"/>
      <c r="AX49" s="16"/>
      <c r="AY49" s="17"/>
      <c r="AZ49" s="18"/>
      <c r="BA49" s="19"/>
      <c r="BB49" s="16"/>
      <c r="BC49" s="17"/>
      <c r="BD49" s="18"/>
      <c r="BE49" s="19"/>
      <c r="BF49" s="16"/>
      <c r="BG49" s="17"/>
      <c r="BH49" s="18"/>
      <c r="BI49" s="19"/>
      <c r="BJ49" s="16"/>
      <c r="BK49" s="16"/>
      <c r="BL49" s="16"/>
      <c r="BM49" s="17"/>
      <c r="BN49" s="18"/>
      <c r="BO49" s="19"/>
      <c r="BP49" s="16"/>
      <c r="BQ49" s="17"/>
      <c r="BR49" s="18"/>
      <c r="BS49" s="19"/>
      <c r="BT49" s="24">
        <v>0</v>
      </c>
      <c r="BU49" s="68">
        <v>0</v>
      </c>
      <c r="BV49" s="68">
        <v>0</v>
      </c>
      <c r="BW49" s="25">
        <v>0</v>
      </c>
      <c r="BX49" s="18"/>
      <c r="BY49" s="19"/>
      <c r="BZ49" s="16"/>
      <c r="CA49" s="17"/>
      <c r="CB49" s="18"/>
      <c r="CC49" s="19"/>
      <c r="CD49" s="16"/>
      <c r="CE49" s="17"/>
      <c r="CF49" s="14"/>
      <c r="CG49" s="15"/>
      <c r="CH49" s="15"/>
      <c r="CI49" s="15"/>
      <c r="CN49" s="176"/>
      <c r="CO49" s="177"/>
      <c r="CP49" s="178"/>
      <c r="CQ49" s="179"/>
    </row>
    <row r="50" spans="1:95" ht="25.5" hidden="1" customHeight="1" x14ac:dyDescent="0.55000000000000004">
      <c r="A50" s="7"/>
      <c r="B50" s="16"/>
      <c r="C50" s="17"/>
      <c r="D50" s="18"/>
      <c r="E50" s="19"/>
      <c r="F50" s="16"/>
      <c r="G50" s="17"/>
      <c r="H50" s="18"/>
      <c r="I50" s="19"/>
      <c r="J50" s="16"/>
      <c r="K50" s="17"/>
      <c r="L50" s="18"/>
      <c r="M50" s="19"/>
      <c r="N50" s="16"/>
      <c r="O50" s="17"/>
      <c r="P50" s="18"/>
      <c r="Q50" s="19"/>
      <c r="R50" s="16"/>
      <c r="S50" s="17"/>
      <c r="T50" s="18"/>
      <c r="U50" s="19"/>
      <c r="V50" s="16"/>
      <c r="W50" s="17"/>
      <c r="X50" s="18"/>
      <c r="Y50" s="19"/>
      <c r="Z50" s="16"/>
      <c r="AA50" s="17"/>
      <c r="AB50" s="18"/>
      <c r="AC50" s="19"/>
      <c r="AD50" s="16"/>
      <c r="AE50" s="17"/>
      <c r="AF50" s="18"/>
      <c r="AG50" s="19"/>
      <c r="AH50" s="16"/>
      <c r="AI50" s="17"/>
      <c r="AJ50" s="18"/>
      <c r="AK50" s="19"/>
      <c r="AL50" s="16"/>
      <c r="AM50" s="17"/>
      <c r="AN50" s="18"/>
      <c r="AO50" s="19"/>
      <c r="AP50" s="16"/>
      <c r="AQ50" s="17"/>
      <c r="AR50" s="18"/>
      <c r="AS50" s="19"/>
      <c r="AT50" s="16"/>
      <c r="AU50" s="17"/>
      <c r="AV50" s="18"/>
      <c r="AW50" s="19"/>
      <c r="AX50" s="16"/>
      <c r="AY50" s="17"/>
      <c r="AZ50" s="18"/>
      <c r="BA50" s="19"/>
      <c r="BB50" s="16"/>
      <c r="BC50" s="17"/>
      <c r="BD50" s="18"/>
      <c r="BE50" s="19"/>
      <c r="BF50" s="16"/>
      <c r="BG50" s="17"/>
      <c r="BH50" s="18"/>
      <c r="BI50" s="19"/>
      <c r="BJ50" s="16"/>
      <c r="BK50" s="16"/>
      <c r="BL50" s="16"/>
      <c r="BM50" s="17"/>
      <c r="BN50" s="18"/>
      <c r="BO50" s="19"/>
      <c r="BP50" s="16"/>
      <c r="BQ50" s="17"/>
      <c r="BR50" s="18"/>
      <c r="BS50" s="19"/>
      <c r="BT50" s="24">
        <v>0</v>
      </c>
      <c r="BU50" s="68">
        <v>0</v>
      </c>
      <c r="BV50" s="68">
        <v>0</v>
      </c>
      <c r="BW50" s="25">
        <v>0</v>
      </c>
      <c r="BX50" s="18"/>
      <c r="BY50" s="19"/>
      <c r="BZ50" s="16"/>
      <c r="CA50" s="17"/>
      <c r="CB50" s="18"/>
      <c r="CC50" s="19"/>
      <c r="CD50" s="16"/>
      <c r="CE50" s="17"/>
      <c r="CF50" s="14"/>
      <c r="CG50" s="15"/>
      <c r="CH50" s="15"/>
      <c r="CI50" s="15"/>
      <c r="CN50" s="176"/>
      <c r="CO50" s="177"/>
      <c r="CP50" s="178"/>
      <c r="CQ50" s="179"/>
    </row>
    <row r="51" spans="1:95" ht="25.5" hidden="1" customHeight="1" x14ac:dyDescent="0.55000000000000004">
      <c r="A51" s="7"/>
      <c r="B51" s="16"/>
      <c r="C51" s="17"/>
      <c r="D51" s="18"/>
      <c r="E51" s="19"/>
      <c r="F51" s="16"/>
      <c r="G51" s="17"/>
      <c r="H51" s="18"/>
      <c r="I51" s="19"/>
      <c r="J51" s="16"/>
      <c r="K51" s="17"/>
      <c r="L51" s="18"/>
      <c r="M51" s="19"/>
      <c r="N51" s="16"/>
      <c r="O51" s="17"/>
      <c r="P51" s="18"/>
      <c r="Q51" s="19"/>
      <c r="R51" s="16"/>
      <c r="S51" s="17"/>
      <c r="T51" s="18"/>
      <c r="U51" s="19"/>
      <c r="V51" s="16"/>
      <c r="W51" s="17"/>
      <c r="X51" s="18"/>
      <c r="Y51" s="19"/>
      <c r="Z51" s="16"/>
      <c r="AA51" s="17"/>
      <c r="AB51" s="18"/>
      <c r="AC51" s="19"/>
      <c r="AD51" s="16"/>
      <c r="AE51" s="17"/>
      <c r="AF51" s="18"/>
      <c r="AG51" s="19"/>
      <c r="AH51" s="16"/>
      <c r="AI51" s="17"/>
      <c r="AJ51" s="18"/>
      <c r="AK51" s="19"/>
      <c r="AL51" s="16"/>
      <c r="AM51" s="17"/>
      <c r="AN51" s="18"/>
      <c r="AO51" s="19"/>
      <c r="AP51" s="16"/>
      <c r="AQ51" s="17"/>
      <c r="AR51" s="18"/>
      <c r="AS51" s="19"/>
      <c r="AT51" s="16"/>
      <c r="AU51" s="17"/>
      <c r="AV51" s="18"/>
      <c r="AW51" s="19"/>
      <c r="AX51" s="16"/>
      <c r="AY51" s="17"/>
      <c r="AZ51" s="18"/>
      <c r="BA51" s="19"/>
      <c r="BB51" s="16"/>
      <c r="BC51" s="17"/>
      <c r="BD51" s="18"/>
      <c r="BE51" s="19"/>
      <c r="BF51" s="16"/>
      <c r="BG51" s="17"/>
      <c r="BH51" s="18"/>
      <c r="BI51" s="19"/>
      <c r="BJ51" s="16"/>
      <c r="BK51" s="16"/>
      <c r="BL51" s="16"/>
      <c r="BM51" s="17"/>
      <c r="BN51" s="18"/>
      <c r="BO51" s="19"/>
      <c r="BP51" s="16"/>
      <c r="BQ51" s="17"/>
      <c r="BR51" s="18"/>
      <c r="BS51" s="19"/>
      <c r="BT51" s="24">
        <v>0</v>
      </c>
      <c r="BU51" s="68">
        <v>0</v>
      </c>
      <c r="BV51" s="68">
        <v>0</v>
      </c>
      <c r="BW51" s="25">
        <v>0</v>
      </c>
      <c r="BX51" s="18"/>
      <c r="BY51" s="19"/>
      <c r="BZ51" s="16"/>
      <c r="CA51" s="17"/>
      <c r="CB51" s="18"/>
      <c r="CC51" s="19"/>
      <c r="CD51" s="16"/>
      <c r="CE51" s="17"/>
      <c r="CF51" s="14"/>
      <c r="CG51" s="15"/>
      <c r="CH51" s="15"/>
      <c r="CI51" s="15"/>
      <c r="CN51" s="176"/>
      <c r="CO51" s="177"/>
      <c r="CP51" s="178"/>
      <c r="CQ51" s="179"/>
    </row>
    <row r="52" spans="1:95" ht="25.5" hidden="1" customHeight="1" x14ac:dyDescent="0.55000000000000004">
      <c r="A52" s="7"/>
      <c r="B52" s="16"/>
      <c r="C52" s="17"/>
      <c r="D52" s="18"/>
      <c r="E52" s="19"/>
      <c r="F52" s="16"/>
      <c r="G52" s="17"/>
      <c r="H52" s="18"/>
      <c r="I52" s="19"/>
      <c r="J52" s="16"/>
      <c r="K52" s="17"/>
      <c r="L52" s="18"/>
      <c r="M52" s="19"/>
      <c r="N52" s="16"/>
      <c r="O52" s="17"/>
      <c r="P52" s="18"/>
      <c r="Q52" s="19"/>
      <c r="R52" s="16"/>
      <c r="S52" s="17"/>
      <c r="T52" s="18"/>
      <c r="U52" s="19"/>
      <c r="V52" s="16"/>
      <c r="W52" s="17"/>
      <c r="X52" s="18"/>
      <c r="Y52" s="19"/>
      <c r="Z52" s="16"/>
      <c r="AA52" s="17"/>
      <c r="AB52" s="18"/>
      <c r="AC52" s="19"/>
      <c r="AD52" s="16"/>
      <c r="AE52" s="17"/>
      <c r="AF52" s="18"/>
      <c r="AG52" s="19"/>
      <c r="AH52" s="16"/>
      <c r="AI52" s="17"/>
      <c r="AJ52" s="18"/>
      <c r="AK52" s="19"/>
      <c r="AL52" s="16"/>
      <c r="AM52" s="17"/>
      <c r="AN52" s="18"/>
      <c r="AO52" s="19"/>
      <c r="AP52" s="16"/>
      <c r="AQ52" s="17"/>
      <c r="AR52" s="18"/>
      <c r="AS52" s="19"/>
      <c r="AT52" s="16"/>
      <c r="AU52" s="17"/>
      <c r="AV52" s="18"/>
      <c r="AW52" s="19"/>
      <c r="AX52" s="16"/>
      <c r="AY52" s="17"/>
      <c r="AZ52" s="18"/>
      <c r="BA52" s="19"/>
      <c r="BB52" s="16"/>
      <c r="BC52" s="17"/>
      <c r="BD52" s="18"/>
      <c r="BE52" s="19"/>
      <c r="BF52" s="16"/>
      <c r="BG52" s="17"/>
      <c r="BH52" s="18"/>
      <c r="BI52" s="19"/>
      <c r="BJ52" s="16"/>
      <c r="BK52" s="16"/>
      <c r="BL52" s="16"/>
      <c r="BM52" s="17"/>
      <c r="BN52" s="18"/>
      <c r="BO52" s="19"/>
      <c r="BP52" s="16"/>
      <c r="BQ52" s="17"/>
      <c r="BR52" s="18"/>
      <c r="BS52" s="19"/>
      <c r="BT52" s="24">
        <v>0</v>
      </c>
      <c r="BU52" s="68">
        <v>0</v>
      </c>
      <c r="BV52" s="68">
        <v>0</v>
      </c>
      <c r="BW52" s="25">
        <v>0</v>
      </c>
      <c r="BX52" s="18"/>
      <c r="BY52" s="19"/>
      <c r="BZ52" s="16"/>
      <c r="CA52" s="17"/>
      <c r="CB52" s="18"/>
      <c r="CC52" s="19"/>
      <c r="CD52" s="16"/>
      <c r="CE52" s="17"/>
      <c r="CF52" s="14"/>
      <c r="CG52" s="15"/>
      <c r="CH52" s="15"/>
      <c r="CI52" s="15"/>
      <c r="CN52" s="176"/>
      <c r="CO52" s="177"/>
      <c r="CP52" s="178"/>
      <c r="CQ52" s="179"/>
    </row>
    <row r="53" spans="1:95" ht="25.5" hidden="1" customHeight="1" x14ac:dyDescent="0.55000000000000004">
      <c r="A53" s="7"/>
      <c r="B53" s="16"/>
      <c r="C53" s="17"/>
      <c r="D53" s="18"/>
      <c r="E53" s="19"/>
      <c r="F53" s="16"/>
      <c r="G53" s="17"/>
      <c r="H53" s="18"/>
      <c r="I53" s="19"/>
      <c r="J53" s="16"/>
      <c r="K53" s="17"/>
      <c r="L53" s="18"/>
      <c r="M53" s="19"/>
      <c r="N53" s="16"/>
      <c r="O53" s="17"/>
      <c r="P53" s="18"/>
      <c r="Q53" s="19"/>
      <c r="R53" s="16"/>
      <c r="S53" s="17"/>
      <c r="T53" s="18"/>
      <c r="U53" s="19"/>
      <c r="V53" s="16"/>
      <c r="W53" s="17"/>
      <c r="X53" s="18"/>
      <c r="Y53" s="19"/>
      <c r="Z53" s="16"/>
      <c r="AA53" s="17"/>
      <c r="AB53" s="18"/>
      <c r="AC53" s="19"/>
      <c r="AD53" s="16"/>
      <c r="AE53" s="17"/>
      <c r="AF53" s="18"/>
      <c r="AG53" s="19"/>
      <c r="AH53" s="16"/>
      <c r="AI53" s="17"/>
      <c r="AJ53" s="18"/>
      <c r="AK53" s="19"/>
      <c r="AL53" s="16"/>
      <c r="AM53" s="17"/>
      <c r="AN53" s="18"/>
      <c r="AO53" s="19"/>
      <c r="AP53" s="16"/>
      <c r="AQ53" s="17"/>
      <c r="AR53" s="18"/>
      <c r="AS53" s="19"/>
      <c r="AT53" s="16"/>
      <c r="AU53" s="17"/>
      <c r="AV53" s="18"/>
      <c r="AW53" s="19"/>
      <c r="AX53" s="16"/>
      <c r="AY53" s="17"/>
      <c r="AZ53" s="18"/>
      <c r="BA53" s="19"/>
      <c r="BB53" s="16"/>
      <c r="BC53" s="17"/>
      <c r="BD53" s="18"/>
      <c r="BE53" s="19"/>
      <c r="BF53" s="16"/>
      <c r="BG53" s="17"/>
      <c r="BH53" s="18"/>
      <c r="BI53" s="19"/>
      <c r="BJ53" s="16"/>
      <c r="BK53" s="16"/>
      <c r="BL53" s="16"/>
      <c r="BM53" s="17"/>
      <c r="BN53" s="18"/>
      <c r="BO53" s="19"/>
      <c r="BP53" s="16"/>
      <c r="BQ53" s="17"/>
      <c r="BR53" s="18"/>
      <c r="BS53" s="19"/>
      <c r="BT53" s="24">
        <v>0</v>
      </c>
      <c r="BU53" s="68">
        <v>0</v>
      </c>
      <c r="BV53" s="68">
        <v>0</v>
      </c>
      <c r="BW53" s="25">
        <v>0</v>
      </c>
      <c r="BX53" s="18"/>
      <c r="BY53" s="19"/>
      <c r="BZ53" s="16"/>
      <c r="CA53" s="17"/>
      <c r="CB53" s="18"/>
      <c r="CC53" s="19"/>
      <c r="CD53" s="16"/>
      <c r="CE53" s="17"/>
      <c r="CF53" s="14"/>
      <c r="CG53" s="15"/>
      <c r="CH53" s="15"/>
      <c r="CI53" s="15"/>
      <c r="CN53" s="176"/>
      <c r="CO53" s="177"/>
      <c r="CP53" s="178"/>
      <c r="CQ53" s="179"/>
    </row>
    <row r="54" spans="1:95" ht="25.5" hidden="1" customHeight="1" x14ac:dyDescent="0.55000000000000004">
      <c r="A54" s="7"/>
      <c r="B54" s="16"/>
      <c r="C54" s="17"/>
      <c r="D54" s="18"/>
      <c r="E54" s="19"/>
      <c r="F54" s="16"/>
      <c r="G54" s="17"/>
      <c r="H54" s="18"/>
      <c r="I54" s="19"/>
      <c r="J54" s="16"/>
      <c r="K54" s="17"/>
      <c r="L54" s="18"/>
      <c r="M54" s="19"/>
      <c r="N54" s="16"/>
      <c r="O54" s="17"/>
      <c r="P54" s="18"/>
      <c r="Q54" s="19"/>
      <c r="R54" s="16"/>
      <c r="S54" s="17"/>
      <c r="T54" s="18"/>
      <c r="U54" s="19"/>
      <c r="V54" s="16"/>
      <c r="W54" s="17"/>
      <c r="X54" s="18"/>
      <c r="Y54" s="19"/>
      <c r="Z54" s="16"/>
      <c r="AA54" s="17"/>
      <c r="AB54" s="18"/>
      <c r="AC54" s="19"/>
      <c r="AD54" s="16"/>
      <c r="AE54" s="17"/>
      <c r="AF54" s="18"/>
      <c r="AG54" s="19"/>
      <c r="AH54" s="16"/>
      <c r="AI54" s="17"/>
      <c r="AJ54" s="18"/>
      <c r="AK54" s="19"/>
      <c r="AL54" s="16"/>
      <c r="AM54" s="17"/>
      <c r="AN54" s="18"/>
      <c r="AO54" s="19"/>
      <c r="AP54" s="16"/>
      <c r="AQ54" s="17"/>
      <c r="AR54" s="18"/>
      <c r="AS54" s="19"/>
      <c r="AT54" s="16"/>
      <c r="AU54" s="17"/>
      <c r="AV54" s="18"/>
      <c r="AW54" s="19"/>
      <c r="AX54" s="16"/>
      <c r="AY54" s="17"/>
      <c r="AZ54" s="18"/>
      <c r="BA54" s="19"/>
      <c r="BB54" s="16"/>
      <c r="BC54" s="17"/>
      <c r="BD54" s="18"/>
      <c r="BE54" s="19"/>
      <c r="BF54" s="16"/>
      <c r="BG54" s="17"/>
      <c r="BH54" s="18"/>
      <c r="BI54" s="19"/>
      <c r="BJ54" s="16"/>
      <c r="BK54" s="16"/>
      <c r="BL54" s="16"/>
      <c r="BM54" s="17"/>
      <c r="BN54" s="18"/>
      <c r="BO54" s="19"/>
      <c r="BP54" s="16"/>
      <c r="BQ54" s="17"/>
      <c r="BR54" s="18"/>
      <c r="BS54" s="19"/>
      <c r="BT54" s="24">
        <v>0</v>
      </c>
      <c r="BU54" s="68">
        <v>0</v>
      </c>
      <c r="BV54" s="68">
        <v>0</v>
      </c>
      <c r="BW54" s="25">
        <v>0</v>
      </c>
      <c r="BX54" s="18"/>
      <c r="BY54" s="19"/>
      <c r="BZ54" s="16"/>
      <c r="CA54" s="17"/>
      <c r="CB54" s="18"/>
      <c r="CC54" s="19"/>
      <c r="CD54" s="16"/>
      <c r="CE54" s="17"/>
      <c r="CF54" s="14"/>
      <c r="CG54" s="15"/>
      <c r="CH54" s="15"/>
      <c r="CI54" s="15"/>
      <c r="CN54" s="176"/>
      <c r="CO54" s="177"/>
      <c r="CP54" s="178"/>
      <c r="CQ54" s="179"/>
    </row>
    <row r="55" spans="1:95" ht="25.5" hidden="1" customHeight="1" x14ac:dyDescent="0.55000000000000004">
      <c r="A55" s="7"/>
      <c r="B55" s="16"/>
      <c r="C55" s="17"/>
      <c r="D55" s="18"/>
      <c r="E55" s="19"/>
      <c r="F55" s="16"/>
      <c r="G55" s="17"/>
      <c r="H55" s="18"/>
      <c r="I55" s="19"/>
      <c r="J55" s="16"/>
      <c r="K55" s="17"/>
      <c r="L55" s="18"/>
      <c r="M55" s="19"/>
      <c r="N55" s="16"/>
      <c r="O55" s="17"/>
      <c r="P55" s="18"/>
      <c r="Q55" s="19"/>
      <c r="R55" s="16"/>
      <c r="S55" s="17"/>
      <c r="T55" s="18"/>
      <c r="U55" s="19"/>
      <c r="V55" s="16"/>
      <c r="W55" s="17"/>
      <c r="X55" s="18"/>
      <c r="Y55" s="19"/>
      <c r="Z55" s="16"/>
      <c r="AA55" s="17"/>
      <c r="AB55" s="18"/>
      <c r="AC55" s="19"/>
      <c r="AD55" s="16"/>
      <c r="AE55" s="17"/>
      <c r="AF55" s="18"/>
      <c r="AG55" s="19"/>
      <c r="AH55" s="16"/>
      <c r="AI55" s="17"/>
      <c r="AJ55" s="18"/>
      <c r="AK55" s="19"/>
      <c r="AL55" s="16"/>
      <c r="AM55" s="17"/>
      <c r="AN55" s="18"/>
      <c r="AO55" s="19"/>
      <c r="AP55" s="16"/>
      <c r="AQ55" s="17"/>
      <c r="AR55" s="18"/>
      <c r="AS55" s="19"/>
      <c r="AT55" s="16"/>
      <c r="AU55" s="17"/>
      <c r="AV55" s="18"/>
      <c r="AW55" s="19"/>
      <c r="AX55" s="16"/>
      <c r="AY55" s="17"/>
      <c r="AZ55" s="18"/>
      <c r="BA55" s="19"/>
      <c r="BB55" s="16"/>
      <c r="BC55" s="17"/>
      <c r="BD55" s="18"/>
      <c r="BE55" s="19"/>
      <c r="BF55" s="16"/>
      <c r="BG55" s="17"/>
      <c r="BH55" s="18"/>
      <c r="BI55" s="19"/>
      <c r="BJ55" s="16"/>
      <c r="BK55" s="16"/>
      <c r="BL55" s="16"/>
      <c r="BM55" s="17"/>
      <c r="BN55" s="18"/>
      <c r="BO55" s="19"/>
      <c r="BP55" s="16"/>
      <c r="BQ55" s="17"/>
      <c r="BR55" s="18"/>
      <c r="BS55" s="19"/>
      <c r="BT55" s="24">
        <v>0</v>
      </c>
      <c r="BU55" s="68">
        <v>0</v>
      </c>
      <c r="BV55" s="68">
        <v>0</v>
      </c>
      <c r="BW55" s="25">
        <v>0</v>
      </c>
      <c r="BX55" s="18"/>
      <c r="BY55" s="19"/>
      <c r="BZ55" s="16"/>
      <c r="CA55" s="17"/>
      <c r="CB55" s="18"/>
      <c r="CC55" s="19"/>
      <c r="CD55" s="16"/>
      <c r="CE55" s="17"/>
      <c r="CF55" s="14"/>
      <c r="CG55" s="15"/>
      <c r="CH55" s="15"/>
      <c r="CI55" s="15"/>
      <c r="CN55" s="176"/>
      <c r="CO55" s="177"/>
      <c r="CP55" s="178"/>
      <c r="CQ55" s="179"/>
    </row>
    <row r="56" spans="1:95" ht="25.5" hidden="1" customHeight="1" x14ac:dyDescent="0.55000000000000004">
      <c r="A56" s="7"/>
      <c r="B56" s="16"/>
      <c r="C56" s="17"/>
      <c r="D56" s="18"/>
      <c r="E56" s="19"/>
      <c r="F56" s="16"/>
      <c r="G56" s="17"/>
      <c r="H56" s="18"/>
      <c r="I56" s="19"/>
      <c r="J56" s="16"/>
      <c r="K56" s="17"/>
      <c r="L56" s="18"/>
      <c r="M56" s="19"/>
      <c r="N56" s="16"/>
      <c r="O56" s="17"/>
      <c r="P56" s="18"/>
      <c r="Q56" s="19"/>
      <c r="R56" s="16"/>
      <c r="S56" s="17"/>
      <c r="T56" s="18"/>
      <c r="U56" s="19"/>
      <c r="V56" s="16"/>
      <c r="W56" s="17"/>
      <c r="X56" s="18"/>
      <c r="Y56" s="19"/>
      <c r="Z56" s="16"/>
      <c r="AA56" s="17"/>
      <c r="AB56" s="18"/>
      <c r="AC56" s="19"/>
      <c r="AD56" s="16"/>
      <c r="AE56" s="17"/>
      <c r="AF56" s="18"/>
      <c r="AG56" s="19"/>
      <c r="AH56" s="16"/>
      <c r="AI56" s="17"/>
      <c r="AJ56" s="18"/>
      <c r="AK56" s="19"/>
      <c r="AL56" s="16"/>
      <c r="AM56" s="17"/>
      <c r="AN56" s="18"/>
      <c r="AO56" s="19"/>
      <c r="AP56" s="16"/>
      <c r="AQ56" s="17"/>
      <c r="AR56" s="18"/>
      <c r="AS56" s="19"/>
      <c r="AT56" s="16"/>
      <c r="AU56" s="17"/>
      <c r="AV56" s="18"/>
      <c r="AW56" s="19"/>
      <c r="AX56" s="16"/>
      <c r="AY56" s="17"/>
      <c r="AZ56" s="18"/>
      <c r="BA56" s="19"/>
      <c r="BB56" s="16"/>
      <c r="BC56" s="17"/>
      <c r="BD56" s="18"/>
      <c r="BE56" s="19"/>
      <c r="BF56" s="16"/>
      <c r="BG56" s="17"/>
      <c r="BH56" s="18"/>
      <c r="BI56" s="19"/>
      <c r="BJ56" s="16"/>
      <c r="BK56" s="16"/>
      <c r="BL56" s="16"/>
      <c r="BM56" s="17"/>
      <c r="BN56" s="18"/>
      <c r="BO56" s="19"/>
      <c r="BP56" s="16"/>
      <c r="BQ56" s="17"/>
      <c r="BR56" s="18"/>
      <c r="BS56" s="19"/>
      <c r="BT56" s="24">
        <v>0</v>
      </c>
      <c r="BU56" s="68">
        <v>0</v>
      </c>
      <c r="BV56" s="68">
        <v>0</v>
      </c>
      <c r="BW56" s="25">
        <v>0</v>
      </c>
      <c r="BX56" s="18"/>
      <c r="BY56" s="19"/>
      <c r="BZ56" s="16"/>
      <c r="CA56" s="17"/>
      <c r="CB56" s="18"/>
      <c r="CC56" s="19"/>
      <c r="CD56" s="16"/>
      <c r="CE56" s="17"/>
      <c r="CF56" s="14"/>
      <c r="CG56" s="15"/>
      <c r="CH56" s="15"/>
      <c r="CI56" s="15"/>
      <c r="CN56" s="176"/>
      <c r="CO56" s="177"/>
      <c r="CP56" s="178"/>
      <c r="CQ56" s="179"/>
    </row>
    <row r="57" spans="1:95" ht="25.5" hidden="1" customHeight="1" x14ac:dyDescent="0.55000000000000004">
      <c r="A57" s="7"/>
      <c r="B57" s="16"/>
      <c r="C57" s="17"/>
      <c r="D57" s="18"/>
      <c r="E57" s="19"/>
      <c r="F57" s="16"/>
      <c r="G57" s="17"/>
      <c r="H57" s="18"/>
      <c r="I57" s="19"/>
      <c r="J57" s="16"/>
      <c r="K57" s="17"/>
      <c r="L57" s="18"/>
      <c r="M57" s="19"/>
      <c r="N57" s="16"/>
      <c r="O57" s="17"/>
      <c r="P57" s="18"/>
      <c r="Q57" s="19"/>
      <c r="R57" s="16"/>
      <c r="S57" s="17"/>
      <c r="T57" s="18"/>
      <c r="U57" s="19"/>
      <c r="V57" s="16"/>
      <c r="W57" s="17"/>
      <c r="X57" s="18"/>
      <c r="Y57" s="19"/>
      <c r="Z57" s="16"/>
      <c r="AA57" s="17"/>
      <c r="AB57" s="18"/>
      <c r="AC57" s="19"/>
      <c r="AD57" s="16"/>
      <c r="AE57" s="17"/>
      <c r="AF57" s="18"/>
      <c r="AG57" s="19"/>
      <c r="AH57" s="16"/>
      <c r="AI57" s="17"/>
      <c r="AJ57" s="18"/>
      <c r="AK57" s="19"/>
      <c r="AL57" s="16"/>
      <c r="AM57" s="17"/>
      <c r="AN57" s="18"/>
      <c r="AO57" s="19"/>
      <c r="AP57" s="16"/>
      <c r="AQ57" s="17"/>
      <c r="AR57" s="18"/>
      <c r="AS57" s="19"/>
      <c r="AT57" s="16"/>
      <c r="AU57" s="17"/>
      <c r="AV57" s="18"/>
      <c r="AW57" s="19"/>
      <c r="AX57" s="16"/>
      <c r="AY57" s="17"/>
      <c r="AZ57" s="18"/>
      <c r="BA57" s="19"/>
      <c r="BB57" s="16"/>
      <c r="BC57" s="17"/>
      <c r="BD57" s="18"/>
      <c r="BE57" s="19"/>
      <c r="BF57" s="16"/>
      <c r="BG57" s="17"/>
      <c r="BH57" s="18"/>
      <c r="BI57" s="19"/>
      <c r="BJ57" s="16"/>
      <c r="BK57" s="16"/>
      <c r="BL57" s="16"/>
      <c r="BM57" s="17"/>
      <c r="BN57" s="18"/>
      <c r="BO57" s="19"/>
      <c r="BP57" s="16"/>
      <c r="BQ57" s="17"/>
      <c r="BR57" s="18"/>
      <c r="BS57" s="19"/>
      <c r="BT57" s="24">
        <v>0</v>
      </c>
      <c r="BU57" s="68">
        <v>0</v>
      </c>
      <c r="BV57" s="68">
        <v>0</v>
      </c>
      <c r="BW57" s="25">
        <v>0</v>
      </c>
      <c r="BX57" s="18"/>
      <c r="BY57" s="19"/>
      <c r="BZ57" s="16"/>
      <c r="CA57" s="17"/>
      <c r="CB57" s="18"/>
      <c r="CC57" s="19"/>
      <c r="CD57" s="16"/>
      <c r="CE57" s="17"/>
      <c r="CF57" s="14"/>
      <c r="CG57" s="15"/>
      <c r="CH57" s="15"/>
      <c r="CI57" s="15"/>
      <c r="CN57" s="176"/>
      <c r="CO57" s="177"/>
      <c r="CP57" s="178"/>
      <c r="CQ57" s="179"/>
    </row>
    <row r="58" spans="1:95" ht="25.5" hidden="1" customHeight="1" x14ac:dyDescent="0.55000000000000004">
      <c r="A58" s="7"/>
      <c r="B58" s="16"/>
      <c r="C58" s="17"/>
      <c r="D58" s="18"/>
      <c r="E58" s="19"/>
      <c r="F58" s="16"/>
      <c r="G58" s="17"/>
      <c r="H58" s="18"/>
      <c r="I58" s="19"/>
      <c r="J58" s="16"/>
      <c r="K58" s="17"/>
      <c r="L58" s="18"/>
      <c r="M58" s="19"/>
      <c r="N58" s="16"/>
      <c r="O58" s="17"/>
      <c r="P58" s="18"/>
      <c r="Q58" s="19"/>
      <c r="R58" s="16"/>
      <c r="S58" s="17"/>
      <c r="T58" s="18"/>
      <c r="U58" s="19"/>
      <c r="V58" s="16"/>
      <c r="W58" s="17"/>
      <c r="X58" s="18"/>
      <c r="Y58" s="19"/>
      <c r="Z58" s="16"/>
      <c r="AA58" s="17"/>
      <c r="AB58" s="18"/>
      <c r="AC58" s="19"/>
      <c r="AD58" s="16"/>
      <c r="AE58" s="17"/>
      <c r="AF58" s="18"/>
      <c r="AG58" s="19"/>
      <c r="AH58" s="16"/>
      <c r="AI58" s="17"/>
      <c r="AJ58" s="18"/>
      <c r="AK58" s="19"/>
      <c r="AL58" s="16"/>
      <c r="AM58" s="17"/>
      <c r="AN58" s="18"/>
      <c r="AO58" s="19"/>
      <c r="AP58" s="16"/>
      <c r="AQ58" s="17"/>
      <c r="AR58" s="18"/>
      <c r="AS58" s="19"/>
      <c r="AT58" s="16"/>
      <c r="AU58" s="17"/>
      <c r="AV58" s="18"/>
      <c r="AW58" s="19"/>
      <c r="AX58" s="16"/>
      <c r="AY58" s="17"/>
      <c r="AZ58" s="18"/>
      <c r="BA58" s="19"/>
      <c r="BB58" s="16"/>
      <c r="BC58" s="17"/>
      <c r="BD58" s="18"/>
      <c r="BE58" s="19"/>
      <c r="BF58" s="16"/>
      <c r="BG58" s="17"/>
      <c r="BH58" s="18"/>
      <c r="BI58" s="19"/>
      <c r="BJ58" s="16"/>
      <c r="BK58" s="16"/>
      <c r="BL58" s="16"/>
      <c r="BM58" s="17"/>
      <c r="BN58" s="18"/>
      <c r="BO58" s="19"/>
      <c r="BP58" s="16"/>
      <c r="BQ58" s="17"/>
      <c r="BR58" s="18"/>
      <c r="BS58" s="19"/>
      <c r="BT58" s="24">
        <v>0</v>
      </c>
      <c r="BU58" s="68">
        <v>0</v>
      </c>
      <c r="BV58" s="68">
        <v>0</v>
      </c>
      <c r="BW58" s="25">
        <v>0</v>
      </c>
      <c r="BX58" s="18"/>
      <c r="BY58" s="19"/>
      <c r="BZ58" s="16"/>
      <c r="CA58" s="17"/>
      <c r="CB58" s="18"/>
      <c r="CC58" s="19"/>
      <c r="CD58" s="16"/>
      <c r="CE58" s="17"/>
      <c r="CF58" s="14"/>
      <c r="CG58" s="15"/>
      <c r="CH58" s="15"/>
      <c r="CI58" s="15"/>
      <c r="CN58" s="176"/>
      <c r="CO58" s="177"/>
      <c r="CP58" s="178"/>
      <c r="CQ58" s="179"/>
    </row>
    <row r="59" spans="1:95" ht="25.5" hidden="1" customHeight="1" x14ac:dyDescent="0.55000000000000004">
      <c r="A59" s="7"/>
      <c r="B59" s="16"/>
      <c r="C59" s="17"/>
      <c r="D59" s="18"/>
      <c r="E59" s="19"/>
      <c r="F59" s="16"/>
      <c r="G59" s="17"/>
      <c r="H59" s="18"/>
      <c r="I59" s="19"/>
      <c r="J59" s="16"/>
      <c r="K59" s="17"/>
      <c r="L59" s="18"/>
      <c r="M59" s="19"/>
      <c r="N59" s="16"/>
      <c r="O59" s="17"/>
      <c r="P59" s="18"/>
      <c r="Q59" s="19"/>
      <c r="R59" s="16"/>
      <c r="S59" s="17"/>
      <c r="T59" s="18"/>
      <c r="U59" s="19"/>
      <c r="V59" s="16"/>
      <c r="W59" s="17"/>
      <c r="X59" s="18"/>
      <c r="Y59" s="19"/>
      <c r="Z59" s="16"/>
      <c r="AA59" s="17"/>
      <c r="AB59" s="18"/>
      <c r="AC59" s="19"/>
      <c r="AD59" s="16"/>
      <c r="AE59" s="17"/>
      <c r="AF59" s="18"/>
      <c r="AG59" s="19"/>
      <c r="AH59" s="16"/>
      <c r="AI59" s="17"/>
      <c r="AJ59" s="18"/>
      <c r="AK59" s="19"/>
      <c r="AL59" s="16"/>
      <c r="AM59" s="17"/>
      <c r="AN59" s="18"/>
      <c r="AO59" s="19"/>
      <c r="AP59" s="16"/>
      <c r="AQ59" s="17"/>
      <c r="AR59" s="18"/>
      <c r="AS59" s="19"/>
      <c r="AT59" s="16"/>
      <c r="AU59" s="17"/>
      <c r="AV59" s="18"/>
      <c r="AW59" s="19"/>
      <c r="AX59" s="16"/>
      <c r="AY59" s="17"/>
      <c r="AZ59" s="18"/>
      <c r="BA59" s="19"/>
      <c r="BB59" s="16"/>
      <c r="BC59" s="17"/>
      <c r="BD59" s="18"/>
      <c r="BE59" s="19"/>
      <c r="BF59" s="16"/>
      <c r="BG59" s="17"/>
      <c r="BH59" s="18"/>
      <c r="BI59" s="19"/>
      <c r="BJ59" s="16"/>
      <c r="BK59" s="16"/>
      <c r="BL59" s="16"/>
      <c r="BM59" s="17"/>
      <c r="BN59" s="18"/>
      <c r="BO59" s="19"/>
      <c r="BP59" s="16"/>
      <c r="BQ59" s="17"/>
      <c r="BR59" s="18"/>
      <c r="BS59" s="19"/>
      <c r="BT59" s="24">
        <v>0</v>
      </c>
      <c r="BU59" s="68">
        <v>0</v>
      </c>
      <c r="BV59" s="68">
        <v>0</v>
      </c>
      <c r="BW59" s="25">
        <v>0</v>
      </c>
      <c r="BX59" s="18"/>
      <c r="BY59" s="19"/>
      <c r="BZ59" s="16"/>
      <c r="CA59" s="17"/>
      <c r="CB59" s="18"/>
      <c r="CC59" s="19"/>
      <c r="CD59" s="16"/>
      <c r="CE59" s="17"/>
      <c r="CF59" s="14"/>
      <c r="CG59" s="15"/>
      <c r="CH59" s="15"/>
      <c r="CI59" s="15"/>
      <c r="CN59" s="176"/>
      <c r="CO59" s="177"/>
      <c r="CP59" s="178"/>
      <c r="CQ59" s="179"/>
    </row>
    <row r="60" spans="1:95" ht="25.5" hidden="1" customHeight="1" x14ac:dyDescent="0.55000000000000004">
      <c r="A60" s="7"/>
      <c r="B60" s="16"/>
      <c r="C60" s="17"/>
      <c r="D60" s="18"/>
      <c r="E60" s="19"/>
      <c r="F60" s="16"/>
      <c r="G60" s="17"/>
      <c r="H60" s="18"/>
      <c r="I60" s="19"/>
      <c r="J60" s="16"/>
      <c r="K60" s="17"/>
      <c r="L60" s="18"/>
      <c r="M60" s="19"/>
      <c r="N60" s="16"/>
      <c r="O60" s="17"/>
      <c r="P60" s="18"/>
      <c r="Q60" s="19"/>
      <c r="R60" s="16"/>
      <c r="S60" s="17"/>
      <c r="T60" s="18"/>
      <c r="U60" s="19"/>
      <c r="V60" s="16"/>
      <c r="W60" s="17"/>
      <c r="X60" s="18"/>
      <c r="Y60" s="19"/>
      <c r="Z60" s="16"/>
      <c r="AA60" s="17"/>
      <c r="AB60" s="18"/>
      <c r="AC60" s="19"/>
      <c r="AD60" s="16"/>
      <c r="AE60" s="17"/>
      <c r="AF60" s="18"/>
      <c r="AG60" s="19"/>
      <c r="AH60" s="16"/>
      <c r="AI60" s="17"/>
      <c r="AJ60" s="18"/>
      <c r="AK60" s="19"/>
      <c r="AL60" s="16"/>
      <c r="AM60" s="17"/>
      <c r="AN60" s="18"/>
      <c r="AO60" s="19"/>
      <c r="AP60" s="16"/>
      <c r="AQ60" s="17"/>
      <c r="AR60" s="18"/>
      <c r="AS60" s="19"/>
      <c r="AT60" s="16"/>
      <c r="AU60" s="17"/>
      <c r="AV60" s="18"/>
      <c r="AW60" s="19"/>
      <c r="AX60" s="16"/>
      <c r="AY60" s="17"/>
      <c r="AZ60" s="18"/>
      <c r="BA60" s="19"/>
      <c r="BB60" s="16"/>
      <c r="BC60" s="17"/>
      <c r="BD60" s="18"/>
      <c r="BE60" s="19"/>
      <c r="BF60" s="16"/>
      <c r="BG60" s="17"/>
      <c r="BH60" s="18"/>
      <c r="BI60" s="19"/>
      <c r="BJ60" s="16"/>
      <c r="BK60" s="16"/>
      <c r="BL60" s="16"/>
      <c r="BM60" s="17"/>
      <c r="BN60" s="18"/>
      <c r="BO60" s="19"/>
      <c r="BP60" s="16"/>
      <c r="BQ60" s="17"/>
      <c r="BR60" s="18"/>
      <c r="BS60" s="19"/>
      <c r="BT60" s="24">
        <v>0</v>
      </c>
      <c r="BU60" s="68">
        <v>0</v>
      </c>
      <c r="BV60" s="68">
        <v>0</v>
      </c>
      <c r="BW60" s="25">
        <v>0</v>
      </c>
      <c r="BX60" s="18"/>
      <c r="BY60" s="19"/>
      <c r="BZ60" s="16"/>
      <c r="CA60" s="17"/>
      <c r="CB60" s="18"/>
      <c r="CC60" s="19"/>
      <c r="CD60" s="16"/>
      <c r="CE60" s="17"/>
      <c r="CF60" s="14"/>
      <c r="CG60" s="15"/>
      <c r="CH60" s="15"/>
      <c r="CI60" s="15"/>
      <c r="CN60" s="176"/>
      <c r="CO60" s="177"/>
      <c r="CP60" s="178"/>
      <c r="CQ60" s="179"/>
    </row>
    <row r="61" spans="1:95" ht="25.5" hidden="1" customHeight="1" x14ac:dyDescent="0.55000000000000004">
      <c r="A61" s="7"/>
      <c r="B61" s="16"/>
      <c r="C61" s="17"/>
      <c r="D61" s="18"/>
      <c r="E61" s="19"/>
      <c r="F61" s="16"/>
      <c r="G61" s="17"/>
      <c r="H61" s="18"/>
      <c r="I61" s="19"/>
      <c r="J61" s="16"/>
      <c r="K61" s="17"/>
      <c r="L61" s="18"/>
      <c r="M61" s="19"/>
      <c r="N61" s="16"/>
      <c r="O61" s="17"/>
      <c r="P61" s="18"/>
      <c r="Q61" s="19"/>
      <c r="R61" s="16"/>
      <c r="S61" s="17"/>
      <c r="T61" s="18"/>
      <c r="U61" s="19"/>
      <c r="V61" s="16"/>
      <c r="W61" s="17"/>
      <c r="X61" s="18"/>
      <c r="Y61" s="19"/>
      <c r="Z61" s="16"/>
      <c r="AA61" s="17"/>
      <c r="AB61" s="18"/>
      <c r="AC61" s="19"/>
      <c r="AD61" s="16"/>
      <c r="AE61" s="17"/>
      <c r="AF61" s="18"/>
      <c r="AG61" s="19"/>
      <c r="AH61" s="16"/>
      <c r="AI61" s="17"/>
      <c r="AJ61" s="18"/>
      <c r="AK61" s="19"/>
      <c r="AL61" s="16"/>
      <c r="AM61" s="17"/>
      <c r="AN61" s="18"/>
      <c r="AO61" s="19"/>
      <c r="AP61" s="16"/>
      <c r="AQ61" s="17"/>
      <c r="AR61" s="18"/>
      <c r="AS61" s="19"/>
      <c r="AT61" s="16"/>
      <c r="AU61" s="17"/>
      <c r="AV61" s="18"/>
      <c r="AW61" s="19"/>
      <c r="AX61" s="16"/>
      <c r="AY61" s="17"/>
      <c r="AZ61" s="18"/>
      <c r="BA61" s="19"/>
      <c r="BB61" s="16"/>
      <c r="BC61" s="17"/>
      <c r="BD61" s="18"/>
      <c r="BE61" s="19"/>
      <c r="BF61" s="16"/>
      <c r="BG61" s="17"/>
      <c r="BH61" s="18"/>
      <c r="BI61" s="19"/>
      <c r="BJ61" s="16"/>
      <c r="BK61" s="16"/>
      <c r="BL61" s="16"/>
      <c r="BM61" s="17"/>
      <c r="BN61" s="18"/>
      <c r="BO61" s="19"/>
      <c r="BP61" s="16"/>
      <c r="BQ61" s="17"/>
      <c r="BR61" s="18"/>
      <c r="BS61" s="19"/>
      <c r="BT61" s="24">
        <v>0</v>
      </c>
      <c r="BU61" s="68">
        <v>0</v>
      </c>
      <c r="BV61" s="68">
        <v>0</v>
      </c>
      <c r="BW61" s="25">
        <v>0</v>
      </c>
      <c r="BX61" s="18"/>
      <c r="BY61" s="19"/>
      <c r="BZ61" s="16"/>
      <c r="CA61" s="17"/>
      <c r="CB61" s="18"/>
      <c r="CC61" s="19"/>
      <c r="CD61" s="16"/>
      <c r="CE61" s="17"/>
      <c r="CF61" s="14"/>
      <c r="CG61" s="15"/>
      <c r="CH61" s="15"/>
      <c r="CI61" s="15"/>
      <c r="CN61" s="176"/>
      <c r="CO61" s="177"/>
      <c r="CP61" s="178"/>
      <c r="CQ61" s="179"/>
    </row>
    <row r="62" spans="1:95" ht="25.5" hidden="1" customHeight="1" x14ac:dyDescent="0.55000000000000004">
      <c r="A62" s="7"/>
      <c r="B62" s="16"/>
      <c r="C62" s="17"/>
      <c r="D62" s="18"/>
      <c r="E62" s="19"/>
      <c r="F62" s="16"/>
      <c r="G62" s="17"/>
      <c r="H62" s="18"/>
      <c r="I62" s="19"/>
      <c r="J62" s="16"/>
      <c r="K62" s="17"/>
      <c r="L62" s="18"/>
      <c r="M62" s="19"/>
      <c r="N62" s="16"/>
      <c r="O62" s="17"/>
      <c r="P62" s="18"/>
      <c r="Q62" s="19"/>
      <c r="R62" s="16"/>
      <c r="S62" s="17"/>
      <c r="T62" s="18"/>
      <c r="U62" s="19"/>
      <c r="V62" s="16"/>
      <c r="W62" s="17"/>
      <c r="X62" s="18"/>
      <c r="Y62" s="19"/>
      <c r="Z62" s="16"/>
      <c r="AA62" s="17"/>
      <c r="AB62" s="18"/>
      <c r="AC62" s="19"/>
      <c r="AD62" s="16"/>
      <c r="AE62" s="17"/>
      <c r="AF62" s="18"/>
      <c r="AG62" s="19"/>
      <c r="AH62" s="16"/>
      <c r="AI62" s="17"/>
      <c r="AJ62" s="18"/>
      <c r="AK62" s="19"/>
      <c r="AL62" s="16"/>
      <c r="AM62" s="17"/>
      <c r="AN62" s="18"/>
      <c r="AO62" s="19"/>
      <c r="AP62" s="16"/>
      <c r="AQ62" s="17"/>
      <c r="AR62" s="18"/>
      <c r="AS62" s="19"/>
      <c r="AT62" s="16"/>
      <c r="AU62" s="17"/>
      <c r="AV62" s="18"/>
      <c r="AW62" s="19"/>
      <c r="AX62" s="16"/>
      <c r="AY62" s="17"/>
      <c r="AZ62" s="18"/>
      <c r="BA62" s="19"/>
      <c r="BB62" s="16"/>
      <c r="BC62" s="17"/>
      <c r="BD62" s="18"/>
      <c r="BE62" s="19"/>
      <c r="BF62" s="16"/>
      <c r="BG62" s="17"/>
      <c r="BH62" s="18"/>
      <c r="BI62" s="19"/>
      <c r="BJ62" s="16"/>
      <c r="BK62" s="16"/>
      <c r="BL62" s="16"/>
      <c r="BM62" s="17"/>
      <c r="BN62" s="18"/>
      <c r="BO62" s="19"/>
      <c r="BP62" s="16"/>
      <c r="BQ62" s="17"/>
      <c r="BR62" s="18"/>
      <c r="BS62" s="19"/>
      <c r="BT62" s="24">
        <v>0</v>
      </c>
      <c r="BU62" s="68">
        <v>0</v>
      </c>
      <c r="BV62" s="68">
        <v>0</v>
      </c>
      <c r="BW62" s="25">
        <v>0</v>
      </c>
      <c r="BX62" s="18"/>
      <c r="BY62" s="19"/>
      <c r="BZ62" s="16"/>
      <c r="CA62" s="17"/>
      <c r="CB62" s="18"/>
      <c r="CC62" s="19"/>
      <c r="CD62" s="16"/>
      <c r="CE62" s="17"/>
      <c r="CF62" s="14"/>
      <c r="CG62" s="15"/>
      <c r="CH62" s="15"/>
      <c r="CI62" s="15"/>
      <c r="CN62" s="176"/>
      <c r="CO62" s="177"/>
      <c r="CP62" s="178"/>
      <c r="CQ62" s="179"/>
    </row>
    <row r="63" spans="1:95" ht="25.5" hidden="1" customHeight="1" x14ac:dyDescent="0.55000000000000004">
      <c r="A63" s="7"/>
      <c r="B63" s="16"/>
      <c r="C63" s="17"/>
      <c r="D63" s="18"/>
      <c r="E63" s="19"/>
      <c r="F63" s="16"/>
      <c r="G63" s="17"/>
      <c r="H63" s="18"/>
      <c r="I63" s="19"/>
      <c r="J63" s="16"/>
      <c r="K63" s="17"/>
      <c r="L63" s="18"/>
      <c r="M63" s="19"/>
      <c r="N63" s="16"/>
      <c r="O63" s="17"/>
      <c r="P63" s="18"/>
      <c r="Q63" s="19"/>
      <c r="R63" s="16"/>
      <c r="S63" s="17"/>
      <c r="T63" s="18"/>
      <c r="U63" s="19"/>
      <c r="V63" s="16"/>
      <c r="W63" s="17"/>
      <c r="X63" s="18"/>
      <c r="Y63" s="19"/>
      <c r="Z63" s="16"/>
      <c r="AA63" s="17"/>
      <c r="AB63" s="18"/>
      <c r="AC63" s="19"/>
      <c r="AD63" s="16"/>
      <c r="AE63" s="17"/>
      <c r="AF63" s="18"/>
      <c r="AG63" s="19"/>
      <c r="AH63" s="16"/>
      <c r="AI63" s="17"/>
      <c r="AJ63" s="18"/>
      <c r="AK63" s="19"/>
      <c r="AL63" s="16"/>
      <c r="AM63" s="17"/>
      <c r="AN63" s="18"/>
      <c r="AO63" s="19"/>
      <c r="AP63" s="16"/>
      <c r="AQ63" s="17"/>
      <c r="AR63" s="18"/>
      <c r="AS63" s="19"/>
      <c r="AT63" s="16"/>
      <c r="AU63" s="17"/>
      <c r="AV63" s="18"/>
      <c r="AW63" s="19"/>
      <c r="AX63" s="16"/>
      <c r="AY63" s="17"/>
      <c r="AZ63" s="18"/>
      <c r="BA63" s="19"/>
      <c r="BB63" s="16"/>
      <c r="BC63" s="17"/>
      <c r="BD63" s="18"/>
      <c r="BE63" s="19"/>
      <c r="BF63" s="16"/>
      <c r="BG63" s="17"/>
      <c r="BH63" s="18"/>
      <c r="BI63" s="19"/>
      <c r="BJ63" s="16"/>
      <c r="BK63" s="16"/>
      <c r="BL63" s="16"/>
      <c r="BM63" s="17"/>
      <c r="BN63" s="18"/>
      <c r="BO63" s="19"/>
      <c r="BP63" s="16"/>
      <c r="BQ63" s="17"/>
      <c r="BR63" s="18"/>
      <c r="BS63" s="19"/>
      <c r="BT63" s="24">
        <v>0</v>
      </c>
      <c r="BU63" s="68">
        <v>0</v>
      </c>
      <c r="BV63" s="68">
        <v>0</v>
      </c>
      <c r="BW63" s="25">
        <v>0</v>
      </c>
      <c r="BX63" s="18"/>
      <c r="BY63" s="19"/>
      <c r="BZ63" s="16"/>
      <c r="CA63" s="17"/>
      <c r="CB63" s="18"/>
      <c r="CC63" s="19"/>
      <c r="CD63" s="16"/>
      <c r="CE63" s="17"/>
      <c r="CF63" s="14"/>
      <c r="CG63" s="15"/>
      <c r="CH63" s="15"/>
      <c r="CI63" s="15"/>
      <c r="CN63" s="176"/>
      <c r="CO63" s="177"/>
      <c r="CP63" s="178"/>
      <c r="CQ63" s="179"/>
    </row>
    <row r="64" spans="1:95" ht="25.5" hidden="1" customHeight="1" x14ac:dyDescent="0.55000000000000004">
      <c r="A64" s="7"/>
      <c r="B64" s="16"/>
      <c r="C64" s="17"/>
      <c r="D64" s="18"/>
      <c r="E64" s="19"/>
      <c r="F64" s="16"/>
      <c r="G64" s="17"/>
      <c r="H64" s="18"/>
      <c r="I64" s="19"/>
      <c r="J64" s="16"/>
      <c r="K64" s="17"/>
      <c r="L64" s="18"/>
      <c r="M64" s="19"/>
      <c r="N64" s="16"/>
      <c r="O64" s="17"/>
      <c r="P64" s="18"/>
      <c r="Q64" s="19"/>
      <c r="R64" s="16"/>
      <c r="S64" s="17"/>
      <c r="T64" s="18"/>
      <c r="U64" s="19"/>
      <c r="V64" s="16"/>
      <c r="W64" s="17"/>
      <c r="X64" s="18"/>
      <c r="Y64" s="19"/>
      <c r="Z64" s="16"/>
      <c r="AA64" s="17"/>
      <c r="AB64" s="18"/>
      <c r="AC64" s="19"/>
      <c r="AD64" s="16"/>
      <c r="AE64" s="17"/>
      <c r="AF64" s="18"/>
      <c r="AG64" s="19"/>
      <c r="AH64" s="16"/>
      <c r="AI64" s="17"/>
      <c r="AJ64" s="18"/>
      <c r="AK64" s="19"/>
      <c r="AL64" s="16"/>
      <c r="AM64" s="17"/>
      <c r="AN64" s="18"/>
      <c r="AO64" s="19"/>
      <c r="AP64" s="16"/>
      <c r="AQ64" s="17"/>
      <c r="AR64" s="18"/>
      <c r="AS64" s="19"/>
      <c r="AT64" s="16"/>
      <c r="AU64" s="17"/>
      <c r="AV64" s="18"/>
      <c r="AW64" s="19"/>
      <c r="AX64" s="16"/>
      <c r="AY64" s="17"/>
      <c r="AZ64" s="18"/>
      <c r="BA64" s="19"/>
      <c r="BB64" s="16"/>
      <c r="BC64" s="17"/>
      <c r="BD64" s="18"/>
      <c r="BE64" s="19"/>
      <c r="BF64" s="16"/>
      <c r="BG64" s="17"/>
      <c r="BH64" s="18"/>
      <c r="BI64" s="19"/>
      <c r="BJ64" s="16"/>
      <c r="BK64" s="16"/>
      <c r="BL64" s="16"/>
      <c r="BM64" s="17"/>
      <c r="BN64" s="18"/>
      <c r="BO64" s="19"/>
      <c r="BP64" s="16"/>
      <c r="BQ64" s="17"/>
      <c r="BR64" s="18"/>
      <c r="BS64" s="19"/>
      <c r="BT64" s="24">
        <v>0</v>
      </c>
      <c r="BU64" s="68">
        <v>0</v>
      </c>
      <c r="BV64" s="68">
        <v>0</v>
      </c>
      <c r="BW64" s="25">
        <v>0</v>
      </c>
      <c r="BX64" s="18"/>
      <c r="BY64" s="19"/>
      <c r="BZ64" s="16"/>
      <c r="CA64" s="17"/>
      <c r="CB64" s="18"/>
      <c r="CC64" s="19"/>
      <c r="CD64" s="16"/>
      <c r="CE64" s="17"/>
      <c r="CF64" s="14"/>
      <c r="CG64" s="15"/>
      <c r="CH64" s="15"/>
      <c r="CI64" s="15"/>
      <c r="CN64" s="176"/>
      <c r="CO64" s="177"/>
      <c r="CP64" s="178"/>
      <c r="CQ64" s="179"/>
    </row>
    <row r="65" spans="1:95" ht="25.5" hidden="1" customHeight="1" x14ac:dyDescent="0.55000000000000004">
      <c r="A65" s="7"/>
      <c r="B65" s="16"/>
      <c r="C65" s="17"/>
      <c r="D65" s="18"/>
      <c r="E65" s="19"/>
      <c r="F65" s="16"/>
      <c r="G65" s="17"/>
      <c r="H65" s="18"/>
      <c r="I65" s="19"/>
      <c r="J65" s="16"/>
      <c r="K65" s="17"/>
      <c r="L65" s="18"/>
      <c r="M65" s="19"/>
      <c r="N65" s="16"/>
      <c r="O65" s="17"/>
      <c r="P65" s="18"/>
      <c r="Q65" s="19"/>
      <c r="R65" s="16"/>
      <c r="S65" s="17"/>
      <c r="T65" s="18"/>
      <c r="U65" s="19"/>
      <c r="V65" s="16"/>
      <c r="W65" s="17"/>
      <c r="X65" s="18"/>
      <c r="Y65" s="19"/>
      <c r="Z65" s="16"/>
      <c r="AA65" s="17"/>
      <c r="AB65" s="18"/>
      <c r="AC65" s="19"/>
      <c r="AD65" s="16"/>
      <c r="AE65" s="17"/>
      <c r="AF65" s="18"/>
      <c r="AG65" s="19"/>
      <c r="AH65" s="16"/>
      <c r="AI65" s="17"/>
      <c r="AJ65" s="18"/>
      <c r="AK65" s="19"/>
      <c r="AL65" s="16"/>
      <c r="AM65" s="17"/>
      <c r="AN65" s="18"/>
      <c r="AO65" s="19"/>
      <c r="AP65" s="16"/>
      <c r="AQ65" s="17"/>
      <c r="AR65" s="18"/>
      <c r="AS65" s="19"/>
      <c r="AT65" s="16"/>
      <c r="AU65" s="17"/>
      <c r="AV65" s="18"/>
      <c r="AW65" s="19"/>
      <c r="AX65" s="16"/>
      <c r="AY65" s="17"/>
      <c r="AZ65" s="18"/>
      <c r="BA65" s="19"/>
      <c r="BB65" s="16"/>
      <c r="BC65" s="17"/>
      <c r="BD65" s="18"/>
      <c r="BE65" s="19"/>
      <c r="BF65" s="16"/>
      <c r="BG65" s="17"/>
      <c r="BH65" s="18"/>
      <c r="BI65" s="19"/>
      <c r="BJ65" s="16"/>
      <c r="BK65" s="16"/>
      <c r="BL65" s="16"/>
      <c r="BM65" s="17"/>
      <c r="BN65" s="18"/>
      <c r="BO65" s="19"/>
      <c r="BP65" s="16"/>
      <c r="BQ65" s="17"/>
      <c r="BR65" s="18"/>
      <c r="BS65" s="19"/>
      <c r="BT65" s="24">
        <v>0</v>
      </c>
      <c r="BU65" s="68">
        <v>0</v>
      </c>
      <c r="BV65" s="68">
        <v>0</v>
      </c>
      <c r="BW65" s="25">
        <v>0</v>
      </c>
      <c r="BX65" s="18"/>
      <c r="BY65" s="19"/>
      <c r="BZ65" s="16"/>
      <c r="CA65" s="17"/>
      <c r="CB65" s="18"/>
      <c r="CC65" s="19"/>
      <c r="CD65" s="16"/>
      <c r="CE65" s="17"/>
      <c r="CF65" s="14"/>
      <c r="CG65" s="15"/>
      <c r="CH65" s="15"/>
      <c r="CI65" s="15"/>
      <c r="CN65" s="176"/>
      <c r="CO65" s="177"/>
      <c r="CP65" s="178"/>
      <c r="CQ65" s="179"/>
    </row>
    <row r="66" spans="1:95" ht="25.5" hidden="1" customHeight="1" x14ac:dyDescent="0.55000000000000004">
      <c r="A66" s="7"/>
      <c r="B66" s="16"/>
      <c r="C66" s="17"/>
      <c r="D66" s="18"/>
      <c r="E66" s="19"/>
      <c r="F66" s="16"/>
      <c r="G66" s="17"/>
      <c r="H66" s="18"/>
      <c r="I66" s="19"/>
      <c r="J66" s="16"/>
      <c r="K66" s="17"/>
      <c r="L66" s="18"/>
      <c r="M66" s="19"/>
      <c r="N66" s="16"/>
      <c r="O66" s="17"/>
      <c r="P66" s="18"/>
      <c r="Q66" s="19"/>
      <c r="R66" s="16"/>
      <c r="S66" s="17"/>
      <c r="T66" s="18"/>
      <c r="U66" s="19"/>
      <c r="V66" s="16"/>
      <c r="W66" s="17"/>
      <c r="X66" s="18"/>
      <c r="Y66" s="19"/>
      <c r="Z66" s="16"/>
      <c r="AA66" s="17"/>
      <c r="AB66" s="18"/>
      <c r="AC66" s="19"/>
      <c r="AD66" s="16"/>
      <c r="AE66" s="17"/>
      <c r="AF66" s="18"/>
      <c r="AG66" s="19"/>
      <c r="AH66" s="16"/>
      <c r="AI66" s="17"/>
      <c r="AJ66" s="18"/>
      <c r="AK66" s="19"/>
      <c r="AL66" s="16"/>
      <c r="AM66" s="17"/>
      <c r="AN66" s="18"/>
      <c r="AO66" s="19"/>
      <c r="AP66" s="16"/>
      <c r="AQ66" s="17"/>
      <c r="AR66" s="18"/>
      <c r="AS66" s="19"/>
      <c r="AT66" s="16"/>
      <c r="AU66" s="17"/>
      <c r="AV66" s="18"/>
      <c r="AW66" s="19"/>
      <c r="AX66" s="16"/>
      <c r="AY66" s="17"/>
      <c r="AZ66" s="18"/>
      <c r="BA66" s="19"/>
      <c r="BB66" s="16"/>
      <c r="BC66" s="17"/>
      <c r="BD66" s="18"/>
      <c r="BE66" s="19"/>
      <c r="BF66" s="16"/>
      <c r="BG66" s="17"/>
      <c r="BH66" s="18"/>
      <c r="BI66" s="19"/>
      <c r="BJ66" s="16"/>
      <c r="BK66" s="16"/>
      <c r="BL66" s="16"/>
      <c r="BM66" s="17"/>
      <c r="BN66" s="18"/>
      <c r="BO66" s="19"/>
      <c r="BP66" s="16"/>
      <c r="BQ66" s="17"/>
      <c r="BR66" s="18"/>
      <c r="BS66" s="19"/>
      <c r="BT66" s="24">
        <v>0</v>
      </c>
      <c r="BU66" s="68">
        <v>0</v>
      </c>
      <c r="BV66" s="68">
        <v>0</v>
      </c>
      <c r="BW66" s="25">
        <v>0</v>
      </c>
      <c r="BX66" s="18"/>
      <c r="BY66" s="19"/>
      <c r="BZ66" s="16"/>
      <c r="CA66" s="17"/>
      <c r="CB66" s="18"/>
      <c r="CC66" s="19"/>
      <c r="CD66" s="16"/>
      <c r="CE66" s="17"/>
      <c r="CF66" s="14"/>
      <c r="CG66" s="15"/>
      <c r="CH66" s="15"/>
      <c r="CI66" s="15"/>
      <c r="CN66" s="176"/>
      <c r="CO66" s="177"/>
      <c r="CP66" s="178"/>
      <c r="CQ66" s="179"/>
    </row>
    <row r="67" spans="1:95" ht="25.5" hidden="1" customHeight="1" x14ac:dyDescent="0.55000000000000004">
      <c r="A67" s="7"/>
      <c r="B67" s="16"/>
      <c r="C67" s="17"/>
      <c r="D67" s="18"/>
      <c r="E67" s="19"/>
      <c r="F67" s="16"/>
      <c r="G67" s="17"/>
      <c r="H67" s="18"/>
      <c r="I67" s="19"/>
      <c r="J67" s="16"/>
      <c r="K67" s="17"/>
      <c r="L67" s="18"/>
      <c r="M67" s="19"/>
      <c r="N67" s="16"/>
      <c r="O67" s="17"/>
      <c r="P67" s="18"/>
      <c r="Q67" s="19"/>
      <c r="R67" s="16"/>
      <c r="S67" s="17"/>
      <c r="T67" s="18"/>
      <c r="U67" s="19"/>
      <c r="V67" s="16"/>
      <c r="W67" s="17"/>
      <c r="X67" s="18"/>
      <c r="Y67" s="19"/>
      <c r="Z67" s="16"/>
      <c r="AA67" s="17"/>
      <c r="AB67" s="18"/>
      <c r="AC67" s="19"/>
      <c r="AD67" s="16"/>
      <c r="AE67" s="17"/>
      <c r="AF67" s="18"/>
      <c r="AG67" s="19"/>
      <c r="AH67" s="16"/>
      <c r="AI67" s="17"/>
      <c r="AJ67" s="18"/>
      <c r="AK67" s="19"/>
      <c r="AL67" s="16"/>
      <c r="AM67" s="17"/>
      <c r="AN67" s="18"/>
      <c r="AO67" s="19"/>
      <c r="AP67" s="16"/>
      <c r="AQ67" s="17"/>
      <c r="AR67" s="18"/>
      <c r="AS67" s="19"/>
      <c r="AT67" s="16"/>
      <c r="AU67" s="17"/>
      <c r="AV67" s="18"/>
      <c r="AW67" s="19"/>
      <c r="AX67" s="16"/>
      <c r="AY67" s="17"/>
      <c r="AZ67" s="18"/>
      <c r="BA67" s="19"/>
      <c r="BB67" s="16"/>
      <c r="BC67" s="17"/>
      <c r="BD67" s="18"/>
      <c r="BE67" s="19"/>
      <c r="BF67" s="16"/>
      <c r="BG67" s="17"/>
      <c r="BH67" s="18"/>
      <c r="BI67" s="19"/>
      <c r="BJ67" s="16"/>
      <c r="BK67" s="16"/>
      <c r="BL67" s="16"/>
      <c r="BM67" s="17"/>
      <c r="BN67" s="18"/>
      <c r="BO67" s="19"/>
      <c r="BP67" s="16"/>
      <c r="BQ67" s="17"/>
      <c r="BR67" s="18"/>
      <c r="BS67" s="19"/>
      <c r="BT67" s="24">
        <v>0</v>
      </c>
      <c r="BU67" s="68">
        <v>0</v>
      </c>
      <c r="BV67" s="68">
        <v>0</v>
      </c>
      <c r="BW67" s="25">
        <v>0</v>
      </c>
      <c r="BX67" s="18"/>
      <c r="BY67" s="19"/>
      <c r="BZ67" s="16"/>
      <c r="CA67" s="17"/>
      <c r="CB67" s="18"/>
      <c r="CC67" s="19"/>
      <c r="CD67" s="16"/>
      <c r="CE67" s="17"/>
      <c r="CF67" s="14"/>
      <c r="CG67" s="15"/>
      <c r="CH67" s="15"/>
      <c r="CI67" s="15"/>
      <c r="CN67" s="176"/>
      <c r="CO67" s="177"/>
      <c r="CP67" s="178"/>
      <c r="CQ67" s="179"/>
    </row>
    <row r="68" spans="1:95" ht="23.25" hidden="1" customHeight="1" x14ac:dyDescent="0.55000000000000004">
      <c r="A68" s="7"/>
      <c r="B68" s="16"/>
      <c r="C68" s="17"/>
      <c r="D68" s="18"/>
      <c r="E68" s="19"/>
      <c r="F68" s="16"/>
      <c r="G68" s="17"/>
      <c r="H68" s="18"/>
      <c r="I68" s="19"/>
      <c r="J68" s="16"/>
      <c r="K68" s="17"/>
      <c r="L68" s="18"/>
      <c r="M68" s="19"/>
      <c r="N68" s="16"/>
      <c r="O68" s="17"/>
      <c r="P68" s="18"/>
      <c r="Q68" s="19"/>
      <c r="R68" s="16"/>
      <c r="S68" s="17"/>
      <c r="T68" s="18"/>
      <c r="U68" s="19"/>
      <c r="V68" s="16"/>
      <c r="W68" s="17"/>
      <c r="X68" s="18"/>
      <c r="Y68" s="19"/>
      <c r="Z68" s="16"/>
      <c r="AA68" s="17"/>
      <c r="AB68" s="18"/>
      <c r="AC68" s="19"/>
      <c r="AD68" s="16"/>
      <c r="AE68" s="17"/>
      <c r="AF68" s="18"/>
      <c r="AG68" s="19"/>
      <c r="AH68" s="16"/>
      <c r="AI68" s="17"/>
      <c r="AJ68" s="18"/>
      <c r="AK68" s="19"/>
      <c r="AL68" s="16"/>
      <c r="AM68" s="17"/>
      <c r="AN68" s="18"/>
      <c r="AO68" s="19"/>
      <c r="AP68" s="16"/>
      <c r="AQ68" s="17"/>
      <c r="AR68" s="18"/>
      <c r="AS68" s="19"/>
      <c r="AT68" s="16"/>
      <c r="AU68" s="17"/>
      <c r="AV68" s="18"/>
      <c r="AW68" s="19"/>
      <c r="AX68" s="16"/>
      <c r="AY68" s="17"/>
      <c r="AZ68" s="18"/>
      <c r="BA68" s="19"/>
      <c r="BB68" s="16"/>
      <c r="BC68" s="17"/>
      <c r="BD68" s="18"/>
      <c r="BE68" s="19"/>
      <c r="BF68" s="16"/>
      <c r="BG68" s="17"/>
      <c r="BH68" s="18"/>
      <c r="BI68" s="19"/>
      <c r="BJ68" s="16"/>
      <c r="BK68" s="16"/>
      <c r="BL68" s="16"/>
      <c r="BM68" s="17"/>
      <c r="BN68" s="18"/>
      <c r="BO68" s="19"/>
      <c r="BP68" s="16"/>
      <c r="BQ68" s="17"/>
      <c r="BR68" s="18"/>
      <c r="BS68" s="19"/>
      <c r="BT68" s="24">
        <v>0</v>
      </c>
      <c r="BU68" s="68">
        <v>0</v>
      </c>
      <c r="BV68" s="68">
        <v>0</v>
      </c>
      <c r="BW68" s="25">
        <v>0</v>
      </c>
      <c r="BX68" s="18"/>
      <c r="BY68" s="19"/>
      <c r="BZ68" s="16"/>
      <c r="CA68" s="17"/>
      <c r="CB68" s="18"/>
      <c r="CC68" s="19"/>
      <c r="CD68" s="16"/>
      <c r="CE68" s="17"/>
      <c r="CF68" s="14"/>
      <c r="CG68" s="15"/>
      <c r="CH68" s="15"/>
      <c r="CI68" s="15"/>
      <c r="CN68" s="176"/>
      <c r="CO68" s="177"/>
      <c r="CP68" s="178"/>
      <c r="CQ68" s="179"/>
    </row>
    <row r="69" spans="1:95" ht="23.25" hidden="1" customHeight="1" x14ac:dyDescent="0.55000000000000004">
      <c r="A69" s="7"/>
      <c r="B69" s="16"/>
      <c r="C69" s="17"/>
      <c r="D69" s="18"/>
      <c r="E69" s="19"/>
      <c r="F69" s="16"/>
      <c r="G69" s="17"/>
      <c r="H69" s="18"/>
      <c r="I69" s="19"/>
      <c r="J69" s="16"/>
      <c r="K69" s="17"/>
      <c r="L69" s="18"/>
      <c r="M69" s="19"/>
      <c r="N69" s="16"/>
      <c r="O69" s="17"/>
      <c r="P69" s="18"/>
      <c r="Q69" s="19"/>
      <c r="R69" s="16"/>
      <c r="S69" s="17"/>
      <c r="T69" s="18"/>
      <c r="U69" s="19"/>
      <c r="V69" s="16"/>
      <c r="W69" s="17"/>
      <c r="X69" s="18"/>
      <c r="Y69" s="19"/>
      <c r="Z69" s="16"/>
      <c r="AA69" s="17"/>
      <c r="AB69" s="18"/>
      <c r="AC69" s="19"/>
      <c r="AD69" s="16"/>
      <c r="AE69" s="17"/>
      <c r="AF69" s="18"/>
      <c r="AG69" s="19"/>
      <c r="AH69" s="16"/>
      <c r="AI69" s="17"/>
      <c r="AJ69" s="18"/>
      <c r="AK69" s="19"/>
      <c r="AL69" s="16"/>
      <c r="AM69" s="17"/>
      <c r="AN69" s="18"/>
      <c r="AO69" s="19"/>
      <c r="AP69" s="16"/>
      <c r="AQ69" s="17"/>
      <c r="AR69" s="18"/>
      <c r="AS69" s="19"/>
      <c r="AT69" s="16"/>
      <c r="AU69" s="17"/>
      <c r="AV69" s="18"/>
      <c r="AW69" s="19"/>
      <c r="AX69" s="16"/>
      <c r="AY69" s="17"/>
      <c r="AZ69" s="18"/>
      <c r="BA69" s="19"/>
      <c r="BB69" s="16"/>
      <c r="BC69" s="17"/>
      <c r="BD69" s="18"/>
      <c r="BE69" s="19"/>
      <c r="BF69" s="16"/>
      <c r="BG69" s="17"/>
      <c r="BH69" s="18"/>
      <c r="BI69" s="19"/>
      <c r="BJ69" s="16"/>
      <c r="BK69" s="16"/>
      <c r="BL69" s="16"/>
      <c r="BM69" s="17"/>
      <c r="BN69" s="18"/>
      <c r="BO69" s="19"/>
      <c r="BP69" s="16"/>
      <c r="BQ69" s="17"/>
      <c r="BR69" s="18"/>
      <c r="BS69" s="19"/>
      <c r="BT69" s="24">
        <v>0</v>
      </c>
      <c r="BU69" s="68">
        <v>0</v>
      </c>
      <c r="BV69" s="68">
        <v>0</v>
      </c>
      <c r="BW69" s="25">
        <v>0</v>
      </c>
      <c r="BX69" s="18"/>
      <c r="BY69" s="19"/>
      <c r="BZ69" s="16"/>
      <c r="CA69" s="17"/>
      <c r="CB69" s="18"/>
      <c r="CC69" s="19"/>
      <c r="CD69" s="16"/>
      <c r="CE69" s="17"/>
      <c r="CF69" s="14"/>
      <c r="CG69" s="15"/>
      <c r="CH69" s="15"/>
      <c r="CI69" s="15"/>
      <c r="CN69" s="176"/>
      <c r="CO69" s="177"/>
      <c r="CP69" s="178"/>
      <c r="CQ69" s="179"/>
    </row>
    <row r="70" spans="1:95" ht="23.25" hidden="1" customHeight="1" x14ac:dyDescent="0.55000000000000004">
      <c r="A70" s="7"/>
      <c r="B70" s="16"/>
      <c r="C70" s="17"/>
      <c r="D70" s="18"/>
      <c r="E70" s="19"/>
      <c r="F70" s="16"/>
      <c r="G70" s="17"/>
      <c r="H70" s="18"/>
      <c r="I70" s="19"/>
      <c r="J70" s="16"/>
      <c r="K70" s="17"/>
      <c r="L70" s="18"/>
      <c r="M70" s="19"/>
      <c r="N70" s="16"/>
      <c r="O70" s="17"/>
      <c r="P70" s="18"/>
      <c r="Q70" s="19"/>
      <c r="R70" s="16"/>
      <c r="S70" s="17"/>
      <c r="T70" s="18"/>
      <c r="U70" s="19"/>
      <c r="V70" s="16"/>
      <c r="W70" s="17"/>
      <c r="X70" s="18"/>
      <c r="Y70" s="19"/>
      <c r="Z70" s="16"/>
      <c r="AA70" s="17"/>
      <c r="AB70" s="18"/>
      <c r="AC70" s="19"/>
      <c r="AD70" s="16"/>
      <c r="AE70" s="17"/>
      <c r="AF70" s="18"/>
      <c r="AG70" s="19"/>
      <c r="AH70" s="16"/>
      <c r="AI70" s="17"/>
      <c r="AJ70" s="18"/>
      <c r="AK70" s="19"/>
      <c r="AL70" s="16"/>
      <c r="AM70" s="17"/>
      <c r="AN70" s="18"/>
      <c r="AO70" s="19"/>
      <c r="AP70" s="16"/>
      <c r="AQ70" s="17"/>
      <c r="AR70" s="18"/>
      <c r="AS70" s="19"/>
      <c r="AT70" s="16"/>
      <c r="AU70" s="17"/>
      <c r="AV70" s="18"/>
      <c r="AW70" s="19"/>
      <c r="AX70" s="16"/>
      <c r="AY70" s="17"/>
      <c r="AZ70" s="18"/>
      <c r="BA70" s="19"/>
      <c r="BB70" s="16"/>
      <c r="BC70" s="17"/>
      <c r="BD70" s="18"/>
      <c r="BE70" s="19"/>
      <c r="BF70" s="16"/>
      <c r="BG70" s="17"/>
      <c r="BH70" s="18"/>
      <c r="BI70" s="19"/>
      <c r="BJ70" s="16"/>
      <c r="BK70" s="16"/>
      <c r="BL70" s="16"/>
      <c r="BM70" s="17"/>
      <c r="BN70" s="18"/>
      <c r="BO70" s="19"/>
      <c r="BP70" s="16"/>
      <c r="BQ70" s="17"/>
      <c r="BR70" s="18"/>
      <c r="BS70" s="19"/>
      <c r="BT70" s="24">
        <v>0</v>
      </c>
      <c r="BU70" s="68">
        <v>0</v>
      </c>
      <c r="BV70" s="68">
        <v>0</v>
      </c>
      <c r="BW70" s="25">
        <v>0</v>
      </c>
      <c r="BX70" s="18"/>
      <c r="BY70" s="19"/>
      <c r="BZ70" s="16"/>
      <c r="CA70" s="17"/>
      <c r="CB70" s="18"/>
      <c r="CC70" s="19"/>
      <c r="CD70" s="16"/>
      <c r="CE70" s="17"/>
      <c r="CF70" s="14"/>
      <c r="CG70" s="15"/>
      <c r="CH70" s="15"/>
      <c r="CI70" s="15"/>
      <c r="CN70" s="176"/>
      <c r="CO70" s="177"/>
      <c r="CP70" s="178"/>
      <c r="CQ70" s="179"/>
    </row>
    <row r="71" spans="1:95" ht="23.25" hidden="1" customHeight="1" x14ac:dyDescent="0.55000000000000004">
      <c r="A71" s="7"/>
      <c r="B71" s="16"/>
      <c r="C71" s="17"/>
      <c r="D71" s="18"/>
      <c r="E71" s="19"/>
      <c r="F71" s="16"/>
      <c r="G71" s="17"/>
      <c r="H71" s="18"/>
      <c r="I71" s="19"/>
      <c r="J71" s="16"/>
      <c r="K71" s="17"/>
      <c r="L71" s="18"/>
      <c r="M71" s="19"/>
      <c r="N71" s="16"/>
      <c r="O71" s="17"/>
      <c r="P71" s="18"/>
      <c r="Q71" s="19"/>
      <c r="R71" s="16"/>
      <c r="S71" s="17"/>
      <c r="T71" s="18"/>
      <c r="U71" s="19"/>
      <c r="V71" s="16"/>
      <c r="W71" s="17"/>
      <c r="X71" s="18"/>
      <c r="Y71" s="19"/>
      <c r="Z71" s="16"/>
      <c r="AA71" s="17"/>
      <c r="AB71" s="18"/>
      <c r="AC71" s="19"/>
      <c r="AD71" s="16"/>
      <c r="AE71" s="17"/>
      <c r="AF71" s="18"/>
      <c r="AG71" s="19"/>
      <c r="AH71" s="16"/>
      <c r="AI71" s="17"/>
      <c r="AJ71" s="18"/>
      <c r="AK71" s="19"/>
      <c r="AL71" s="16"/>
      <c r="AM71" s="17"/>
      <c r="AN71" s="18"/>
      <c r="AO71" s="19"/>
      <c r="AP71" s="16"/>
      <c r="AQ71" s="17"/>
      <c r="AR71" s="18"/>
      <c r="AS71" s="19"/>
      <c r="AT71" s="16"/>
      <c r="AU71" s="17"/>
      <c r="AV71" s="18"/>
      <c r="AW71" s="19"/>
      <c r="AX71" s="16"/>
      <c r="AY71" s="17"/>
      <c r="AZ71" s="18"/>
      <c r="BA71" s="19"/>
      <c r="BB71" s="16"/>
      <c r="BC71" s="17"/>
      <c r="BD71" s="18"/>
      <c r="BE71" s="19"/>
      <c r="BF71" s="16"/>
      <c r="BG71" s="17"/>
      <c r="BH71" s="18"/>
      <c r="BI71" s="19"/>
      <c r="BJ71" s="16"/>
      <c r="BK71" s="16"/>
      <c r="BL71" s="16"/>
      <c r="BM71" s="17"/>
      <c r="BN71" s="18"/>
      <c r="BO71" s="19"/>
      <c r="BP71" s="16"/>
      <c r="BQ71" s="17"/>
      <c r="BR71" s="18"/>
      <c r="BS71" s="19"/>
      <c r="BT71" s="24">
        <v>0</v>
      </c>
      <c r="BU71" s="68">
        <v>0</v>
      </c>
      <c r="BV71" s="68">
        <v>0</v>
      </c>
      <c r="BW71" s="25">
        <v>0</v>
      </c>
      <c r="BX71" s="18"/>
      <c r="BY71" s="19"/>
      <c r="BZ71" s="16"/>
      <c r="CA71" s="17"/>
      <c r="CB71" s="18"/>
      <c r="CC71" s="19"/>
      <c r="CD71" s="16"/>
      <c r="CE71" s="17"/>
      <c r="CF71" s="14"/>
      <c r="CG71" s="15"/>
      <c r="CH71" s="15"/>
      <c r="CI71" s="15"/>
      <c r="CN71" s="176"/>
      <c r="CO71" s="177"/>
      <c r="CP71" s="178"/>
      <c r="CQ71" s="179"/>
    </row>
    <row r="72" spans="1:95" ht="23.25" hidden="1" customHeight="1" x14ac:dyDescent="0.55000000000000004">
      <c r="A72" s="7"/>
      <c r="B72" s="16"/>
      <c r="C72" s="17"/>
      <c r="D72" s="18"/>
      <c r="E72" s="19"/>
      <c r="F72" s="16"/>
      <c r="G72" s="17"/>
      <c r="H72" s="18"/>
      <c r="I72" s="19"/>
      <c r="J72" s="16"/>
      <c r="K72" s="17"/>
      <c r="L72" s="18"/>
      <c r="M72" s="19"/>
      <c r="N72" s="16"/>
      <c r="O72" s="17"/>
      <c r="P72" s="18"/>
      <c r="Q72" s="19"/>
      <c r="R72" s="16"/>
      <c r="S72" s="17"/>
      <c r="T72" s="18"/>
      <c r="U72" s="19"/>
      <c r="V72" s="16"/>
      <c r="W72" s="17"/>
      <c r="X72" s="18"/>
      <c r="Y72" s="19"/>
      <c r="Z72" s="16"/>
      <c r="AA72" s="17"/>
      <c r="AB72" s="18"/>
      <c r="AC72" s="19"/>
      <c r="AD72" s="16"/>
      <c r="AE72" s="17"/>
      <c r="AF72" s="18"/>
      <c r="AG72" s="19"/>
      <c r="AH72" s="16"/>
      <c r="AI72" s="17"/>
      <c r="AJ72" s="18"/>
      <c r="AK72" s="19"/>
      <c r="AL72" s="16"/>
      <c r="AM72" s="17"/>
      <c r="AN72" s="18"/>
      <c r="AO72" s="19"/>
      <c r="AP72" s="16"/>
      <c r="AQ72" s="17"/>
      <c r="AR72" s="18"/>
      <c r="AS72" s="19"/>
      <c r="AT72" s="16"/>
      <c r="AU72" s="17"/>
      <c r="AV72" s="18"/>
      <c r="AW72" s="19"/>
      <c r="AX72" s="16"/>
      <c r="AY72" s="17"/>
      <c r="AZ72" s="18"/>
      <c r="BA72" s="19"/>
      <c r="BB72" s="16"/>
      <c r="BC72" s="17"/>
      <c r="BD72" s="18"/>
      <c r="BE72" s="19"/>
      <c r="BF72" s="16"/>
      <c r="BG72" s="17"/>
      <c r="BH72" s="18"/>
      <c r="BI72" s="19"/>
      <c r="BJ72" s="16"/>
      <c r="BK72" s="16"/>
      <c r="BL72" s="16"/>
      <c r="BM72" s="17"/>
      <c r="BN72" s="18"/>
      <c r="BO72" s="19"/>
      <c r="BP72" s="16"/>
      <c r="BQ72" s="17"/>
      <c r="BR72" s="18"/>
      <c r="BS72" s="19"/>
      <c r="BT72" s="24">
        <v>0</v>
      </c>
      <c r="BU72" s="68">
        <v>0</v>
      </c>
      <c r="BV72" s="68">
        <v>0</v>
      </c>
      <c r="BW72" s="25">
        <v>0</v>
      </c>
      <c r="BX72" s="18"/>
      <c r="BY72" s="19"/>
      <c r="BZ72" s="16"/>
      <c r="CA72" s="17"/>
      <c r="CB72" s="18"/>
      <c r="CC72" s="19"/>
      <c r="CD72" s="16"/>
      <c r="CE72" s="17"/>
      <c r="CF72" s="14"/>
      <c r="CG72" s="15"/>
      <c r="CH72" s="15"/>
      <c r="CI72" s="15"/>
      <c r="CN72" s="176"/>
      <c r="CO72" s="177"/>
      <c r="CP72" s="178"/>
      <c r="CQ72" s="179"/>
    </row>
    <row r="73" spans="1:95" ht="23.25" hidden="1" customHeight="1" x14ac:dyDescent="0.55000000000000004">
      <c r="A73" s="7"/>
      <c r="B73" s="16"/>
      <c r="C73" s="17"/>
      <c r="D73" s="18"/>
      <c r="E73" s="19"/>
      <c r="F73" s="16"/>
      <c r="G73" s="17"/>
      <c r="H73" s="18"/>
      <c r="I73" s="19"/>
      <c r="J73" s="16"/>
      <c r="K73" s="17"/>
      <c r="L73" s="18"/>
      <c r="M73" s="19"/>
      <c r="N73" s="16"/>
      <c r="O73" s="17"/>
      <c r="P73" s="18"/>
      <c r="Q73" s="19"/>
      <c r="R73" s="16"/>
      <c r="S73" s="17"/>
      <c r="T73" s="18"/>
      <c r="U73" s="19"/>
      <c r="V73" s="16"/>
      <c r="W73" s="17"/>
      <c r="X73" s="18"/>
      <c r="Y73" s="19"/>
      <c r="Z73" s="16"/>
      <c r="AA73" s="17"/>
      <c r="AB73" s="18"/>
      <c r="AC73" s="19"/>
      <c r="AD73" s="16"/>
      <c r="AE73" s="17"/>
      <c r="AF73" s="18"/>
      <c r="AG73" s="19"/>
      <c r="AH73" s="16"/>
      <c r="AI73" s="17"/>
      <c r="AJ73" s="18"/>
      <c r="AK73" s="19"/>
      <c r="AL73" s="16"/>
      <c r="AM73" s="17"/>
      <c r="AN73" s="18"/>
      <c r="AO73" s="19"/>
      <c r="AP73" s="16"/>
      <c r="AQ73" s="17"/>
      <c r="AR73" s="18"/>
      <c r="AS73" s="19"/>
      <c r="AT73" s="16"/>
      <c r="AU73" s="17"/>
      <c r="AV73" s="18"/>
      <c r="AW73" s="19"/>
      <c r="AX73" s="16"/>
      <c r="AY73" s="17"/>
      <c r="AZ73" s="18"/>
      <c r="BA73" s="19"/>
      <c r="BB73" s="16"/>
      <c r="BC73" s="17"/>
      <c r="BD73" s="18"/>
      <c r="BE73" s="19"/>
      <c r="BF73" s="16"/>
      <c r="BG73" s="17"/>
      <c r="BH73" s="18"/>
      <c r="BI73" s="19"/>
      <c r="BJ73" s="16"/>
      <c r="BK73" s="16"/>
      <c r="BL73" s="16"/>
      <c r="BM73" s="17"/>
      <c r="BN73" s="18"/>
      <c r="BO73" s="19"/>
      <c r="BP73" s="16"/>
      <c r="BQ73" s="17"/>
      <c r="BR73" s="18"/>
      <c r="BS73" s="19"/>
      <c r="BT73" s="24">
        <v>0</v>
      </c>
      <c r="BU73" s="68">
        <v>0</v>
      </c>
      <c r="BV73" s="68">
        <v>0</v>
      </c>
      <c r="BW73" s="25">
        <v>0</v>
      </c>
      <c r="BX73" s="18"/>
      <c r="BY73" s="19"/>
      <c r="BZ73" s="16"/>
      <c r="CA73" s="17"/>
      <c r="CB73" s="18"/>
      <c r="CC73" s="19"/>
      <c r="CD73" s="16"/>
      <c r="CE73" s="17"/>
      <c r="CF73" s="14"/>
      <c r="CG73" s="15"/>
      <c r="CH73" s="15"/>
      <c r="CI73" s="15"/>
      <c r="CN73" s="176"/>
      <c r="CO73" s="177"/>
      <c r="CP73" s="178"/>
      <c r="CQ73" s="179"/>
    </row>
    <row r="74" spans="1:95" ht="23.25" hidden="1" customHeight="1" x14ac:dyDescent="0.55000000000000004">
      <c r="A74" s="7"/>
      <c r="B74" s="16"/>
      <c r="C74" s="17"/>
      <c r="D74" s="18"/>
      <c r="E74" s="19"/>
      <c r="F74" s="16"/>
      <c r="G74" s="17"/>
      <c r="H74" s="18"/>
      <c r="I74" s="19"/>
      <c r="J74" s="16"/>
      <c r="K74" s="17"/>
      <c r="L74" s="18"/>
      <c r="M74" s="19"/>
      <c r="N74" s="16"/>
      <c r="O74" s="17"/>
      <c r="P74" s="18"/>
      <c r="Q74" s="19"/>
      <c r="R74" s="16"/>
      <c r="S74" s="17"/>
      <c r="T74" s="18"/>
      <c r="U74" s="19"/>
      <c r="V74" s="16"/>
      <c r="W74" s="17"/>
      <c r="X74" s="18"/>
      <c r="Y74" s="19"/>
      <c r="Z74" s="16"/>
      <c r="AA74" s="17"/>
      <c r="AB74" s="18"/>
      <c r="AC74" s="19"/>
      <c r="AD74" s="16"/>
      <c r="AE74" s="17"/>
      <c r="AF74" s="18"/>
      <c r="AG74" s="19"/>
      <c r="AH74" s="16"/>
      <c r="AI74" s="17"/>
      <c r="AJ74" s="18"/>
      <c r="AK74" s="19"/>
      <c r="AL74" s="16"/>
      <c r="AM74" s="17"/>
      <c r="AN74" s="18"/>
      <c r="AO74" s="19"/>
      <c r="AP74" s="16"/>
      <c r="AQ74" s="17"/>
      <c r="AR74" s="18"/>
      <c r="AS74" s="19"/>
      <c r="AT74" s="16"/>
      <c r="AU74" s="17"/>
      <c r="AV74" s="18"/>
      <c r="AW74" s="19"/>
      <c r="AX74" s="16"/>
      <c r="AY74" s="17"/>
      <c r="AZ74" s="18"/>
      <c r="BA74" s="19"/>
      <c r="BB74" s="16"/>
      <c r="BC74" s="17"/>
      <c r="BD74" s="18"/>
      <c r="BE74" s="19"/>
      <c r="BF74" s="16"/>
      <c r="BG74" s="17"/>
      <c r="BH74" s="18"/>
      <c r="BI74" s="19"/>
      <c r="BJ74" s="16"/>
      <c r="BK74" s="16"/>
      <c r="BL74" s="16"/>
      <c r="BM74" s="17"/>
      <c r="BN74" s="18"/>
      <c r="BO74" s="19"/>
      <c r="BP74" s="16"/>
      <c r="BQ74" s="17"/>
      <c r="BR74" s="18"/>
      <c r="BS74" s="19"/>
      <c r="BT74" s="24">
        <v>0</v>
      </c>
      <c r="BU74" s="68">
        <v>0</v>
      </c>
      <c r="BV74" s="68">
        <v>0</v>
      </c>
      <c r="BW74" s="25">
        <v>0</v>
      </c>
      <c r="BX74" s="18"/>
      <c r="BY74" s="19"/>
      <c r="BZ74" s="16"/>
      <c r="CA74" s="17"/>
      <c r="CB74" s="18"/>
      <c r="CC74" s="19"/>
      <c r="CD74" s="16"/>
      <c r="CE74" s="17"/>
      <c r="CF74" s="14"/>
      <c r="CG74" s="15"/>
      <c r="CH74" s="15"/>
      <c r="CI74" s="15"/>
      <c r="CN74" s="176"/>
      <c r="CO74" s="177"/>
      <c r="CP74" s="178"/>
      <c r="CQ74" s="179"/>
    </row>
    <row r="75" spans="1:95" ht="23.25" hidden="1" customHeight="1" x14ac:dyDescent="0.55000000000000004">
      <c r="A75" s="7"/>
      <c r="B75" s="16"/>
      <c r="C75" s="17"/>
      <c r="D75" s="18"/>
      <c r="E75" s="19"/>
      <c r="F75" s="16"/>
      <c r="G75" s="17"/>
      <c r="H75" s="18"/>
      <c r="I75" s="19"/>
      <c r="J75" s="16"/>
      <c r="K75" s="17"/>
      <c r="L75" s="18"/>
      <c r="M75" s="19"/>
      <c r="N75" s="16"/>
      <c r="O75" s="17"/>
      <c r="P75" s="18"/>
      <c r="Q75" s="19"/>
      <c r="R75" s="16"/>
      <c r="S75" s="17"/>
      <c r="T75" s="18"/>
      <c r="U75" s="19"/>
      <c r="V75" s="16"/>
      <c r="W75" s="17"/>
      <c r="X75" s="18"/>
      <c r="Y75" s="19"/>
      <c r="Z75" s="16"/>
      <c r="AA75" s="17"/>
      <c r="AB75" s="18"/>
      <c r="AC75" s="19"/>
      <c r="AD75" s="16"/>
      <c r="AE75" s="17"/>
      <c r="AF75" s="18"/>
      <c r="AG75" s="19"/>
      <c r="AH75" s="16"/>
      <c r="AI75" s="17"/>
      <c r="AJ75" s="18"/>
      <c r="AK75" s="19"/>
      <c r="AL75" s="16"/>
      <c r="AM75" s="17"/>
      <c r="AN75" s="18"/>
      <c r="AO75" s="19"/>
      <c r="AP75" s="16"/>
      <c r="AQ75" s="17"/>
      <c r="AR75" s="18"/>
      <c r="AS75" s="19"/>
      <c r="AT75" s="16"/>
      <c r="AU75" s="17"/>
      <c r="AV75" s="18"/>
      <c r="AW75" s="19"/>
      <c r="AX75" s="16"/>
      <c r="AY75" s="17"/>
      <c r="AZ75" s="18"/>
      <c r="BA75" s="19"/>
      <c r="BB75" s="16"/>
      <c r="BC75" s="17"/>
      <c r="BD75" s="18"/>
      <c r="BE75" s="19"/>
      <c r="BF75" s="16"/>
      <c r="BG75" s="17"/>
      <c r="BH75" s="18"/>
      <c r="BI75" s="19"/>
      <c r="BJ75" s="16"/>
      <c r="BK75" s="16"/>
      <c r="BL75" s="16"/>
      <c r="BM75" s="17"/>
      <c r="BN75" s="18"/>
      <c r="BO75" s="19"/>
      <c r="BP75" s="16"/>
      <c r="BQ75" s="17"/>
      <c r="BR75" s="18"/>
      <c r="BS75" s="19"/>
      <c r="BT75" s="24">
        <v>0</v>
      </c>
      <c r="BU75" s="68">
        <v>0</v>
      </c>
      <c r="BV75" s="68">
        <v>0</v>
      </c>
      <c r="BW75" s="25">
        <v>0</v>
      </c>
      <c r="BX75" s="18"/>
      <c r="BY75" s="19"/>
      <c r="BZ75" s="16"/>
      <c r="CA75" s="17"/>
      <c r="CB75" s="18"/>
      <c r="CC75" s="19"/>
      <c r="CD75" s="16"/>
      <c r="CE75" s="17"/>
      <c r="CF75" s="14"/>
      <c r="CG75" s="15"/>
      <c r="CH75" s="15"/>
      <c r="CI75" s="15"/>
      <c r="CN75" s="176"/>
      <c r="CO75" s="177"/>
      <c r="CP75" s="178"/>
      <c r="CQ75" s="179"/>
    </row>
    <row r="76" spans="1:95" ht="23.25" hidden="1" customHeight="1" x14ac:dyDescent="0.55000000000000004">
      <c r="A76" s="7"/>
      <c r="B76" s="16"/>
      <c r="C76" s="17"/>
      <c r="D76" s="18"/>
      <c r="E76" s="19"/>
      <c r="F76" s="16"/>
      <c r="G76" s="17"/>
      <c r="H76" s="18"/>
      <c r="I76" s="19"/>
      <c r="J76" s="16"/>
      <c r="K76" s="17"/>
      <c r="L76" s="18"/>
      <c r="M76" s="19"/>
      <c r="N76" s="16"/>
      <c r="O76" s="17"/>
      <c r="P76" s="18"/>
      <c r="Q76" s="19"/>
      <c r="R76" s="16"/>
      <c r="S76" s="17"/>
      <c r="T76" s="18"/>
      <c r="U76" s="19"/>
      <c r="V76" s="16"/>
      <c r="W76" s="17"/>
      <c r="X76" s="18"/>
      <c r="Y76" s="19"/>
      <c r="Z76" s="16"/>
      <c r="AA76" s="17"/>
      <c r="AB76" s="18"/>
      <c r="AC76" s="19"/>
      <c r="AD76" s="16"/>
      <c r="AE76" s="17"/>
      <c r="AF76" s="18"/>
      <c r="AG76" s="19"/>
      <c r="AH76" s="16"/>
      <c r="AI76" s="17"/>
      <c r="AJ76" s="18"/>
      <c r="AK76" s="19"/>
      <c r="AL76" s="16"/>
      <c r="AM76" s="17"/>
      <c r="AN76" s="18"/>
      <c r="AO76" s="19"/>
      <c r="AP76" s="16"/>
      <c r="AQ76" s="17"/>
      <c r="AR76" s="18"/>
      <c r="AS76" s="19"/>
      <c r="AT76" s="16"/>
      <c r="AU76" s="17"/>
      <c r="AV76" s="18"/>
      <c r="AW76" s="19"/>
      <c r="AX76" s="16"/>
      <c r="AY76" s="17"/>
      <c r="AZ76" s="18"/>
      <c r="BA76" s="19"/>
      <c r="BB76" s="16"/>
      <c r="BC76" s="17"/>
      <c r="BD76" s="18"/>
      <c r="BE76" s="19"/>
      <c r="BF76" s="16"/>
      <c r="BG76" s="17"/>
      <c r="BH76" s="18"/>
      <c r="BI76" s="19"/>
      <c r="BJ76" s="16"/>
      <c r="BK76" s="16"/>
      <c r="BL76" s="16"/>
      <c r="BM76" s="17"/>
      <c r="BN76" s="18"/>
      <c r="BO76" s="19"/>
      <c r="BP76" s="16"/>
      <c r="BQ76" s="17"/>
      <c r="BR76" s="18"/>
      <c r="BS76" s="19"/>
      <c r="BT76" s="24">
        <v>0</v>
      </c>
      <c r="BU76" s="68">
        <v>0</v>
      </c>
      <c r="BV76" s="68">
        <v>0</v>
      </c>
      <c r="BW76" s="25">
        <v>0</v>
      </c>
      <c r="BX76" s="18"/>
      <c r="BY76" s="19"/>
      <c r="BZ76" s="16"/>
      <c r="CA76" s="17"/>
      <c r="CB76" s="18"/>
      <c r="CC76" s="19"/>
      <c r="CD76" s="16"/>
      <c r="CE76" s="17"/>
      <c r="CF76" s="14"/>
      <c r="CG76" s="15"/>
      <c r="CH76" s="15"/>
      <c r="CI76" s="15"/>
      <c r="CN76" s="176"/>
      <c r="CO76" s="177"/>
      <c r="CP76" s="178"/>
      <c r="CQ76" s="179"/>
    </row>
    <row r="77" spans="1:95" ht="23.25" hidden="1" customHeight="1" x14ac:dyDescent="0.55000000000000004">
      <c r="A77" s="7"/>
      <c r="B77" s="16"/>
      <c r="C77" s="17"/>
      <c r="D77" s="18"/>
      <c r="E77" s="19"/>
      <c r="F77" s="16"/>
      <c r="G77" s="17"/>
      <c r="H77" s="18"/>
      <c r="I77" s="19"/>
      <c r="J77" s="16"/>
      <c r="K77" s="17"/>
      <c r="L77" s="18"/>
      <c r="M77" s="19"/>
      <c r="N77" s="16"/>
      <c r="O77" s="17"/>
      <c r="P77" s="18"/>
      <c r="Q77" s="19"/>
      <c r="R77" s="16"/>
      <c r="S77" s="17"/>
      <c r="T77" s="18"/>
      <c r="U77" s="19"/>
      <c r="V77" s="16"/>
      <c r="W77" s="17"/>
      <c r="X77" s="18"/>
      <c r="Y77" s="19"/>
      <c r="Z77" s="16"/>
      <c r="AA77" s="17"/>
      <c r="AB77" s="18"/>
      <c r="AC77" s="19"/>
      <c r="AD77" s="16"/>
      <c r="AE77" s="17"/>
      <c r="AF77" s="18"/>
      <c r="AG77" s="19"/>
      <c r="AH77" s="16"/>
      <c r="AI77" s="17"/>
      <c r="AJ77" s="18"/>
      <c r="AK77" s="19"/>
      <c r="AL77" s="16"/>
      <c r="AM77" s="17"/>
      <c r="AN77" s="18"/>
      <c r="AO77" s="19"/>
      <c r="AP77" s="16"/>
      <c r="AQ77" s="17"/>
      <c r="AR77" s="18"/>
      <c r="AS77" s="19"/>
      <c r="AT77" s="16"/>
      <c r="AU77" s="17"/>
      <c r="AV77" s="18"/>
      <c r="AW77" s="19"/>
      <c r="AX77" s="16"/>
      <c r="AY77" s="17"/>
      <c r="AZ77" s="18"/>
      <c r="BA77" s="19"/>
      <c r="BB77" s="16"/>
      <c r="BC77" s="17"/>
      <c r="BD77" s="18"/>
      <c r="BE77" s="19"/>
      <c r="BF77" s="16"/>
      <c r="BG77" s="17"/>
      <c r="BH77" s="18"/>
      <c r="BI77" s="19"/>
      <c r="BJ77" s="16"/>
      <c r="BK77" s="16"/>
      <c r="BL77" s="16"/>
      <c r="BM77" s="17"/>
      <c r="BN77" s="18"/>
      <c r="BO77" s="19"/>
      <c r="BP77" s="16"/>
      <c r="BQ77" s="17"/>
      <c r="BR77" s="18"/>
      <c r="BS77" s="19"/>
      <c r="BT77" s="24">
        <v>0</v>
      </c>
      <c r="BU77" s="68">
        <v>0</v>
      </c>
      <c r="BV77" s="68">
        <v>0</v>
      </c>
      <c r="BW77" s="25">
        <v>0</v>
      </c>
      <c r="BX77" s="18"/>
      <c r="BY77" s="19"/>
      <c r="BZ77" s="16"/>
      <c r="CA77" s="17"/>
      <c r="CB77" s="18"/>
      <c r="CC77" s="19"/>
      <c r="CD77" s="16"/>
      <c r="CE77" s="17"/>
      <c r="CF77" s="14"/>
      <c r="CG77" s="15"/>
      <c r="CH77" s="15"/>
      <c r="CI77" s="15"/>
      <c r="CN77" s="176"/>
      <c r="CO77" s="177"/>
      <c r="CP77" s="178"/>
      <c r="CQ77" s="179"/>
    </row>
    <row r="78" spans="1:95" ht="23.25" hidden="1" customHeight="1" x14ac:dyDescent="0.55000000000000004">
      <c r="A78" s="7"/>
      <c r="B78" s="16"/>
      <c r="C78" s="17"/>
      <c r="D78" s="18"/>
      <c r="E78" s="19"/>
      <c r="F78" s="16"/>
      <c r="G78" s="17"/>
      <c r="H78" s="18"/>
      <c r="I78" s="19"/>
      <c r="J78" s="16"/>
      <c r="K78" s="17"/>
      <c r="L78" s="18"/>
      <c r="M78" s="19"/>
      <c r="N78" s="16"/>
      <c r="O78" s="17"/>
      <c r="P78" s="18"/>
      <c r="Q78" s="19"/>
      <c r="R78" s="16"/>
      <c r="S78" s="17"/>
      <c r="T78" s="18"/>
      <c r="U78" s="19"/>
      <c r="V78" s="16"/>
      <c r="W78" s="17"/>
      <c r="X78" s="18"/>
      <c r="Y78" s="19"/>
      <c r="Z78" s="16"/>
      <c r="AA78" s="17"/>
      <c r="AB78" s="18"/>
      <c r="AC78" s="19"/>
      <c r="AD78" s="16"/>
      <c r="AE78" s="17"/>
      <c r="AF78" s="18"/>
      <c r="AG78" s="19"/>
      <c r="AH78" s="16"/>
      <c r="AI78" s="17"/>
      <c r="AJ78" s="18"/>
      <c r="AK78" s="19"/>
      <c r="AL78" s="16"/>
      <c r="AM78" s="17"/>
      <c r="AN78" s="18"/>
      <c r="AO78" s="19"/>
      <c r="AP78" s="16"/>
      <c r="AQ78" s="17"/>
      <c r="AR78" s="18"/>
      <c r="AS78" s="19"/>
      <c r="AT78" s="16"/>
      <c r="AU78" s="17"/>
      <c r="AV78" s="18"/>
      <c r="AW78" s="19"/>
      <c r="AX78" s="16"/>
      <c r="AY78" s="17"/>
      <c r="AZ78" s="18"/>
      <c r="BA78" s="19"/>
      <c r="BB78" s="16"/>
      <c r="BC78" s="17"/>
      <c r="BD78" s="18"/>
      <c r="BE78" s="19"/>
      <c r="BF78" s="16"/>
      <c r="BG78" s="17"/>
      <c r="BH78" s="18"/>
      <c r="BI78" s="19"/>
      <c r="BJ78" s="16"/>
      <c r="BK78" s="16"/>
      <c r="BL78" s="16"/>
      <c r="BM78" s="17"/>
      <c r="BN78" s="18"/>
      <c r="BO78" s="19"/>
      <c r="BP78" s="16"/>
      <c r="BQ78" s="17"/>
      <c r="BR78" s="18"/>
      <c r="BS78" s="19"/>
      <c r="BT78" s="24">
        <v>0</v>
      </c>
      <c r="BU78" s="68">
        <v>0</v>
      </c>
      <c r="BV78" s="68">
        <v>0</v>
      </c>
      <c r="BW78" s="25">
        <v>0</v>
      </c>
      <c r="BX78" s="18"/>
      <c r="BY78" s="19"/>
      <c r="BZ78" s="16"/>
      <c r="CA78" s="17"/>
      <c r="CB78" s="18"/>
      <c r="CC78" s="19"/>
      <c r="CD78" s="16"/>
      <c r="CE78" s="17"/>
      <c r="CF78" s="14"/>
      <c r="CG78" s="15"/>
      <c r="CH78" s="15"/>
      <c r="CI78" s="15"/>
      <c r="CN78" s="176"/>
      <c r="CO78" s="177"/>
      <c r="CP78" s="178"/>
      <c r="CQ78" s="179"/>
    </row>
    <row r="79" spans="1:95" ht="23.25" hidden="1" customHeight="1" x14ac:dyDescent="0.55000000000000004">
      <c r="A79" s="7"/>
      <c r="B79" s="16"/>
      <c r="C79" s="17"/>
      <c r="D79" s="18"/>
      <c r="E79" s="19"/>
      <c r="F79" s="16"/>
      <c r="G79" s="17"/>
      <c r="H79" s="18"/>
      <c r="I79" s="19"/>
      <c r="J79" s="16"/>
      <c r="K79" s="17"/>
      <c r="L79" s="18"/>
      <c r="M79" s="19"/>
      <c r="N79" s="16"/>
      <c r="O79" s="17"/>
      <c r="P79" s="18"/>
      <c r="Q79" s="19"/>
      <c r="R79" s="16"/>
      <c r="S79" s="17"/>
      <c r="T79" s="18"/>
      <c r="U79" s="19"/>
      <c r="V79" s="16"/>
      <c r="W79" s="17"/>
      <c r="X79" s="18"/>
      <c r="Y79" s="19"/>
      <c r="Z79" s="16"/>
      <c r="AA79" s="17"/>
      <c r="AB79" s="18"/>
      <c r="AC79" s="19"/>
      <c r="AD79" s="16"/>
      <c r="AE79" s="17"/>
      <c r="AF79" s="18"/>
      <c r="AG79" s="19"/>
      <c r="AH79" s="16"/>
      <c r="AI79" s="17"/>
      <c r="AJ79" s="18"/>
      <c r="AK79" s="19"/>
      <c r="AL79" s="16"/>
      <c r="AM79" s="17"/>
      <c r="AN79" s="18"/>
      <c r="AO79" s="19"/>
      <c r="AP79" s="16"/>
      <c r="AQ79" s="17"/>
      <c r="AR79" s="18"/>
      <c r="AS79" s="19"/>
      <c r="AT79" s="16"/>
      <c r="AU79" s="17"/>
      <c r="AV79" s="18"/>
      <c r="AW79" s="19"/>
      <c r="AX79" s="16"/>
      <c r="AY79" s="17"/>
      <c r="AZ79" s="18"/>
      <c r="BA79" s="19"/>
      <c r="BB79" s="16"/>
      <c r="BC79" s="17"/>
      <c r="BD79" s="18"/>
      <c r="BE79" s="19"/>
      <c r="BF79" s="16"/>
      <c r="BG79" s="17"/>
      <c r="BH79" s="18"/>
      <c r="BI79" s="19"/>
      <c r="BJ79" s="16"/>
      <c r="BK79" s="16"/>
      <c r="BL79" s="16"/>
      <c r="BM79" s="17"/>
      <c r="BN79" s="18"/>
      <c r="BO79" s="19"/>
      <c r="BP79" s="16"/>
      <c r="BQ79" s="17"/>
      <c r="BR79" s="18"/>
      <c r="BS79" s="19"/>
      <c r="BT79" s="24">
        <v>0</v>
      </c>
      <c r="BU79" s="68">
        <v>0</v>
      </c>
      <c r="BV79" s="68">
        <v>0</v>
      </c>
      <c r="BW79" s="25">
        <v>0</v>
      </c>
      <c r="BX79" s="18"/>
      <c r="BY79" s="19"/>
      <c r="BZ79" s="16"/>
      <c r="CA79" s="17"/>
      <c r="CB79" s="18"/>
      <c r="CC79" s="19"/>
      <c r="CD79" s="16"/>
      <c r="CE79" s="17"/>
      <c r="CF79" s="14"/>
      <c r="CG79" s="15"/>
      <c r="CH79" s="15"/>
      <c r="CI79" s="15"/>
      <c r="CN79" s="176"/>
      <c r="CO79" s="177"/>
      <c r="CP79" s="178"/>
      <c r="CQ79" s="179"/>
    </row>
    <row r="80" spans="1:95" ht="23.25" hidden="1" customHeight="1" x14ac:dyDescent="0.55000000000000004">
      <c r="A80" s="7"/>
      <c r="B80" s="16"/>
      <c r="C80" s="17"/>
      <c r="D80" s="18"/>
      <c r="E80" s="19"/>
      <c r="F80" s="16"/>
      <c r="G80" s="17"/>
      <c r="H80" s="18"/>
      <c r="I80" s="19"/>
      <c r="J80" s="16"/>
      <c r="K80" s="17"/>
      <c r="L80" s="18"/>
      <c r="M80" s="19"/>
      <c r="N80" s="16"/>
      <c r="O80" s="17"/>
      <c r="P80" s="18"/>
      <c r="Q80" s="19"/>
      <c r="R80" s="16"/>
      <c r="S80" s="17"/>
      <c r="T80" s="18"/>
      <c r="U80" s="19"/>
      <c r="V80" s="16"/>
      <c r="W80" s="17"/>
      <c r="X80" s="18"/>
      <c r="Y80" s="19"/>
      <c r="Z80" s="16"/>
      <c r="AA80" s="17"/>
      <c r="AB80" s="18"/>
      <c r="AC80" s="19"/>
      <c r="AD80" s="16"/>
      <c r="AE80" s="17"/>
      <c r="AF80" s="18"/>
      <c r="AG80" s="19"/>
      <c r="AH80" s="16"/>
      <c r="AI80" s="17"/>
      <c r="AJ80" s="18"/>
      <c r="AK80" s="19"/>
      <c r="AL80" s="16"/>
      <c r="AM80" s="17"/>
      <c r="AN80" s="18"/>
      <c r="AO80" s="19"/>
      <c r="AP80" s="16"/>
      <c r="AQ80" s="17"/>
      <c r="AR80" s="18"/>
      <c r="AS80" s="19"/>
      <c r="AT80" s="16"/>
      <c r="AU80" s="17"/>
      <c r="AV80" s="18"/>
      <c r="AW80" s="19"/>
      <c r="AX80" s="16"/>
      <c r="AY80" s="17"/>
      <c r="AZ80" s="18"/>
      <c r="BA80" s="19"/>
      <c r="BB80" s="16"/>
      <c r="BC80" s="17"/>
      <c r="BD80" s="18"/>
      <c r="BE80" s="19"/>
      <c r="BF80" s="16"/>
      <c r="BG80" s="17"/>
      <c r="BH80" s="18"/>
      <c r="BI80" s="19"/>
      <c r="BJ80" s="16"/>
      <c r="BK80" s="16"/>
      <c r="BL80" s="16"/>
      <c r="BM80" s="17"/>
      <c r="BN80" s="18"/>
      <c r="BO80" s="19"/>
      <c r="BP80" s="16"/>
      <c r="BQ80" s="17"/>
      <c r="BR80" s="18"/>
      <c r="BS80" s="19"/>
      <c r="BT80" s="24">
        <v>0</v>
      </c>
      <c r="BU80" s="68">
        <v>0</v>
      </c>
      <c r="BV80" s="68">
        <v>0</v>
      </c>
      <c r="BW80" s="25">
        <v>0</v>
      </c>
      <c r="BX80" s="18"/>
      <c r="BY80" s="19"/>
      <c r="BZ80" s="16"/>
      <c r="CA80" s="17"/>
      <c r="CB80" s="18"/>
      <c r="CC80" s="19"/>
      <c r="CD80" s="16"/>
      <c r="CE80" s="17"/>
      <c r="CF80" s="14"/>
      <c r="CG80" s="15"/>
      <c r="CH80" s="15"/>
      <c r="CI80" s="15"/>
      <c r="CN80" s="176"/>
      <c r="CO80" s="177"/>
      <c r="CP80" s="178"/>
      <c r="CQ80" s="179"/>
    </row>
    <row r="81" spans="1:95" ht="23.25" hidden="1" customHeight="1" x14ac:dyDescent="0.55000000000000004">
      <c r="A81" s="7"/>
      <c r="B81" s="16"/>
      <c r="C81" s="17"/>
      <c r="D81" s="18"/>
      <c r="E81" s="19"/>
      <c r="F81" s="16"/>
      <c r="G81" s="17"/>
      <c r="H81" s="18"/>
      <c r="I81" s="19"/>
      <c r="J81" s="16"/>
      <c r="K81" s="17"/>
      <c r="L81" s="18"/>
      <c r="M81" s="19"/>
      <c r="N81" s="16"/>
      <c r="O81" s="17"/>
      <c r="P81" s="18"/>
      <c r="Q81" s="19"/>
      <c r="R81" s="16"/>
      <c r="S81" s="17"/>
      <c r="T81" s="18"/>
      <c r="U81" s="19"/>
      <c r="V81" s="16"/>
      <c r="W81" s="17"/>
      <c r="X81" s="18"/>
      <c r="Y81" s="19"/>
      <c r="Z81" s="16"/>
      <c r="AA81" s="17"/>
      <c r="AB81" s="18"/>
      <c r="AC81" s="19"/>
      <c r="AD81" s="16"/>
      <c r="AE81" s="17"/>
      <c r="AF81" s="18"/>
      <c r="AG81" s="19"/>
      <c r="AH81" s="16"/>
      <c r="AI81" s="17"/>
      <c r="AJ81" s="18"/>
      <c r="AK81" s="19"/>
      <c r="AL81" s="16"/>
      <c r="AM81" s="17"/>
      <c r="AN81" s="18"/>
      <c r="AO81" s="19"/>
      <c r="AP81" s="16"/>
      <c r="AQ81" s="17"/>
      <c r="AR81" s="18"/>
      <c r="AS81" s="19"/>
      <c r="AT81" s="16"/>
      <c r="AU81" s="17"/>
      <c r="AV81" s="18"/>
      <c r="AW81" s="19"/>
      <c r="AX81" s="16"/>
      <c r="AY81" s="17"/>
      <c r="AZ81" s="18"/>
      <c r="BA81" s="19"/>
      <c r="BB81" s="16"/>
      <c r="BC81" s="17"/>
      <c r="BD81" s="18"/>
      <c r="BE81" s="19"/>
      <c r="BF81" s="16"/>
      <c r="BG81" s="17"/>
      <c r="BH81" s="18"/>
      <c r="BI81" s="19"/>
      <c r="BJ81" s="16"/>
      <c r="BK81" s="16"/>
      <c r="BL81" s="16"/>
      <c r="BM81" s="17"/>
      <c r="BN81" s="18"/>
      <c r="BO81" s="19"/>
      <c r="BP81" s="16"/>
      <c r="BQ81" s="17"/>
      <c r="BR81" s="18"/>
      <c r="BS81" s="19"/>
      <c r="BT81" s="24">
        <v>0</v>
      </c>
      <c r="BU81" s="68">
        <v>0</v>
      </c>
      <c r="BV81" s="68">
        <v>0</v>
      </c>
      <c r="BW81" s="25">
        <v>0</v>
      </c>
      <c r="BX81" s="18"/>
      <c r="BY81" s="19"/>
      <c r="BZ81" s="16"/>
      <c r="CA81" s="17"/>
      <c r="CB81" s="18"/>
      <c r="CC81" s="19"/>
      <c r="CD81" s="16"/>
      <c r="CE81" s="17"/>
      <c r="CF81" s="14"/>
      <c r="CG81" s="15"/>
      <c r="CH81" s="15"/>
      <c r="CI81" s="15"/>
      <c r="CN81" s="176"/>
      <c r="CO81" s="177"/>
      <c r="CP81" s="178"/>
      <c r="CQ81" s="179"/>
    </row>
    <row r="82" spans="1:95" ht="23.25" hidden="1" customHeight="1" x14ac:dyDescent="0.55000000000000004">
      <c r="A82" s="7"/>
      <c r="B82" s="16"/>
      <c r="C82" s="17"/>
      <c r="D82" s="18"/>
      <c r="E82" s="19"/>
      <c r="F82" s="16"/>
      <c r="G82" s="17"/>
      <c r="H82" s="18"/>
      <c r="I82" s="19"/>
      <c r="J82" s="16"/>
      <c r="K82" s="17"/>
      <c r="L82" s="18"/>
      <c r="M82" s="19"/>
      <c r="N82" s="16"/>
      <c r="O82" s="17"/>
      <c r="P82" s="18"/>
      <c r="Q82" s="19"/>
      <c r="R82" s="16"/>
      <c r="S82" s="17"/>
      <c r="T82" s="18"/>
      <c r="U82" s="19"/>
      <c r="V82" s="16"/>
      <c r="W82" s="17"/>
      <c r="X82" s="18"/>
      <c r="Y82" s="19"/>
      <c r="Z82" s="16"/>
      <c r="AA82" s="17"/>
      <c r="AB82" s="18"/>
      <c r="AC82" s="19"/>
      <c r="AD82" s="16"/>
      <c r="AE82" s="17"/>
      <c r="AF82" s="18"/>
      <c r="AG82" s="19"/>
      <c r="AH82" s="16"/>
      <c r="AI82" s="17"/>
      <c r="AJ82" s="18"/>
      <c r="AK82" s="19"/>
      <c r="AL82" s="16"/>
      <c r="AM82" s="17"/>
      <c r="AN82" s="18"/>
      <c r="AO82" s="19"/>
      <c r="AP82" s="16"/>
      <c r="AQ82" s="17"/>
      <c r="AR82" s="18"/>
      <c r="AS82" s="19"/>
      <c r="AT82" s="16"/>
      <c r="AU82" s="17"/>
      <c r="AV82" s="18"/>
      <c r="AW82" s="19"/>
      <c r="AX82" s="16"/>
      <c r="AY82" s="17"/>
      <c r="AZ82" s="18"/>
      <c r="BA82" s="19"/>
      <c r="BB82" s="16"/>
      <c r="BC82" s="17"/>
      <c r="BD82" s="18"/>
      <c r="BE82" s="19"/>
      <c r="BF82" s="16"/>
      <c r="BG82" s="17"/>
      <c r="BH82" s="18"/>
      <c r="BI82" s="19"/>
      <c r="BJ82" s="16"/>
      <c r="BK82" s="16"/>
      <c r="BL82" s="16"/>
      <c r="BM82" s="17"/>
      <c r="BN82" s="18"/>
      <c r="BO82" s="19"/>
      <c r="BP82" s="16"/>
      <c r="BQ82" s="17"/>
      <c r="BR82" s="18"/>
      <c r="BS82" s="19"/>
      <c r="BT82" s="24">
        <v>0</v>
      </c>
      <c r="BU82" s="68">
        <v>0</v>
      </c>
      <c r="BV82" s="68">
        <v>0</v>
      </c>
      <c r="BW82" s="25">
        <v>0</v>
      </c>
      <c r="BX82" s="18"/>
      <c r="BY82" s="19"/>
      <c r="BZ82" s="16"/>
      <c r="CA82" s="17"/>
      <c r="CB82" s="18"/>
      <c r="CC82" s="19"/>
      <c r="CD82" s="16"/>
      <c r="CE82" s="17"/>
      <c r="CF82" s="14"/>
      <c r="CG82" s="15"/>
      <c r="CH82" s="15"/>
      <c r="CI82" s="15"/>
      <c r="CN82" s="176"/>
      <c r="CO82" s="177"/>
      <c r="CP82" s="178"/>
      <c r="CQ82" s="179"/>
    </row>
    <row r="83" spans="1:95" ht="23.25" hidden="1" customHeight="1" x14ac:dyDescent="0.55000000000000004">
      <c r="A83" s="7"/>
      <c r="B83" s="16"/>
      <c r="C83" s="17"/>
      <c r="D83" s="18"/>
      <c r="E83" s="19"/>
      <c r="F83" s="16"/>
      <c r="G83" s="17"/>
      <c r="H83" s="18"/>
      <c r="I83" s="19"/>
      <c r="J83" s="16"/>
      <c r="K83" s="17"/>
      <c r="L83" s="18"/>
      <c r="M83" s="19"/>
      <c r="N83" s="16"/>
      <c r="O83" s="17"/>
      <c r="P83" s="18"/>
      <c r="Q83" s="19"/>
      <c r="R83" s="16"/>
      <c r="S83" s="17"/>
      <c r="T83" s="18"/>
      <c r="U83" s="19"/>
      <c r="V83" s="16"/>
      <c r="W83" s="17"/>
      <c r="X83" s="18"/>
      <c r="Y83" s="19"/>
      <c r="Z83" s="16"/>
      <c r="AA83" s="17"/>
      <c r="AB83" s="18"/>
      <c r="AC83" s="19"/>
      <c r="AD83" s="16"/>
      <c r="AE83" s="17"/>
      <c r="AF83" s="18"/>
      <c r="AG83" s="19"/>
      <c r="AH83" s="16"/>
      <c r="AI83" s="17"/>
      <c r="AJ83" s="18"/>
      <c r="AK83" s="19"/>
      <c r="AL83" s="16"/>
      <c r="AM83" s="17"/>
      <c r="AN83" s="18"/>
      <c r="AO83" s="19"/>
      <c r="AP83" s="16"/>
      <c r="AQ83" s="17"/>
      <c r="AR83" s="18"/>
      <c r="AS83" s="19"/>
      <c r="AT83" s="16"/>
      <c r="AU83" s="17"/>
      <c r="AV83" s="18"/>
      <c r="AW83" s="19"/>
      <c r="AX83" s="16"/>
      <c r="AY83" s="17"/>
      <c r="AZ83" s="18"/>
      <c r="BA83" s="19"/>
      <c r="BB83" s="16"/>
      <c r="BC83" s="17"/>
      <c r="BD83" s="18"/>
      <c r="BE83" s="19"/>
      <c r="BF83" s="16"/>
      <c r="BG83" s="17"/>
      <c r="BH83" s="18"/>
      <c r="BI83" s="19"/>
      <c r="BJ83" s="16"/>
      <c r="BK83" s="16"/>
      <c r="BL83" s="16"/>
      <c r="BM83" s="17"/>
      <c r="BN83" s="18"/>
      <c r="BO83" s="19"/>
      <c r="BP83" s="16"/>
      <c r="BQ83" s="17"/>
      <c r="BR83" s="18"/>
      <c r="BS83" s="19"/>
      <c r="BT83" s="24">
        <v>0</v>
      </c>
      <c r="BU83" s="68">
        <v>0</v>
      </c>
      <c r="BV83" s="68">
        <v>0</v>
      </c>
      <c r="BW83" s="25">
        <v>0</v>
      </c>
      <c r="BX83" s="18"/>
      <c r="BY83" s="19"/>
      <c r="BZ83" s="16"/>
      <c r="CA83" s="17"/>
      <c r="CB83" s="18"/>
      <c r="CC83" s="19"/>
      <c r="CD83" s="16"/>
      <c r="CE83" s="17"/>
      <c r="CF83" s="14"/>
      <c r="CG83" s="15"/>
      <c r="CH83" s="15"/>
      <c r="CI83" s="15"/>
      <c r="CN83" s="176"/>
      <c r="CO83" s="177"/>
      <c r="CP83" s="178"/>
      <c r="CQ83" s="179"/>
    </row>
    <row r="84" spans="1:95" ht="23.25" hidden="1" customHeight="1" x14ac:dyDescent="0.55000000000000004">
      <c r="A84" s="7"/>
      <c r="B84" s="16"/>
      <c r="C84" s="17"/>
      <c r="D84" s="18"/>
      <c r="E84" s="19"/>
      <c r="F84" s="16"/>
      <c r="G84" s="17"/>
      <c r="H84" s="18"/>
      <c r="I84" s="19"/>
      <c r="J84" s="16"/>
      <c r="K84" s="17"/>
      <c r="L84" s="18"/>
      <c r="M84" s="19"/>
      <c r="N84" s="16"/>
      <c r="O84" s="17"/>
      <c r="P84" s="18"/>
      <c r="Q84" s="19"/>
      <c r="R84" s="16"/>
      <c r="S84" s="17"/>
      <c r="T84" s="18"/>
      <c r="U84" s="19"/>
      <c r="V84" s="16"/>
      <c r="W84" s="17"/>
      <c r="X84" s="18"/>
      <c r="Y84" s="19"/>
      <c r="Z84" s="16"/>
      <c r="AA84" s="17"/>
      <c r="AB84" s="18"/>
      <c r="AC84" s="19"/>
      <c r="AD84" s="16"/>
      <c r="AE84" s="17"/>
      <c r="AF84" s="18"/>
      <c r="AG84" s="19"/>
      <c r="AH84" s="16"/>
      <c r="AI84" s="17"/>
      <c r="AJ84" s="18"/>
      <c r="AK84" s="19"/>
      <c r="AL84" s="16"/>
      <c r="AM84" s="17"/>
      <c r="AN84" s="18"/>
      <c r="AO84" s="19"/>
      <c r="AP84" s="16"/>
      <c r="AQ84" s="17"/>
      <c r="AR84" s="18"/>
      <c r="AS84" s="19"/>
      <c r="AT84" s="16"/>
      <c r="AU84" s="17"/>
      <c r="AV84" s="18"/>
      <c r="AW84" s="19"/>
      <c r="AX84" s="16"/>
      <c r="AY84" s="17"/>
      <c r="AZ84" s="18"/>
      <c r="BA84" s="19"/>
      <c r="BB84" s="16"/>
      <c r="BC84" s="17"/>
      <c r="BD84" s="18"/>
      <c r="BE84" s="19"/>
      <c r="BF84" s="16"/>
      <c r="BG84" s="17"/>
      <c r="BH84" s="18"/>
      <c r="BI84" s="19"/>
      <c r="BJ84" s="16"/>
      <c r="BK84" s="16"/>
      <c r="BL84" s="16"/>
      <c r="BM84" s="17"/>
      <c r="BN84" s="18"/>
      <c r="BO84" s="19"/>
      <c r="BP84" s="16"/>
      <c r="BQ84" s="17"/>
      <c r="BR84" s="18"/>
      <c r="BS84" s="19"/>
      <c r="BT84" s="24">
        <v>0</v>
      </c>
      <c r="BU84" s="68">
        <v>0</v>
      </c>
      <c r="BV84" s="68">
        <v>0</v>
      </c>
      <c r="BW84" s="25">
        <v>0</v>
      </c>
      <c r="BX84" s="18"/>
      <c r="BY84" s="19"/>
      <c r="BZ84" s="16"/>
      <c r="CA84" s="17"/>
      <c r="CB84" s="18"/>
      <c r="CC84" s="19"/>
      <c r="CD84" s="16"/>
      <c r="CE84" s="17"/>
      <c r="CF84" s="14"/>
      <c r="CG84" s="15"/>
      <c r="CH84" s="15"/>
      <c r="CI84" s="15"/>
      <c r="CN84" s="176"/>
      <c r="CO84" s="177"/>
      <c r="CP84" s="178"/>
      <c r="CQ84" s="179"/>
    </row>
    <row r="85" spans="1:95" ht="23.25" hidden="1" customHeight="1" x14ac:dyDescent="0.55000000000000004">
      <c r="A85" s="7"/>
      <c r="B85" s="16"/>
      <c r="C85" s="17"/>
      <c r="D85" s="18"/>
      <c r="E85" s="19"/>
      <c r="F85" s="16"/>
      <c r="G85" s="17"/>
      <c r="H85" s="18"/>
      <c r="I85" s="19"/>
      <c r="J85" s="16"/>
      <c r="K85" s="17"/>
      <c r="L85" s="18"/>
      <c r="M85" s="19"/>
      <c r="N85" s="16"/>
      <c r="O85" s="17"/>
      <c r="P85" s="18"/>
      <c r="Q85" s="19"/>
      <c r="R85" s="16"/>
      <c r="S85" s="17"/>
      <c r="T85" s="18"/>
      <c r="U85" s="19"/>
      <c r="V85" s="16"/>
      <c r="W85" s="17"/>
      <c r="X85" s="18"/>
      <c r="Y85" s="19"/>
      <c r="Z85" s="16"/>
      <c r="AA85" s="17"/>
      <c r="AB85" s="18"/>
      <c r="AC85" s="19"/>
      <c r="AD85" s="16"/>
      <c r="AE85" s="17"/>
      <c r="AF85" s="18"/>
      <c r="AG85" s="19"/>
      <c r="AH85" s="16"/>
      <c r="AI85" s="17"/>
      <c r="AJ85" s="18"/>
      <c r="AK85" s="19"/>
      <c r="AL85" s="16"/>
      <c r="AM85" s="17"/>
      <c r="AN85" s="18"/>
      <c r="AO85" s="19"/>
      <c r="AP85" s="16"/>
      <c r="AQ85" s="17"/>
      <c r="AR85" s="18"/>
      <c r="AS85" s="19"/>
      <c r="AT85" s="16"/>
      <c r="AU85" s="17"/>
      <c r="AV85" s="18"/>
      <c r="AW85" s="19"/>
      <c r="AX85" s="16"/>
      <c r="AY85" s="17"/>
      <c r="AZ85" s="18"/>
      <c r="BA85" s="19"/>
      <c r="BB85" s="16"/>
      <c r="BC85" s="17"/>
      <c r="BD85" s="18"/>
      <c r="BE85" s="19"/>
      <c r="BF85" s="16"/>
      <c r="BG85" s="17"/>
      <c r="BH85" s="18"/>
      <c r="BI85" s="19"/>
      <c r="BJ85" s="16"/>
      <c r="BK85" s="16"/>
      <c r="BL85" s="16"/>
      <c r="BM85" s="17"/>
      <c r="BN85" s="18"/>
      <c r="BO85" s="19"/>
      <c r="BP85" s="16"/>
      <c r="BQ85" s="17"/>
      <c r="BR85" s="18"/>
      <c r="BS85" s="19"/>
      <c r="BT85" s="24">
        <v>0</v>
      </c>
      <c r="BU85" s="68">
        <v>0</v>
      </c>
      <c r="BV85" s="68">
        <v>0</v>
      </c>
      <c r="BW85" s="25">
        <v>0</v>
      </c>
      <c r="BX85" s="18"/>
      <c r="BY85" s="19"/>
      <c r="BZ85" s="16"/>
      <c r="CA85" s="17"/>
      <c r="CB85" s="18"/>
      <c r="CC85" s="19"/>
      <c r="CD85" s="16"/>
      <c r="CE85" s="17"/>
      <c r="CF85" s="14"/>
      <c r="CG85" s="15"/>
      <c r="CH85" s="15"/>
      <c r="CI85" s="15"/>
      <c r="CN85" s="176"/>
      <c r="CO85" s="177"/>
      <c r="CP85" s="178"/>
      <c r="CQ85" s="179"/>
    </row>
    <row r="86" spans="1:95" ht="23.25" hidden="1" customHeight="1" x14ac:dyDescent="0.55000000000000004">
      <c r="A86" s="7"/>
      <c r="E86" s="19"/>
      <c r="F86" s="16"/>
      <c r="G86" s="17"/>
      <c r="H86" s="18"/>
      <c r="I86" s="19"/>
      <c r="J86" s="16"/>
      <c r="K86" s="17"/>
      <c r="L86" s="18"/>
      <c r="M86" s="19"/>
      <c r="N86" s="16"/>
      <c r="O86" s="17"/>
      <c r="P86" s="18"/>
      <c r="Q86" s="19"/>
      <c r="R86" s="16"/>
      <c r="S86" s="17"/>
      <c r="T86" s="18"/>
      <c r="U86" s="19"/>
      <c r="V86" s="16"/>
      <c r="W86" s="17"/>
      <c r="X86" s="18"/>
      <c r="Y86" s="19"/>
      <c r="Z86" s="16"/>
      <c r="AA86" s="17"/>
      <c r="AB86" s="18"/>
      <c r="AC86" s="19"/>
      <c r="AD86" s="16"/>
      <c r="AE86" s="17"/>
      <c r="AF86" s="18"/>
      <c r="AG86" s="19"/>
      <c r="AH86" s="16"/>
      <c r="AI86" s="17"/>
      <c r="AJ86" s="18"/>
      <c r="AK86" s="19"/>
      <c r="AL86" s="16"/>
      <c r="AM86" s="17"/>
      <c r="AN86" s="18"/>
      <c r="AO86" s="19"/>
      <c r="AP86" s="16"/>
      <c r="AQ86" s="17"/>
      <c r="AR86" s="18"/>
      <c r="AS86" s="19"/>
      <c r="AT86" s="16"/>
      <c r="AU86" s="17"/>
      <c r="AV86" s="18"/>
      <c r="AW86" s="19"/>
      <c r="AX86" s="16"/>
      <c r="AY86" s="17"/>
      <c r="AZ86" s="18"/>
      <c r="BA86" s="19"/>
      <c r="BB86" s="16"/>
      <c r="BC86" s="17"/>
      <c r="BD86" s="18"/>
      <c r="BE86" s="19"/>
      <c r="BF86" s="16"/>
      <c r="BG86" s="17"/>
      <c r="BH86" s="18"/>
      <c r="BI86" s="19"/>
      <c r="BJ86" s="16"/>
      <c r="BK86" s="16"/>
      <c r="BL86" s="16"/>
      <c r="BM86" s="17"/>
      <c r="BN86" s="18"/>
      <c r="BO86" s="19"/>
      <c r="BP86" s="16"/>
      <c r="BQ86" s="17"/>
      <c r="BR86" s="18"/>
      <c r="BS86" s="19"/>
      <c r="BT86" s="24">
        <v>0</v>
      </c>
      <c r="BU86" s="68">
        <v>0</v>
      </c>
      <c r="BV86" s="68">
        <v>0</v>
      </c>
      <c r="BW86" s="25">
        <v>0</v>
      </c>
      <c r="BX86" s="18"/>
      <c r="BY86" s="19"/>
      <c r="BZ86" s="16"/>
      <c r="CA86" s="17"/>
      <c r="CB86" s="18"/>
      <c r="CC86" s="19"/>
      <c r="CD86" s="16"/>
      <c r="CE86" s="17"/>
      <c r="CF86" s="14"/>
      <c r="CG86" s="15"/>
      <c r="CH86" s="15"/>
      <c r="CI86" s="15"/>
      <c r="CN86" s="176"/>
      <c r="CO86" s="177"/>
      <c r="CP86" s="178"/>
      <c r="CQ86" s="179"/>
    </row>
    <row r="87" spans="1:95" ht="23.25" hidden="1" customHeight="1" x14ac:dyDescent="0.55000000000000004">
      <c r="A87" s="7"/>
      <c r="E87" s="19"/>
      <c r="F87" s="16"/>
      <c r="G87" s="17"/>
      <c r="H87" s="18"/>
      <c r="I87" s="19"/>
      <c r="J87" s="16"/>
      <c r="K87" s="17"/>
      <c r="L87" s="18"/>
      <c r="M87" s="19"/>
      <c r="N87" s="16"/>
      <c r="O87" s="17"/>
      <c r="P87" s="18"/>
      <c r="Q87" s="19"/>
      <c r="R87" s="16"/>
      <c r="S87" s="17"/>
      <c r="T87" s="18"/>
      <c r="U87" s="19"/>
      <c r="V87" s="16"/>
      <c r="W87" s="17"/>
      <c r="X87" s="18"/>
      <c r="Y87" s="19"/>
      <c r="Z87" s="16"/>
      <c r="AA87" s="17"/>
      <c r="AB87" s="18"/>
      <c r="AC87" s="19"/>
      <c r="AD87" s="16"/>
      <c r="AE87" s="17"/>
      <c r="AF87" s="18"/>
      <c r="AG87" s="19"/>
      <c r="AH87" s="16"/>
      <c r="AI87" s="17"/>
      <c r="AJ87" s="18"/>
      <c r="AK87" s="19"/>
      <c r="AL87" s="16"/>
      <c r="AM87" s="17"/>
      <c r="AN87" s="18"/>
      <c r="AO87" s="19"/>
      <c r="AP87" s="16"/>
      <c r="AQ87" s="17"/>
      <c r="AR87" s="18"/>
      <c r="AS87" s="19"/>
      <c r="AT87" s="16"/>
      <c r="AU87" s="17"/>
      <c r="AV87" s="18"/>
      <c r="AW87" s="19"/>
      <c r="AX87" s="16"/>
      <c r="AY87" s="17"/>
      <c r="AZ87" s="18"/>
      <c r="BA87" s="19"/>
      <c r="BB87" s="16"/>
      <c r="BC87" s="17"/>
      <c r="BD87" s="18"/>
      <c r="BE87" s="19"/>
      <c r="BF87" s="16"/>
      <c r="BG87" s="17"/>
      <c r="BH87" s="18"/>
      <c r="BI87" s="19"/>
      <c r="BJ87" s="16"/>
      <c r="BK87" s="16"/>
      <c r="BL87" s="16"/>
      <c r="BM87" s="17"/>
      <c r="BN87" s="18"/>
      <c r="BO87" s="19"/>
      <c r="BP87" s="16"/>
      <c r="BQ87" s="17"/>
      <c r="BR87" s="18"/>
      <c r="BS87" s="19"/>
      <c r="BT87" s="24">
        <v>0</v>
      </c>
      <c r="BU87" s="68">
        <v>0</v>
      </c>
      <c r="BV87" s="68">
        <v>0</v>
      </c>
      <c r="BW87" s="25">
        <v>0</v>
      </c>
      <c r="BX87" s="18"/>
      <c r="BY87" s="19"/>
      <c r="BZ87" s="16"/>
      <c r="CA87" s="17"/>
      <c r="CB87" s="18"/>
      <c r="CC87" s="19"/>
      <c r="CD87" s="16"/>
      <c r="CE87" s="17"/>
      <c r="CF87" s="14"/>
      <c r="CG87" s="15"/>
      <c r="CH87" s="15"/>
      <c r="CI87" s="15"/>
      <c r="CN87" s="176"/>
      <c r="CO87" s="177"/>
      <c r="CP87" s="178"/>
      <c r="CQ87" s="179"/>
    </row>
    <row r="88" spans="1:95" ht="23.25" hidden="1" customHeight="1" x14ac:dyDescent="0.55000000000000004">
      <c r="A88" s="7"/>
      <c r="E88" s="19"/>
      <c r="F88" s="16"/>
      <c r="G88" s="17"/>
      <c r="H88" s="18"/>
      <c r="I88" s="19"/>
      <c r="J88" s="16"/>
      <c r="K88" s="17"/>
      <c r="L88" s="18"/>
      <c r="M88" s="19"/>
      <c r="N88" s="16"/>
      <c r="O88" s="17"/>
      <c r="P88" s="18"/>
      <c r="Q88" s="19"/>
      <c r="R88" s="16"/>
      <c r="S88" s="17"/>
      <c r="T88" s="18"/>
      <c r="U88" s="19"/>
      <c r="V88" s="16"/>
      <c r="W88" s="17"/>
      <c r="X88" s="18"/>
      <c r="Y88" s="19"/>
      <c r="Z88" s="16"/>
      <c r="AA88" s="17"/>
      <c r="AB88" s="18"/>
      <c r="AC88" s="19"/>
      <c r="AD88" s="16"/>
      <c r="AE88" s="17"/>
      <c r="AF88" s="18"/>
      <c r="AG88" s="19"/>
      <c r="AH88" s="16"/>
      <c r="AI88" s="17"/>
      <c r="AJ88" s="18"/>
      <c r="AK88" s="19"/>
      <c r="AL88" s="16"/>
      <c r="AM88" s="17"/>
      <c r="AN88" s="18"/>
      <c r="AO88" s="19"/>
      <c r="AP88" s="16"/>
      <c r="AQ88" s="17"/>
      <c r="AR88" s="18"/>
      <c r="AS88" s="19"/>
      <c r="AT88" s="16"/>
      <c r="AU88" s="17"/>
      <c r="AV88" s="18"/>
      <c r="AW88" s="19"/>
      <c r="AX88" s="16"/>
      <c r="AY88" s="17"/>
      <c r="AZ88" s="18"/>
      <c r="BA88" s="19"/>
      <c r="BB88" s="16"/>
      <c r="BC88" s="17"/>
      <c r="BD88" s="18"/>
      <c r="BE88" s="19"/>
      <c r="BF88" s="16"/>
      <c r="BG88" s="17"/>
      <c r="BH88" s="18"/>
      <c r="BI88" s="19"/>
      <c r="BJ88" s="16"/>
      <c r="BK88" s="16"/>
      <c r="BL88" s="16"/>
      <c r="BM88" s="17"/>
      <c r="BN88" s="18"/>
      <c r="BO88" s="19"/>
      <c r="BP88" s="16"/>
      <c r="BQ88" s="17"/>
      <c r="BR88" s="18"/>
      <c r="BS88" s="19"/>
      <c r="BT88" s="24">
        <v>0</v>
      </c>
      <c r="BU88" s="68">
        <v>0</v>
      </c>
      <c r="BV88" s="68">
        <v>0</v>
      </c>
      <c r="BW88" s="25">
        <v>0</v>
      </c>
      <c r="BX88" s="18"/>
      <c r="BY88" s="19"/>
      <c r="BZ88" s="16"/>
      <c r="CA88" s="17"/>
      <c r="CB88" s="18"/>
      <c r="CC88" s="19"/>
      <c r="CD88" s="16"/>
      <c r="CE88" s="17"/>
      <c r="CF88" s="14"/>
      <c r="CG88" s="15"/>
      <c r="CH88" s="15"/>
      <c r="CI88" s="15"/>
      <c r="CN88" s="176"/>
      <c r="CO88" s="177"/>
      <c r="CP88" s="178"/>
      <c r="CQ88" s="179"/>
    </row>
    <row r="89" spans="1:95" ht="23.25" hidden="1" customHeight="1" x14ac:dyDescent="0.55000000000000004">
      <c r="A89" s="7"/>
      <c r="E89" s="19"/>
      <c r="F89" s="16"/>
      <c r="G89" s="17"/>
      <c r="H89" s="18"/>
      <c r="I89" s="19"/>
      <c r="J89" s="16"/>
      <c r="K89" s="17"/>
      <c r="L89" s="18"/>
      <c r="M89" s="19"/>
      <c r="N89" s="16"/>
      <c r="O89" s="17"/>
      <c r="P89" s="18"/>
      <c r="Q89" s="19"/>
      <c r="R89" s="16"/>
      <c r="S89" s="17"/>
      <c r="T89" s="18"/>
      <c r="U89" s="19"/>
      <c r="V89" s="16"/>
      <c r="W89" s="17"/>
      <c r="X89" s="18"/>
      <c r="Y89" s="19"/>
      <c r="Z89" s="16"/>
      <c r="AA89" s="17"/>
      <c r="AB89" s="18"/>
      <c r="AC89" s="19"/>
      <c r="AD89" s="16"/>
      <c r="AE89" s="17"/>
      <c r="AF89" s="18"/>
      <c r="AG89" s="19"/>
      <c r="AH89" s="16"/>
      <c r="AI89" s="17"/>
      <c r="AJ89" s="18"/>
      <c r="AK89" s="19"/>
      <c r="AL89" s="16"/>
      <c r="AM89" s="17"/>
      <c r="AN89" s="18"/>
      <c r="AO89" s="19"/>
      <c r="AP89" s="16"/>
      <c r="AQ89" s="17"/>
      <c r="AR89" s="18"/>
      <c r="AS89" s="19"/>
      <c r="AT89" s="16"/>
      <c r="AU89" s="17"/>
      <c r="AV89" s="18"/>
      <c r="AW89" s="19"/>
      <c r="AX89" s="16"/>
      <c r="AY89" s="17"/>
      <c r="AZ89" s="18"/>
      <c r="BA89" s="19"/>
      <c r="BB89" s="16"/>
      <c r="BC89" s="17"/>
      <c r="BD89" s="18"/>
      <c r="BE89" s="19"/>
      <c r="BF89" s="16"/>
      <c r="BG89" s="17"/>
      <c r="BH89" s="18"/>
      <c r="BI89" s="19"/>
      <c r="BJ89" s="16"/>
      <c r="BK89" s="16"/>
      <c r="BL89" s="16"/>
      <c r="BM89" s="17"/>
      <c r="BN89" s="18"/>
      <c r="BO89" s="19"/>
      <c r="BP89" s="16"/>
      <c r="BQ89" s="17"/>
      <c r="BR89" s="18"/>
      <c r="BS89" s="19"/>
      <c r="BT89" s="24">
        <v>0</v>
      </c>
      <c r="BU89" s="68">
        <v>0</v>
      </c>
      <c r="BV89" s="68">
        <v>0</v>
      </c>
      <c r="BW89" s="25">
        <v>0</v>
      </c>
      <c r="BX89" s="18"/>
      <c r="BY89" s="19"/>
      <c r="BZ89" s="16"/>
      <c r="CA89" s="17"/>
      <c r="CB89" s="18"/>
      <c r="CC89" s="19"/>
      <c r="CD89" s="16"/>
      <c r="CE89" s="17"/>
      <c r="CF89" s="14"/>
      <c r="CG89" s="15"/>
      <c r="CH89" s="15"/>
      <c r="CI89" s="15"/>
      <c r="CN89" s="176"/>
      <c r="CO89" s="177"/>
      <c r="CP89" s="178"/>
      <c r="CQ89" s="179"/>
    </row>
    <row r="90" spans="1:95" ht="23.25" hidden="1" customHeight="1" x14ac:dyDescent="0.55000000000000004">
      <c r="A90" s="7"/>
      <c r="E90" s="19"/>
      <c r="F90" s="16"/>
      <c r="G90" s="17"/>
      <c r="H90" s="18"/>
      <c r="I90" s="19"/>
      <c r="J90" s="16"/>
      <c r="K90" s="17"/>
      <c r="L90" s="18"/>
      <c r="M90" s="19"/>
      <c r="N90" s="16"/>
      <c r="O90" s="17"/>
      <c r="P90" s="18"/>
      <c r="Q90" s="19"/>
      <c r="R90" s="16"/>
      <c r="S90" s="17"/>
      <c r="T90" s="18"/>
      <c r="U90" s="19"/>
      <c r="V90" s="16"/>
      <c r="W90" s="17"/>
      <c r="X90" s="18"/>
      <c r="Y90" s="19"/>
      <c r="Z90" s="16"/>
      <c r="AA90" s="17"/>
      <c r="AB90" s="18"/>
      <c r="AC90" s="19"/>
      <c r="AD90" s="16"/>
      <c r="AE90" s="17"/>
      <c r="AF90" s="18"/>
      <c r="AG90" s="19"/>
      <c r="AH90" s="16"/>
      <c r="AI90" s="17"/>
      <c r="AJ90" s="18"/>
      <c r="AK90" s="19"/>
      <c r="AL90" s="16"/>
      <c r="AM90" s="17"/>
      <c r="AN90" s="18"/>
      <c r="AO90" s="19"/>
      <c r="AP90" s="16"/>
      <c r="AQ90" s="17"/>
      <c r="AR90" s="18"/>
      <c r="AS90" s="19"/>
      <c r="AT90" s="16"/>
      <c r="AU90" s="17"/>
      <c r="AV90" s="18"/>
      <c r="AW90" s="19"/>
      <c r="AX90" s="16"/>
      <c r="AY90" s="17"/>
      <c r="AZ90" s="18"/>
      <c r="BA90" s="19"/>
      <c r="BB90" s="16"/>
      <c r="BC90" s="17"/>
      <c r="BD90" s="18"/>
      <c r="BE90" s="19"/>
      <c r="BF90" s="16"/>
      <c r="BG90" s="17"/>
      <c r="BH90" s="18"/>
      <c r="BI90" s="19"/>
      <c r="BJ90" s="16"/>
      <c r="BK90" s="16"/>
      <c r="BL90" s="16"/>
      <c r="BM90" s="17"/>
      <c r="BN90" s="18"/>
      <c r="BO90" s="19"/>
      <c r="BP90" s="16"/>
      <c r="BQ90" s="17"/>
      <c r="BR90" s="18"/>
      <c r="BS90" s="19"/>
      <c r="BT90" s="24">
        <v>0</v>
      </c>
      <c r="BU90" s="68">
        <v>0</v>
      </c>
      <c r="BV90" s="68">
        <v>0</v>
      </c>
      <c r="BW90" s="25">
        <v>0</v>
      </c>
      <c r="BX90" s="18"/>
      <c r="BY90" s="19"/>
      <c r="BZ90" s="16"/>
      <c r="CA90" s="17"/>
      <c r="CB90" s="18"/>
      <c r="CC90" s="19"/>
      <c r="CD90" s="16"/>
      <c r="CE90" s="17"/>
      <c r="CF90" s="14"/>
      <c r="CG90" s="15"/>
      <c r="CH90" s="15"/>
      <c r="CI90" s="15"/>
      <c r="CN90" s="176"/>
      <c r="CO90" s="177"/>
      <c r="CP90" s="178"/>
      <c r="CQ90" s="179"/>
    </row>
    <row r="91" spans="1:95" ht="23.25" hidden="1" customHeight="1" x14ac:dyDescent="0.55000000000000004">
      <c r="A91" s="7"/>
      <c r="E91" s="19"/>
      <c r="F91" s="16"/>
      <c r="G91" s="17"/>
      <c r="H91" s="18"/>
      <c r="I91" s="19"/>
      <c r="J91" s="16"/>
      <c r="K91" s="17"/>
      <c r="L91" s="18"/>
      <c r="M91" s="19"/>
      <c r="N91" s="16"/>
      <c r="O91" s="17"/>
      <c r="P91" s="18"/>
      <c r="Q91" s="19"/>
      <c r="R91" s="16"/>
      <c r="S91" s="17"/>
      <c r="T91" s="18"/>
      <c r="U91" s="19"/>
      <c r="V91" s="16"/>
      <c r="W91" s="17"/>
      <c r="X91" s="18"/>
      <c r="Y91" s="19"/>
      <c r="Z91" s="16"/>
      <c r="AA91" s="17"/>
      <c r="AB91" s="18"/>
      <c r="AC91" s="19"/>
      <c r="AD91" s="16"/>
      <c r="AE91" s="17"/>
      <c r="AF91" s="18"/>
      <c r="AG91" s="19"/>
      <c r="AH91" s="16"/>
      <c r="AI91" s="17"/>
      <c r="AJ91" s="18"/>
      <c r="AK91" s="19"/>
      <c r="AL91" s="16"/>
      <c r="AM91" s="17"/>
      <c r="AN91" s="18"/>
      <c r="AO91" s="19"/>
      <c r="AP91" s="16"/>
      <c r="AQ91" s="17"/>
      <c r="AR91" s="18"/>
      <c r="AS91" s="19"/>
      <c r="AT91" s="16"/>
      <c r="AU91" s="17"/>
      <c r="AV91" s="18"/>
      <c r="AW91" s="19"/>
      <c r="AX91" s="16"/>
      <c r="AY91" s="17"/>
      <c r="AZ91" s="18"/>
      <c r="BA91" s="19"/>
      <c r="BB91" s="16"/>
      <c r="BC91" s="17"/>
      <c r="BD91" s="18"/>
      <c r="BE91" s="19"/>
      <c r="BF91" s="16"/>
      <c r="BG91" s="17"/>
      <c r="BH91" s="18"/>
      <c r="BI91" s="19"/>
      <c r="BJ91" s="16"/>
      <c r="BK91" s="16"/>
      <c r="BL91" s="16"/>
      <c r="BM91" s="17"/>
      <c r="BN91" s="18"/>
      <c r="BO91" s="19"/>
      <c r="BP91" s="16"/>
      <c r="BQ91" s="17"/>
      <c r="BR91" s="18"/>
      <c r="BS91" s="19"/>
      <c r="BT91" s="24">
        <v>0</v>
      </c>
      <c r="BU91" s="68">
        <v>0</v>
      </c>
      <c r="BV91" s="68">
        <v>0</v>
      </c>
      <c r="BW91" s="25">
        <v>0</v>
      </c>
      <c r="BX91" s="18"/>
      <c r="BY91" s="19"/>
      <c r="BZ91" s="16"/>
      <c r="CA91" s="17"/>
      <c r="CB91" s="18"/>
      <c r="CC91" s="19"/>
      <c r="CD91" s="16"/>
      <c r="CE91" s="17"/>
      <c r="CF91" s="14"/>
      <c r="CG91" s="15"/>
      <c r="CH91" s="15"/>
      <c r="CI91" s="15"/>
      <c r="CN91" s="176"/>
      <c r="CO91" s="177"/>
      <c r="CP91" s="178"/>
      <c r="CQ91" s="179"/>
    </row>
    <row r="92" spans="1:95" ht="23.25" hidden="1" customHeight="1" x14ac:dyDescent="0.55000000000000004">
      <c r="A92" s="7"/>
      <c r="E92" s="19"/>
      <c r="F92" s="16"/>
      <c r="G92" s="17"/>
      <c r="H92" s="18"/>
      <c r="I92" s="19"/>
      <c r="J92" s="16"/>
      <c r="K92" s="17"/>
      <c r="L92" s="18"/>
      <c r="M92" s="19"/>
      <c r="N92" s="16"/>
      <c r="O92" s="17"/>
      <c r="P92" s="18"/>
      <c r="Q92" s="19"/>
      <c r="R92" s="16"/>
      <c r="S92" s="17"/>
      <c r="T92" s="18"/>
      <c r="U92" s="19"/>
      <c r="V92" s="16"/>
      <c r="W92" s="17"/>
      <c r="X92" s="18"/>
      <c r="Y92" s="19"/>
      <c r="Z92" s="16"/>
      <c r="AA92" s="17"/>
      <c r="AB92" s="18"/>
      <c r="AC92" s="19"/>
      <c r="AD92" s="16"/>
      <c r="AE92" s="17"/>
      <c r="AF92" s="18"/>
      <c r="AG92" s="19"/>
      <c r="AH92" s="16"/>
      <c r="AI92" s="17"/>
      <c r="AJ92" s="18"/>
      <c r="AK92" s="19"/>
      <c r="AL92" s="16"/>
      <c r="AM92" s="17"/>
      <c r="AN92" s="18"/>
      <c r="AO92" s="19"/>
      <c r="AP92" s="16"/>
      <c r="AQ92" s="17"/>
      <c r="AR92" s="18"/>
      <c r="AS92" s="19"/>
      <c r="AT92" s="16"/>
      <c r="AU92" s="17"/>
      <c r="AV92" s="18"/>
      <c r="AW92" s="19"/>
      <c r="AX92" s="16"/>
      <c r="AY92" s="17"/>
      <c r="AZ92" s="18"/>
      <c r="BA92" s="19"/>
      <c r="BB92" s="16"/>
      <c r="BC92" s="17"/>
      <c r="BD92" s="18"/>
      <c r="BE92" s="19"/>
      <c r="BF92" s="16"/>
      <c r="BG92" s="17"/>
      <c r="BH92" s="18"/>
      <c r="BI92" s="19"/>
      <c r="BJ92" s="16"/>
      <c r="BK92" s="16"/>
      <c r="BL92" s="16"/>
      <c r="BM92" s="17"/>
      <c r="BN92" s="18"/>
      <c r="BO92" s="19"/>
      <c r="BP92" s="16"/>
      <c r="BQ92" s="17"/>
      <c r="BR92" s="18"/>
      <c r="BS92" s="19"/>
      <c r="BT92" s="24">
        <v>0</v>
      </c>
      <c r="BU92" s="68">
        <v>0</v>
      </c>
      <c r="BV92" s="68">
        <v>0</v>
      </c>
      <c r="BW92" s="25">
        <v>0</v>
      </c>
      <c r="BX92" s="18"/>
      <c r="BY92" s="19"/>
      <c r="BZ92" s="16"/>
      <c r="CA92" s="17"/>
      <c r="CB92" s="18"/>
      <c r="CC92" s="19"/>
      <c r="CD92" s="16"/>
      <c r="CE92" s="17"/>
      <c r="CF92" s="14"/>
      <c r="CG92" s="15"/>
      <c r="CH92" s="15"/>
      <c r="CI92" s="15"/>
      <c r="CN92" s="176"/>
      <c r="CO92" s="177"/>
      <c r="CP92" s="178"/>
      <c r="CQ92" s="179"/>
    </row>
    <row r="93" spans="1:95" ht="23.25" hidden="1" customHeight="1" x14ac:dyDescent="0.55000000000000004">
      <c r="A93" s="7"/>
      <c r="E93" s="19"/>
      <c r="F93" s="16"/>
      <c r="G93" s="17"/>
      <c r="H93" s="18"/>
      <c r="I93" s="19"/>
      <c r="J93" s="16"/>
      <c r="K93" s="17"/>
      <c r="L93" s="18"/>
      <c r="M93" s="19"/>
      <c r="N93" s="16"/>
      <c r="O93" s="17"/>
      <c r="P93" s="18"/>
      <c r="Q93" s="19"/>
      <c r="R93" s="16"/>
      <c r="S93" s="17"/>
      <c r="T93" s="18"/>
      <c r="U93" s="19"/>
      <c r="V93" s="16"/>
      <c r="W93" s="17"/>
      <c r="X93" s="18"/>
      <c r="Y93" s="19"/>
      <c r="Z93" s="16"/>
      <c r="AA93" s="17"/>
      <c r="AB93" s="18"/>
      <c r="AC93" s="19"/>
      <c r="AD93" s="16"/>
      <c r="AE93" s="17"/>
      <c r="AF93" s="18"/>
      <c r="AG93" s="19"/>
      <c r="AH93" s="16"/>
      <c r="AI93" s="17"/>
      <c r="AJ93" s="18"/>
      <c r="AK93" s="19"/>
      <c r="AL93" s="16"/>
      <c r="AM93" s="17"/>
      <c r="AN93" s="18"/>
      <c r="AO93" s="19"/>
      <c r="AP93" s="16"/>
      <c r="AQ93" s="17"/>
      <c r="AR93" s="18"/>
      <c r="AS93" s="19"/>
      <c r="AT93" s="16"/>
      <c r="AU93" s="17"/>
      <c r="AV93" s="18"/>
      <c r="AW93" s="19"/>
      <c r="AX93" s="16"/>
      <c r="AY93" s="17"/>
      <c r="AZ93" s="18"/>
      <c r="BA93" s="19"/>
      <c r="BB93" s="16"/>
      <c r="BC93" s="17"/>
      <c r="BD93" s="18"/>
      <c r="BE93" s="19"/>
      <c r="BF93" s="16"/>
      <c r="BG93" s="17"/>
      <c r="BH93" s="18"/>
      <c r="BI93" s="19"/>
      <c r="BJ93" s="16"/>
      <c r="BK93" s="16"/>
      <c r="BL93" s="16"/>
      <c r="BM93" s="17"/>
      <c r="BN93" s="18"/>
      <c r="BO93" s="19"/>
      <c r="BP93" s="16"/>
      <c r="BQ93" s="17"/>
      <c r="BR93" s="18"/>
      <c r="BS93" s="19"/>
      <c r="BT93" s="24">
        <v>0</v>
      </c>
      <c r="BU93" s="68">
        <v>0</v>
      </c>
      <c r="BV93" s="68">
        <v>0</v>
      </c>
      <c r="BW93" s="25">
        <v>0</v>
      </c>
      <c r="BX93" s="18"/>
      <c r="BY93" s="19"/>
      <c r="BZ93" s="16"/>
      <c r="CA93" s="17"/>
      <c r="CB93" s="18"/>
      <c r="CC93" s="19"/>
      <c r="CD93" s="16"/>
      <c r="CE93" s="17"/>
      <c r="CF93" s="14"/>
      <c r="CG93" s="15"/>
      <c r="CH93" s="15"/>
      <c r="CI93" s="15"/>
      <c r="CN93" s="176"/>
      <c r="CO93" s="177"/>
      <c r="CP93" s="178"/>
      <c r="CQ93" s="179"/>
    </row>
    <row r="94" spans="1:95" ht="23.25" hidden="1" customHeight="1" x14ac:dyDescent="0.55000000000000004">
      <c r="A94" s="7"/>
      <c r="E94" s="19"/>
      <c r="F94" s="16"/>
      <c r="G94" s="17"/>
      <c r="H94" s="18"/>
      <c r="I94" s="19"/>
      <c r="J94" s="16"/>
      <c r="K94" s="17"/>
      <c r="L94" s="18"/>
      <c r="M94" s="19"/>
      <c r="N94" s="16"/>
      <c r="O94" s="17"/>
      <c r="P94" s="18"/>
      <c r="Q94" s="19"/>
      <c r="R94" s="16"/>
      <c r="S94" s="17"/>
      <c r="T94" s="18"/>
      <c r="U94" s="19"/>
      <c r="V94" s="16"/>
      <c r="W94" s="17"/>
      <c r="X94" s="18"/>
      <c r="Y94" s="19"/>
      <c r="Z94" s="16"/>
      <c r="AA94" s="17"/>
      <c r="AB94" s="18"/>
      <c r="AC94" s="19"/>
      <c r="AD94" s="16"/>
      <c r="AE94" s="17"/>
      <c r="AF94" s="18"/>
      <c r="AG94" s="19"/>
      <c r="AH94" s="16"/>
      <c r="AI94" s="17"/>
      <c r="AJ94" s="18"/>
      <c r="AK94" s="19"/>
      <c r="AL94" s="16"/>
      <c r="AM94" s="17"/>
      <c r="AN94" s="18"/>
      <c r="AO94" s="19"/>
      <c r="AP94" s="16"/>
      <c r="AQ94" s="17"/>
      <c r="AR94" s="18"/>
      <c r="AS94" s="19"/>
      <c r="AT94" s="16"/>
      <c r="AU94" s="17"/>
      <c r="AV94" s="18"/>
      <c r="AW94" s="19"/>
      <c r="AX94" s="16"/>
      <c r="AY94" s="17"/>
      <c r="AZ94" s="18"/>
      <c r="BA94" s="19"/>
      <c r="BB94" s="16"/>
      <c r="BC94" s="17"/>
      <c r="BD94" s="18"/>
      <c r="BE94" s="19"/>
      <c r="BF94" s="16"/>
      <c r="BG94" s="17"/>
      <c r="BH94" s="18"/>
      <c r="BI94" s="19"/>
      <c r="BJ94" s="16"/>
      <c r="BK94" s="16"/>
      <c r="BL94" s="16"/>
      <c r="BM94" s="17"/>
      <c r="BN94" s="18"/>
      <c r="BO94" s="19"/>
      <c r="BP94" s="16"/>
      <c r="BQ94" s="17"/>
      <c r="BR94" s="18"/>
      <c r="BS94" s="19"/>
      <c r="BT94" s="24">
        <v>0</v>
      </c>
      <c r="BU94" s="68">
        <v>0</v>
      </c>
      <c r="BV94" s="68">
        <v>0</v>
      </c>
      <c r="BW94" s="25">
        <v>0</v>
      </c>
      <c r="BX94" s="18"/>
      <c r="BY94" s="19"/>
      <c r="BZ94" s="16"/>
      <c r="CA94" s="17"/>
      <c r="CB94" s="18"/>
      <c r="CC94" s="19"/>
      <c r="CD94" s="16"/>
      <c r="CE94" s="17"/>
      <c r="CF94" s="14"/>
      <c r="CG94" s="15"/>
      <c r="CH94" s="15"/>
      <c r="CI94" s="15"/>
      <c r="CN94" s="176"/>
      <c r="CO94" s="177"/>
      <c r="CP94" s="178"/>
      <c r="CQ94" s="179"/>
    </row>
    <row r="95" spans="1:95" ht="23.25" hidden="1" customHeight="1" x14ac:dyDescent="0.55000000000000004">
      <c r="A95" s="7"/>
      <c r="E95" s="19"/>
      <c r="F95" s="16"/>
      <c r="G95" s="17"/>
      <c r="H95" s="18"/>
      <c r="I95" s="19"/>
      <c r="J95" s="16"/>
      <c r="K95" s="17"/>
      <c r="L95" s="18"/>
      <c r="M95" s="19"/>
      <c r="N95" s="16"/>
      <c r="O95" s="17"/>
      <c r="P95" s="18"/>
      <c r="Q95" s="19"/>
      <c r="R95" s="16"/>
      <c r="S95" s="17"/>
      <c r="T95" s="18"/>
      <c r="U95" s="19"/>
      <c r="V95" s="16"/>
      <c r="W95" s="17"/>
      <c r="X95" s="18"/>
      <c r="Y95" s="19"/>
      <c r="Z95" s="16"/>
      <c r="AA95" s="17"/>
      <c r="AB95" s="18"/>
      <c r="AC95" s="19"/>
      <c r="AD95" s="16"/>
      <c r="AE95" s="17"/>
      <c r="AF95" s="18"/>
      <c r="AG95" s="19"/>
      <c r="AH95" s="16"/>
      <c r="AI95" s="17"/>
      <c r="AJ95" s="18"/>
      <c r="AK95" s="19"/>
      <c r="AL95" s="16"/>
      <c r="AM95" s="17"/>
      <c r="AN95" s="18"/>
      <c r="AO95" s="19"/>
      <c r="AP95" s="16"/>
      <c r="AQ95" s="17"/>
      <c r="AR95" s="18"/>
      <c r="AS95" s="19"/>
      <c r="AT95" s="16"/>
      <c r="AU95" s="17"/>
      <c r="AV95" s="18"/>
      <c r="AW95" s="19"/>
      <c r="AX95" s="16"/>
      <c r="AY95" s="17"/>
      <c r="AZ95" s="18"/>
      <c r="BA95" s="19"/>
      <c r="BB95" s="16"/>
      <c r="BC95" s="17"/>
      <c r="BD95" s="18"/>
      <c r="BE95" s="19"/>
      <c r="BF95" s="16"/>
      <c r="BG95" s="17"/>
      <c r="BH95" s="18"/>
      <c r="BI95" s="19"/>
      <c r="BJ95" s="16"/>
      <c r="BK95" s="16"/>
      <c r="BL95" s="16"/>
      <c r="BM95" s="17"/>
      <c r="BN95" s="18"/>
      <c r="BO95" s="19"/>
      <c r="BP95" s="16"/>
      <c r="BQ95" s="17"/>
      <c r="BR95" s="18"/>
      <c r="BS95" s="19"/>
      <c r="BT95" s="24">
        <v>0</v>
      </c>
      <c r="BU95" s="68">
        <v>0</v>
      </c>
      <c r="BV95" s="68">
        <v>0</v>
      </c>
      <c r="BW95" s="25">
        <v>0</v>
      </c>
      <c r="BX95" s="18"/>
      <c r="BY95" s="19"/>
      <c r="BZ95" s="16"/>
      <c r="CA95" s="17"/>
      <c r="CB95" s="18"/>
      <c r="CC95" s="19"/>
      <c r="CD95" s="16"/>
      <c r="CE95" s="17"/>
      <c r="CF95" s="14"/>
      <c r="CG95" s="15"/>
      <c r="CH95" s="15"/>
      <c r="CI95" s="15"/>
      <c r="CN95" s="176"/>
      <c r="CO95" s="177"/>
      <c r="CP95" s="178"/>
      <c r="CQ95" s="179"/>
    </row>
    <row r="96" spans="1:95" ht="23.25" hidden="1" customHeight="1" x14ac:dyDescent="0.55000000000000004">
      <c r="A96" s="7"/>
      <c r="E96" s="19"/>
      <c r="F96" s="16"/>
      <c r="G96" s="17"/>
      <c r="H96" s="18"/>
      <c r="I96" s="19"/>
      <c r="J96" s="16"/>
      <c r="K96" s="17"/>
      <c r="L96" s="18"/>
      <c r="M96" s="19"/>
      <c r="N96" s="16"/>
      <c r="O96" s="17"/>
      <c r="P96" s="18"/>
      <c r="Q96" s="19"/>
      <c r="R96" s="16"/>
      <c r="S96" s="17"/>
      <c r="T96" s="18"/>
      <c r="U96" s="19"/>
      <c r="V96" s="16"/>
      <c r="W96" s="17"/>
      <c r="X96" s="18"/>
      <c r="Y96" s="19"/>
      <c r="Z96" s="16"/>
      <c r="AA96" s="17"/>
      <c r="AB96" s="18"/>
      <c r="AC96" s="19"/>
      <c r="AD96" s="16"/>
      <c r="AE96" s="17"/>
      <c r="AF96" s="18"/>
      <c r="AG96" s="19"/>
      <c r="AH96" s="16"/>
      <c r="AI96" s="17"/>
      <c r="AJ96" s="18"/>
      <c r="AK96" s="19"/>
      <c r="AL96" s="16"/>
      <c r="AM96" s="17"/>
      <c r="AN96" s="18"/>
      <c r="AO96" s="19"/>
      <c r="AP96" s="16"/>
      <c r="AQ96" s="17"/>
      <c r="AR96" s="18"/>
      <c r="AS96" s="19"/>
      <c r="AT96" s="16"/>
      <c r="AU96" s="17"/>
      <c r="AV96" s="18"/>
      <c r="AW96" s="19"/>
      <c r="AX96" s="16"/>
      <c r="AY96" s="17"/>
      <c r="AZ96" s="18"/>
      <c r="BA96" s="19"/>
      <c r="BB96" s="16"/>
      <c r="BC96" s="17"/>
      <c r="BD96" s="18"/>
      <c r="BE96" s="19"/>
      <c r="BF96" s="16"/>
      <c r="BG96" s="17"/>
      <c r="BH96" s="18"/>
      <c r="BI96" s="19"/>
      <c r="BJ96" s="16"/>
      <c r="BK96" s="16"/>
      <c r="BL96" s="16"/>
      <c r="BM96" s="17"/>
      <c r="BN96" s="18"/>
      <c r="BO96" s="19"/>
      <c r="BP96" s="16"/>
      <c r="BQ96" s="17"/>
      <c r="BR96" s="18"/>
      <c r="BS96" s="19"/>
      <c r="BT96" s="24">
        <v>0</v>
      </c>
      <c r="BU96" s="68">
        <v>0</v>
      </c>
      <c r="BV96" s="68">
        <v>0</v>
      </c>
      <c r="BW96" s="25">
        <v>0</v>
      </c>
      <c r="BX96" s="18"/>
      <c r="BY96" s="19"/>
      <c r="BZ96" s="16"/>
      <c r="CA96" s="17"/>
      <c r="CB96" s="18"/>
      <c r="CC96" s="19"/>
      <c r="CD96" s="16"/>
      <c r="CE96" s="17"/>
      <c r="CF96" s="14"/>
      <c r="CG96" s="15"/>
      <c r="CH96" s="15"/>
      <c r="CI96" s="15"/>
      <c r="CN96" s="176"/>
      <c r="CO96" s="177"/>
      <c r="CP96" s="178"/>
      <c r="CQ96" s="179"/>
    </row>
    <row r="97" spans="1:95" ht="23.25" hidden="1" customHeight="1" x14ac:dyDescent="0.55000000000000004">
      <c r="A97" s="7"/>
      <c r="E97" s="19"/>
      <c r="F97" s="16"/>
      <c r="G97" s="17"/>
      <c r="H97" s="18"/>
      <c r="I97" s="19"/>
      <c r="J97" s="16"/>
      <c r="K97" s="17"/>
      <c r="L97" s="18"/>
      <c r="M97" s="19"/>
      <c r="N97" s="16"/>
      <c r="O97" s="17"/>
      <c r="P97" s="18"/>
      <c r="Q97" s="19"/>
      <c r="R97" s="16"/>
      <c r="S97" s="17"/>
      <c r="T97" s="18"/>
      <c r="U97" s="19"/>
      <c r="V97" s="16"/>
      <c r="W97" s="17"/>
      <c r="X97" s="18"/>
      <c r="Y97" s="19"/>
      <c r="Z97" s="16"/>
      <c r="AA97" s="17"/>
      <c r="AB97" s="18"/>
      <c r="AC97" s="19"/>
      <c r="AD97" s="16"/>
      <c r="AE97" s="17"/>
      <c r="AF97" s="18"/>
      <c r="AG97" s="19"/>
      <c r="AH97" s="16"/>
      <c r="AI97" s="17"/>
      <c r="AJ97" s="18"/>
      <c r="AK97" s="19"/>
      <c r="AL97" s="16"/>
      <c r="AM97" s="17"/>
      <c r="AN97" s="18"/>
      <c r="AO97" s="19"/>
      <c r="AP97" s="16"/>
      <c r="AQ97" s="17"/>
      <c r="AR97" s="18"/>
      <c r="AS97" s="19"/>
      <c r="AT97" s="16"/>
      <c r="AU97" s="17"/>
      <c r="AV97" s="18"/>
      <c r="AW97" s="19"/>
      <c r="AX97" s="16"/>
      <c r="AY97" s="17"/>
      <c r="AZ97" s="18"/>
      <c r="BA97" s="19"/>
      <c r="BB97" s="16"/>
      <c r="BC97" s="17"/>
      <c r="BD97" s="18"/>
      <c r="BE97" s="19"/>
      <c r="BF97" s="16"/>
      <c r="BG97" s="17"/>
      <c r="BH97" s="18"/>
      <c r="BI97" s="19"/>
      <c r="BJ97" s="16"/>
      <c r="BK97" s="16"/>
      <c r="BL97" s="16"/>
      <c r="BM97" s="17"/>
      <c r="BN97" s="18"/>
      <c r="BO97" s="19"/>
      <c r="BP97" s="16"/>
      <c r="BQ97" s="17"/>
      <c r="BR97" s="18"/>
      <c r="BS97" s="19"/>
      <c r="BT97" s="24">
        <v>0</v>
      </c>
      <c r="BU97" s="68">
        <v>0</v>
      </c>
      <c r="BV97" s="68">
        <v>0</v>
      </c>
      <c r="BW97" s="25">
        <v>0</v>
      </c>
      <c r="BX97" s="18"/>
      <c r="BY97" s="19"/>
      <c r="BZ97" s="16"/>
      <c r="CA97" s="17"/>
      <c r="CB97" s="18"/>
      <c r="CC97" s="19"/>
      <c r="CD97" s="16"/>
      <c r="CE97" s="17"/>
      <c r="CF97" s="14"/>
      <c r="CG97" s="15"/>
      <c r="CH97" s="15"/>
      <c r="CI97" s="15"/>
      <c r="CN97" s="176"/>
      <c r="CO97" s="177"/>
      <c r="CP97" s="178"/>
      <c r="CQ97" s="179"/>
    </row>
    <row r="98" spans="1:95" ht="23.25" hidden="1" customHeight="1" x14ac:dyDescent="0.55000000000000004">
      <c r="A98" s="7"/>
      <c r="B98" s="16"/>
      <c r="C98" s="17"/>
      <c r="D98" s="18"/>
      <c r="E98" s="19"/>
      <c r="F98" s="16"/>
      <c r="G98" s="17"/>
      <c r="H98" s="18"/>
      <c r="I98" s="19"/>
      <c r="J98" s="16"/>
      <c r="K98" s="17"/>
      <c r="L98" s="18"/>
      <c r="M98" s="19"/>
      <c r="N98" s="16"/>
      <c r="O98" s="17"/>
      <c r="P98" s="18"/>
      <c r="Q98" s="19"/>
      <c r="R98" s="16"/>
      <c r="S98" s="17"/>
      <c r="T98" s="18"/>
      <c r="U98" s="19"/>
      <c r="V98" s="16"/>
      <c r="W98" s="17"/>
      <c r="X98" s="18"/>
      <c r="Y98" s="19"/>
      <c r="Z98" s="16"/>
      <c r="AA98" s="17"/>
      <c r="AB98" s="18"/>
      <c r="AC98" s="19"/>
      <c r="AD98" s="16"/>
      <c r="AE98" s="17"/>
      <c r="AF98" s="18"/>
      <c r="AG98" s="19"/>
      <c r="AH98" s="16"/>
      <c r="AI98" s="17"/>
      <c r="AJ98" s="18"/>
      <c r="AK98" s="19"/>
      <c r="AL98" s="16"/>
      <c r="AM98" s="17"/>
      <c r="AN98" s="18"/>
      <c r="AO98" s="19"/>
      <c r="AP98" s="16"/>
      <c r="AQ98" s="17"/>
      <c r="AR98" s="18"/>
      <c r="AS98" s="19"/>
      <c r="AT98" s="16"/>
      <c r="AU98" s="17"/>
      <c r="AV98" s="18"/>
      <c r="AW98" s="19"/>
      <c r="AX98" s="16"/>
      <c r="AY98" s="17"/>
      <c r="AZ98" s="18"/>
      <c r="BA98" s="19"/>
      <c r="BB98" s="16"/>
      <c r="BC98" s="17"/>
      <c r="BD98" s="18"/>
      <c r="BE98" s="19"/>
      <c r="BF98" s="16"/>
      <c r="BG98" s="17"/>
      <c r="BH98" s="18"/>
      <c r="BI98" s="19"/>
      <c r="BJ98" s="16"/>
      <c r="BK98" s="16"/>
      <c r="BL98" s="16"/>
      <c r="BM98" s="17"/>
      <c r="BN98" s="18"/>
      <c r="BO98" s="19"/>
      <c r="BP98" s="16"/>
      <c r="BQ98" s="17"/>
      <c r="BR98" s="18"/>
      <c r="BS98" s="19"/>
      <c r="BT98" s="24">
        <v>0</v>
      </c>
      <c r="BU98" s="68">
        <v>0</v>
      </c>
      <c r="BV98" s="68">
        <v>0</v>
      </c>
      <c r="BW98" s="25">
        <v>0</v>
      </c>
      <c r="BX98" s="18"/>
      <c r="BY98" s="19"/>
      <c r="BZ98" s="16"/>
      <c r="CA98" s="17"/>
      <c r="CB98" s="18"/>
      <c r="CC98" s="19"/>
      <c r="CD98" s="16"/>
      <c r="CE98" s="17"/>
      <c r="CF98" s="14"/>
      <c r="CG98" s="15"/>
      <c r="CH98" s="15"/>
      <c r="CI98" s="15"/>
      <c r="CN98" s="176"/>
      <c r="CO98" s="177"/>
      <c r="CP98" s="178"/>
      <c r="CQ98" s="179"/>
    </row>
    <row r="99" spans="1:95" ht="23.25" hidden="1" customHeight="1" x14ac:dyDescent="0.55000000000000004">
      <c r="A99" s="7"/>
      <c r="B99" s="16"/>
      <c r="C99" s="17"/>
      <c r="D99" s="18"/>
      <c r="E99" s="19"/>
      <c r="F99" s="16"/>
      <c r="G99" s="17"/>
      <c r="H99" s="18"/>
      <c r="I99" s="19"/>
      <c r="J99" s="16"/>
      <c r="K99" s="17"/>
      <c r="L99" s="18"/>
      <c r="M99" s="19"/>
      <c r="N99" s="16"/>
      <c r="O99" s="17"/>
      <c r="P99" s="18"/>
      <c r="Q99" s="19"/>
      <c r="R99" s="16"/>
      <c r="S99" s="17"/>
      <c r="T99" s="18"/>
      <c r="U99" s="19"/>
      <c r="V99" s="16"/>
      <c r="W99" s="17"/>
      <c r="X99" s="18"/>
      <c r="Y99" s="19"/>
      <c r="Z99" s="16"/>
      <c r="AA99" s="17"/>
      <c r="AB99" s="18"/>
      <c r="AC99" s="19"/>
      <c r="AD99" s="16"/>
      <c r="AE99" s="17"/>
      <c r="AF99" s="18"/>
      <c r="AG99" s="19"/>
      <c r="AH99" s="16"/>
      <c r="AI99" s="17"/>
      <c r="AJ99" s="18"/>
      <c r="AK99" s="19"/>
      <c r="AL99" s="16"/>
      <c r="AM99" s="17"/>
      <c r="AN99" s="18"/>
      <c r="AO99" s="19"/>
      <c r="AP99" s="16"/>
      <c r="AQ99" s="17"/>
      <c r="AR99" s="18"/>
      <c r="AS99" s="19"/>
      <c r="AT99" s="16"/>
      <c r="AU99" s="17"/>
      <c r="AV99" s="18"/>
      <c r="AW99" s="19"/>
      <c r="AX99" s="16"/>
      <c r="AY99" s="17"/>
      <c r="AZ99" s="18"/>
      <c r="BA99" s="19"/>
      <c r="BB99" s="16"/>
      <c r="BC99" s="17"/>
      <c r="BD99" s="18"/>
      <c r="BE99" s="19"/>
      <c r="BF99" s="16"/>
      <c r="BG99" s="17"/>
      <c r="BH99" s="18"/>
      <c r="BI99" s="19"/>
      <c r="BJ99" s="16"/>
      <c r="BK99" s="16"/>
      <c r="BL99" s="16"/>
      <c r="BM99" s="17"/>
      <c r="BN99" s="18"/>
      <c r="BO99" s="19"/>
      <c r="BP99" s="16"/>
      <c r="BQ99" s="17"/>
      <c r="BR99" s="18"/>
      <c r="BS99" s="19"/>
      <c r="BT99" s="24">
        <v>0</v>
      </c>
      <c r="BU99" s="68">
        <v>0</v>
      </c>
      <c r="BV99" s="68">
        <v>0</v>
      </c>
      <c r="BW99" s="25">
        <v>0</v>
      </c>
      <c r="BX99" s="18"/>
      <c r="BY99" s="19"/>
      <c r="BZ99" s="16"/>
      <c r="CA99" s="17"/>
      <c r="CB99" s="18"/>
      <c r="CC99" s="19"/>
      <c r="CD99" s="16"/>
      <c r="CE99" s="17"/>
      <c r="CF99" s="14"/>
      <c r="CG99" s="15"/>
      <c r="CH99" s="15"/>
      <c r="CI99" s="15"/>
      <c r="CN99" s="176"/>
      <c r="CO99" s="177"/>
      <c r="CP99" s="178"/>
      <c r="CQ99" s="179"/>
    </row>
    <row r="100" spans="1:95" x14ac:dyDescent="0.55000000000000004">
      <c r="A100" s="7" t="s">
        <v>10</v>
      </c>
      <c r="B100" s="16">
        <f>106.2</f>
        <v>106.2</v>
      </c>
      <c r="C100" s="17">
        <v>107</v>
      </c>
      <c r="D100" s="18">
        <f>110.1</f>
        <v>110.1</v>
      </c>
      <c r="E100" s="19">
        <f>117.6</f>
        <v>117.6</v>
      </c>
      <c r="F100" s="16">
        <f>136.6</f>
        <v>136.6</v>
      </c>
      <c r="G100" s="17">
        <f>140.3</f>
        <v>140.30000000000001</v>
      </c>
      <c r="H100" s="18">
        <f>144.7</f>
        <v>144.69999999999999</v>
      </c>
      <c r="I100" s="19">
        <f>142.8</f>
        <v>142.80000000000001</v>
      </c>
      <c r="J100" s="16">
        <v>146</v>
      </c>
      <c r="K100" s="17">
        <f>144.9</f>
        <v>144.9</v>
      </c>
      <c r="L100" s="18">
        <f>146.1</f>
        <v>146.1</v>
      </c>
      <c r="M100" s="19">
        <f>145.9</f>
        <v>145.9</v>
      </c>
      <c r="N100" s="16">
        <f>158.4</f>
        <v>158.4</v>
      </c>
      <c r="O100" s="17">
        <v>166</v>
      </c>
      <c r="P100" s="18">
        <f>172.4</f>
        <v>172.4</v>
      </c>
      <c r="Q100" s="19">
        <f>174.8</f>
        <v>174.8</v>
      </c>
      <c r="R100" s="16">
        <v>194</v>
      </c>
      <c r="S100" s="17">
        <f>194.3</f>
        <v>194.3</v>
      </c>
      <c r="T100" s="18">
        <f>207.6</f>
        <v>207.6</v>
      </c>
      <c r="U100" s="19">
        <f>217.3</f>
        <v>217.3</v>
      </c>
      <c r="V100" s="16">
        <v>250</v>
      </c>
      <c r="W100" s="17">
        <f>264.8</f>
        <v>264.8</v>
      </c>
      <c r="X100" s="18">
        <f>235.2</f>
        <v>235.2</v>
      </c>
      <c r="Y100" s="19">
        <f>220.1</f>
        <v>220.1</v>
      </c>
      <c r="Z100" s="16">
        <f>219.7</f>
        <v>219.7</v>
      </c>
      <c r="AA100" s="17">
        <f>224.7</f>
        <v>224.7</v>
      </c>
      <c r="AB100" s="18">
        <f>225.6</f>
        <v>225.6</v>
      </c>
      <c r="AC100" s="19">
        <f>232.7</f>
        <v>232.7</v>
      </c>
      <c r="AD100" s="16">
        <v>244.6</v>
      </c>
      <c r="AE100" s="17">
        <v>248.5</v>
      </c>
      <c r="AF100" s="18">
        <v>258.5</v>
      </c>
      <c r="AG100" s="19">
        <v>271.10000000000002</v>
      </c>
      <c r="AH100" s="16">
        <v>284.3</v>
      </c>
      <c r="AI100" s="17">
        <v>299.39999999999998</v>
      </c>
      <c r="AJ100" s="18">
        <v>309.60000000000002</v>
      </c>
      <c r="AK100" s="19">
        <v>330.3</v>
      </c>
      <c r="AL100" s="16">
        <v>358.8</v>
      </c>
      <c r="AM100" s="17">
        <v>403.4</v>
      </c>
      <c r="AN100" s="18">
        <v>462.4</v>
      </c>
      <c r="AO100" s="19">
        <v>481.9</v>
      </c>
      <c r="AP100" s="16">
        <v>510.3</v>
      </c>
      <c r="AQ100" s="17">
        <v>512.70000000000005</v>
      </c>
      <c r="AR100" s="18">
        <v>513.29999999999995</v>
      </c>
      <c r="AS100" s="19">
        <v>507.5</v>
      </c>
      <c r="AT100" s="16">
        <v>549.9</v>
      </c>
      <c r="AU100" s="17">
        <v>554.29999999999995</v>
      </c>
      <c r="AV100" s="18">
        <v>557.20000000000005</v>
      </c>
      <c r="AW100" s="19">
        <v>545.4</v>
      </c>
      <c r="AX100" s="88">
        <v>549.5</v>
      </c>
      <c r="AY100" s="89">
        <v>543.9</v>
      </c>
      <c r="AZ100" s="87">
        <v>533.5</v>
      </c>
      <c r="BA100" s="90">
        <v>529</v>
      </c>
      <c r="BB100" s="16">
        <v>565.20000000000005</v>
      </c>
      <c r="BC100" s="17">
        <v>568.20000000000005</v>
      </c>
      <c r="BD100" s="18">
        <v>592.6</v>
      </c>
      <c r="BE100" s="19">
        <v>599.1</v>
      </c>
      <c r="BF100" s="16">
        <v>670.9</v>
      </c>
      <c r="BG100" s="17">
        <v>691.8</v>
      </c>
      <c r="BH100" s="18">
        <v>714.2</v>
      </c>
      <c r="BI100" s="19">
        <v>823.2</v>
      </c>
      <c r="BJ100" s="16">
        <v>918.5</v>
      </c>
      <c r="BK100" s="16"/>
      <c r="BL100" s="16"/>
      <c r="BM100" s="17"/>
      <c r="BN100" s="18">
        <f>1089.9</f>
        <v>1089.9000000000001</v>
      </c>
      <c r="BO100" s="19">
        <f>1105.5</f>
        <v>1105.5</v>
      </c>
      <c r="BP100" s="16">
        <f>1294.3</f>
        <v>1294.3</v>
      </c>
      <c r="BQ100" s="17">
        <f>1272.8</f>
        <v>1272.8</v>
      </c>
      <c r="BR100" s="18">
        <v>1327.5</v>
      </c>
      <c r="BS100" s="19">
        <v>1521.5</v>
      </c>
      <c r="BT100" s="24">
        <v>1770.9</v>
      </c>
      <c r="BU100" s="68">
        <v>2276.5</v>
      </c>
      <c r="BV100" s="68">
        <v>2425.8000000000002</v>
      </c>
      <c r="BW100" s="25">
        <v>2553.3000000000002</v>
      </c>
      <c r="BX100" s="18">
        <v>2801.6</v>
      </c>
      <c r="BY100" s="19">
        <v>2977.6</v>
      </c>
      <c r="BZ100" s="16">
        <v>3538.3</v>
      </c>
      <c r="CA100" s="17">
        <v>3968.8</v>
      </c>
      <c r="CB100" s="18">
        <v>3959.9</v>
      </c>
      <c r="CC100" s="19">
        <v>3936.3</v>
      </c>
      <c r="CD100" s="16">
        <v>4600.8999999999996</v>
      </c>
      <c r="CE100" s="17">
        <v>4515.8</v>
      </c>
      <c r="CF100" s="14">
        <v>4705.8999999999996</v>
      </c>
      <c r="CG100" s="15">
        <v>5297.4</v>
      </c>
      <c r="CH100" s="15">
        <v>5625.9</v>
      </c>
      <c r="CI100" s="15">
        <v>6197.6</v>
      </c>
      <c r="CJ100" s="175">
        <v>6608.7</v>
      </c>
      <c r="CK100" s="175">
        <v>6535.8</v>
      </c>
      <c r="CL100" s="175">
        <v>6665.9</v>
      </c>
      <c r="CM100" s="175">
        <v>6970.7</v>
      </c>
      <c r="CN100" s="180">
        <v>7917.3</v>
      </c>
      <c r="CO100" s="181">
        <v>8239</v>
      </c>
      <c r="CP100" s="178"/>
      <c r="CQ100" s="179"/>
    </row>
    <row r="101" spans="1:95" hidden="1" x14ac:dyDescent="0.25">
      <c r="A101" s="5"/>
    </row>
    <row r="102" spans="1:95" hidden="1" x14ac:dyDescent="0.25">
      <c r="A102" s="5"/>
    </row>
    <row r="103" spans="1:95" hidden="1" x14ac:dyDescent="0.25">
      <c r="A103" s="5"/>
    </row>
    <row r="104" spans="1:95" hidden="1" x14ac:dyDescent="0.25">
      <c r="A104" s="5"/>
    </row>
    <row r="105" spans="1:95" hidden="1" x14ac:dyDescent="0.25">
      <c r="A105" s="5"/>
    </row>
    <row r="106" spans="1:95" hidden="1" x14ac:dyDescent="0.25">
      <c r="A106" s="5"/>
    </row>
    <row r="107" spans="1:95" hidden="1" x14ac:dyDescent="0.25">
      <c r="A107" s="5"/>
    </row>
    <row r="108" spans="1:95" hidden="1" x14ac:dyDescent="0.25">
      <c r="A108" s="5"/>
    </row>
    <row r="109" spans="1:95" hidden="1" x14ac:dyDescent="0.25">
      <c r="A109" s="6">
        <v>30</v>
      </c>
    </row>
  </sheetData>
  <mergeCells count="22">
    <mergeCell ref="CJ1:CM1"/>
    <mergeCell ref="BZ1:CC1"/>
    <mergeCell ref="BP1:BS1"/>
    <mergeCell ref="BT1:BY1"/>
    <mergeCell ref="BB1:BE1"/>
    <mergeCell ref="CD1:CI1"/>
    <mergeCell ref="CN1:CQ1"/>
    <mergeCell ref="AX1:BA1"/>
    <mergeCell ref="BF1:BI1"/>
    <mergeCell ref="BJ1:BO1"/>
    <mergeCell ref="B1:E1"/>
    <mergeCell ref="F1:I1"/>
    <mergeCell ref="J1:M1"/>
    <mergeCell ref="N1:Q1"/>
    <mergeCell ref="R1:U1"/>
    <mergeCell ref="AT1:AW1"/>
    <mergeCell ref="V1:Y1"/>
    <mergeCell ref="Z1:AC1"/>
    <mergeCell ref="AP1:AS1"/>
    <mergeCell ref="AD1:AG1"/>
    <mergeCell ref="AH1:AK1"/>
    <mergeCell ref="AL1:AO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Q100"/>
  <sheetViews>
    <sheetView rightToLeft="1" view="pageBreakPreview" zoomScale="115" zoomScaleNormal="115" zoomScaleSheetLayoutView="115" workbookViewId="0">
      <pane xSplit="1" ySplit="2" topLeftCell="CG36" activePane="bottomRight" state="frozen"/>
      <selection pane="topRight" activeCell="B1" sqref="B1"/>
      <selection pane="bottomLeft" activeCell="A3" sqref="A3"/>
      <selection pane="bottomRight" activeCell="CO100" sqref="CO100"/>
    </sheetView>
  </sheetViews>
  <sheetFormatPr defaultColWidth="9.140625" defaultRowHeight="22.5" x14ac:dyDescent="0.25"/>
  <cols>
    <col min="1" max="1" width="11.5703125" style="6" customWidth="1"/>
    <col min="2" max="2" width="5.85546875" style="2" customWidth="1"/>
    <col min="3" max="3" width="5.85546875" style="3" customWidth="1"/>
    <col min="4" max="4" width="5.85546875" style="1" customWidth="1"/>
    <col min="5" max="5" width="5.85546875" style="4" customWidth="1"/>
    <col min="6" max="6" width="5.85546875" style="2" customWidth="1"/>
    <col min="7" max="7" width="5.85546875" style="3" customWidth="1"/>
    <col min="8" max="8" width="5.85546875" style="1" customWidth="1"/>
    <col min="9" max="9" width="5.85546875" style="4" customWidth="1"/>
    <col min="10" max="10" width="5.85546875" style="2" customWidth="1"/>
    <col min="11" max="11" width="5.85546875" style="3" customWidth="1"/>
    <col min="12" max="12" width="5.85546875" style="1" customWidth="1"/>
    <col min="13" max="13" width="5.85546875" style="4" customWidth="1"/>
    <col min="14" max="14" width="5.85546875" style="2" customWidth="1"/>
    <col min="15" max="15" width="5.85546875" style="3" customWidth="1"/>
    <col min="16" max="16" width="5.85546875" style="1" customWidth="1"/>
    <col min="17" max="17" width="5.85546875" style="4" customWidth="1"/>
    <col min="18" max="18" width="5.85546875" style="2" customWidth="1"/>
    <col min="19" max="19" width="5.85546875" style="3" customWidth="1"/>
    <col min="20" max="20" width="5.85546875" style="1" customWidth="1"/>
    <col min="21" max="21" width="5.85546875" style="4" customWidth="1"/>
    <col min="22" max="22" width="6.28515625" style="2" customWidth="1"/>
    <col min="23" max="23" width="6.28515625" style="3" customWidth="1"/>
    <col min="24" max="24" width="6.28515625" style="1" customWidth="1"/>
    <col min="25" max="25" width="6.28515625" style="4" customWidth="1"/>
    <col min="26" max="26" width="6.28515625" style="2" customWidth="1"/>
    <col min="27" max="27" width="6.28515625" style="3" customWidth="1"/>
    <col min="28" max="28" width="6.28515625" style="1" customWidth="1"/>
    <col min="29" max="29" width="6.28515625" style="4" customWidth="1"/>
    <col min="30" max="30" width="6.28515625" style="2" customWidth="1"/>
    <col min="31" max="31" width="6.28515625" style="3" customWidth="1"/>
    <col min="32" max="32" width="6.28515625" style="1" customWidth="1"/>
    <col min="33" max="33" width="6.28515625" style="4" customWidth="1"/>
    <col min="34" max="34" width="6.28515625" style="2" customWidth="1"/>
    <col min="35" max="35" width="6.28515625" style="3" customWidth="1"/>
    <col min="36" max="36" width="6.28515625" style="1" customWidth="1"/>
    <col min="37" max="37" width="6.28515625" style="4" customWidth="1"/>
    <col min="38" max="38" width="6.28515625" style="2" customWidth="1"/>
    <col min="39" max="39" width="6.28515625" style="3" customWidth="1"/>
    <col min="40" max="40" width="6.28515625" style="1" customWidth="1"/>
    <col min="41" max="41" width="6.28515625" style="4" customWidth="1"/>
    <col min="42" max="42" width="6.28515625" style="2" customWidth="1"/>
    <col min="43" max="43" width="6.28515625" style="3" customWidth="1"/>
    <col min="44" max="44" width="6.28515625" style="1" customWidth="1"/>
    <col min="45" max="45" width="6.28515625" style="4" customWidth="1"/>
    <col min="46" max="46" width="6.28515625" style="2" customWidth="1"/>
    <col min="47" max="47" width="6.28515625" style="3" customWidth="1"/>
    <col min="48" max="48" width="6.28515625" style="1" customWidth="1"/>
    <col min="49" max="49" width="6.28515625" style="4" customWidth="1"/>
    <col min="50" max="50" width="6.28515625" style="2" customWidth="1"/>
    <col min="51" max="51" width="6.28515625" style="3" customWidth="1"/>
    <col min="52" max="52" width="6.28515625" style="1" customWidth="1"/>
    <col min="53" max="53" width="6.28515625" style="4" customWidth="1"/>
    <col min="54" max="54" width="6.28515625" style="2" customWidth="1"/>
    <col min="55" max="55" width="6.28515625" style="3" customWidth="1"/>
    <col min="56" max="56" width="6.28515625" style="1" customWidth="1"/>
    <col min="57" max="57" width="6.28515625" style="4" customWidth="1"/>
    <col min="58" max="58" width="6.28515625" style="2" customWidth="1"/>
    <col min="59" max="59" width="6.28515625" style="3" customWidth="1"/>
    <col min="60" max="60" width="6.28515625" style="1" customWidth="1"/>
    <col min="61" max="61" width="6.28515625" style="4" customWidth="1"/>
    <col min="62" max="62" width="6.28515625" style="2" customWidth="1"/>
    <col min="63" max="64" width="6.28515625" style="5" customWidth="1"/>
    <col min="65" max="65" width="6.28515625" style="3" customWidth="1"/>
    <col min="66" max="66" width="6.28515625" style="1" customWidth="1"/>
    <col min="67" max="67" width="6.28515625" style="21" customWidth="1"/>
    <col min="68" max="68" width="6.28515625" style="2" customWidth="1"/>
    <col min="69" max="69" width="6.28515625" style="3" customWidth="1"/>
    <col min="70" max="70" width="6.28515625" style="1" customWidth="1"/>
    <col min="71" max="71" width="6.28515625" style="4" customWidth="1"/>
    <col min="72" max="72" width="6.28515625" style="2" customWidth="1"/>
    <col min="73" max="74" width="6.28515625" style="5" customWidth="1"/>
    <col min="75" max="75" width="6.28515625" style="3" customWidth="1"/>
    <col min="76" max="76" width="6.28515625" style="1" customWidth="1"/>
    <col min="77" max="77" width="6.28515625" style="4" customWidth="1"/>
    <col min="78" max="78" width="6.28515625" style="2" customWidth="1"/>
    <col min="79" max="79" width="7.42578125" style="3" customWidth="1"/>
    <col min="80" max="80" width="6.28515625" style="1" customWidth="1"/>
    <col min="81" max="81" width="6.28515625" style="4" customWidth="1"/>
    <col min="82" max="82" width="6.42578125" style="173" customWidth="1"/>
    <col min="83" max="83" width="6.28515625" style="172" customWidth="1"/>
    <col min="84" max="84" width="6.28515625" style="167" customWidth="1"/>
    <col min="85" max="87" width="6.28515625" style="168" customWidth="1"/>
    <col min="88" max="88" width="7.28515625" style="2" customWidth="1"/>
    <col min="89" max="89" width="7.28515625" style="3" customWidth="1"/>
    <col min="90" max="90" width="7.28515625" style="1" customWidth="1"/>
    <col min="91" max="91" width="7.28515625" style="4" customWidth="1"/>
    <col min="92" max="92" width="7.28515625" style="173" customWidth="1"/>
    <col min="93" max="93" width="7.28515625" style="172" customWidth="1"/>
    <col min="94" max="94" width="7.28515625" style="167" customWidth="1"/>
    <col min="95" max="95" width="7.28515625" style="168" customWidth="1"/>
  </cols>
  <sheetData>
    <row r="1" spans="1:95" x14ac:dyDescent="0.25">
      <c r="A1" s="7" t="s">
        <v>1</v>
      </c>
      <c r="B1" s="235">
        <v>1382</v>
      </c>
      <c r="C1" s="235"/>
      <c r="D1" s="235"/>
      <c r="E1" s="235"/>
      <c r="F1" s="235">
        <v>1383</v>
      </c>
      <c r="G1" s="235"/>
      <c r="H1" s="235"/>
      <c r="I1" s="235"/>
      <c r="J1" s="235">
        <v>1384</v>
      </c>
      <c r="K1" s="235"/>
      <c r="L1" s="235"/>
      <c r="M1" s="235"/>
      <c r="N1" s="235">
        <v>1385</v>
      </c>
      <c r="O1" s="235"/>
      <c r="P1" s="235"/>
      <c r="Q1" s="235"/>
      <c r="R1" s="235">
        <v>1386</v>
      </c>
      <c r="S1" s="235"/>
      <c r="T1" s="235"/>
      <c r="U1" s="235"/>
      <c r="V1" s="235">
        <v>1387</v>
      </c>
      <c r="W1" s="235"/>
      <c r="X1" s="235"/>
      <c r="Y1" s="235"/>
      <c r="Z1" s="235">
        <v>1388</v>
      </c>
      <c r="AA1" s="235"/>
      <c r="AB1" s="235"/>
      <c r="AC1" s="235"/>
      <c r="AD1" s="235">
        <v>1389</v>
      </c>
      <c r="AE1" s="235"/>
      <c r="AF1" s="235"/>
      <c r="AG1" s="235"/>
      <c r="AH1" s="235">
        <v>1390</v>
      </c>
      <c r="AI1" s="235"/>
      <c r="AJ1" s="235"/>
      <c r="AK1" s="235"/>
      <c r="AL1" s="235">
        <v>1391</v>
      </c>
      <c r="AM1" s="235"/>
      <c r="AN1" s="235"/>
      <c r="AO1" s="235"/>
      <c r="AP1" s="235">
        <v>1392</v>
      </c>
      <c r="AQ1" s="235"/>
      <c r="AR1" s="235"/>
      <c r="AS1" s="235"/>
      <c r="AT1" s="235">
        <v>1393</v>
      </c>
      <c r="AU1" s="235"/>
      <c r="AV1" s="235"/>
      <c r="AW1" s="235"/>
      <c r="AX1" s="235">
        <v>1394</v>
      </c>
      <c r="AY1" s="235"/>
      <c r="AZ1" s="235"/>
      <c r="BA1" s="235"/>
      <c r="BB1" s="235">
        <v>1395</v>
      </c>
      <c r="BC1" s="235"/>
      <c r="BD1" s="235"/>
      <c r="BE1" s="235"/>
      <c r="BF1" s="235">
        <v>1396</v>
      </c>
      <c r="BG1" s="235"/>
      <c r="BH1" s="235"/>
      <c r="BI1" s="235"/>
      <c r="BJ1" s="235">
        <v>1397</v>
      </c>
      <c r="BK1" s="235"/>
      <c r="BL1" s="235"/>
      <c r="BM1" s="235"/>
      <c r="BN1" s="235"/>
      <c r="BO1" s="235"/>
      <c r="BP1" s="235">
        <v>1398</v>
      </c>
      <c r="BQ1" s="235"/>
      <c r="BR1" s="235"/>
      <c r="BS1" s="235"/>
      <c r="BT1" s="235">
        <v>1399</v>
      </c>
      <c r="BU1" s="235"/>
      <c r="BV1" s="235"/>
      <c r="BW1" s="235"/>
      <c r="BX1" s="235"/>
      <c r="BY1" s="235"/>
      <c r="BZ1" s="235">
        <v>1400</v>
      </c>
      <c r="CA1" s="235"/>
      <c r="CB1" s="235"/>
      <c r="CC1" s="235"/>
      <c r="CD1" s="236">
        <v>1401</v>
      </c>
      <c r="CE1" s="237"/>
      <c r="CF1" s="237"/>
      <c r="CG1" s="237"/>
      <c r="CH1" s="237"/>
      <c r="CI1" s="238"/>
      <c r="CJ1" s="235">
        <v>1402</v>
      </c>
      <c r="CK1" s="235"/>
      <c r="CL1" s="235"/>
      <c r="CM1" s="235"/>
      <c r="CN1" s="235">
        <v>1403</v>
      </c>
      <c r="CO1" s="235"/>
      <c r="CP1" s="235"/>
      <c r="CQ1" s="235"/>
    </row>
    <row r="2" spans="1:95" x14ac:dyDescent="0.25">
      <c r="A2" s="7" t="s">
        <v>3</v>
      </c>
      <c r="B2" s="8" t="s">
        <v>4</v>
      </c>
      <c r="C2" s="9" t="s">
        <v>2</v>
      </c>
      <c r="D2" s="10" t="s">
        <v>5</v>
      </c>
      <c r="E2" s="11" t="s">
        <v>6</v>
      </c>
      <c r="F2" s="8" t="s">
        <v>4</v>
      </c>
      <c r="G2" s="9" t="s">
        <v>2</v>
      </c>
      <c r="H2" s="10" t="s">
        <v>5</v>
      </c>
      <c r="I2" s="11" t="s">
        <v>6</v>
      </c>
      <c r="J2" s="8" t="s">
        <v>4</v>
      </c>
      <c r="K2" s="9" t="s">
        <v>2</v>
      </c>
      <c r="L2" s="10" t="s">
        <v>5</v>
      </c>
      <c r="M2" s="11" t="s">
        <v>6</v>
      </c>
      <c r="N2" s="8" t="s">
        <v>4</v>
      </c>
      <c r="O2" s="9" t="s">
        <v>2</v>
      </c>
      <c r="P2" s="10" t="s">
        <v>5</v>
      </c>
      <c r="Q2" s="11" t="s">
        <v>6</v>
      </c>
      <c r="R2" s="8" t="s">
        <v>4</v>
      </c>
      <c r="S2" s="9" t="s">
        <v>2</v>
      </c>
      <c r="T2" s="10" t="s">
        <v>5</v>
      </c>
      <c r="U2" s="11" t="s">
        <v>6</v>
      </c>
      <c r="V2" s="8" t="s">
        <v>4</v>
      </c>
      <c r="W2" s="9" t="s">
        <v>2</v>
      </c>
      <c r="X2" s="10" t="s">
        <v>5</v>
      </c>
      <c r="Y2" s="11" t="s">
        <v>6</v>
      </c>
      <c r="Z2" s="8" t="s">
        <v>4</v>
      </c>
      <c r="AA2" s="9" t="s">
        <v>2</v>
      </c>
      <c r="AB2" s="10" t="s">
        <v>5</v>
      </c>
      <c r="AC2" s="11" t="s">
        <v>6</v>
      </c>
      <c r="AD2" s="8" t="s">
        <v>4</v>
      </c>
      <c r="AE2" s="9" t="s">
        <v>2</v>
      </c>
      <c r="AF2" s="10" t="s">
        <v>5</v>
      </c>
      <c r="AG2" s="11" t="s">
        <v>6</v>
      </c>
      <c r="AH2" s="8" t="s">
        <v>4</v>
      </c>
      <c r="AI2" s="9" t="s">
        <v>2</v>
      </c>
      <c r="AJ2" s="10" t="s">
        <v>5</v>
      </c>
      <c r="AK2" s="11" t="s">
        <v>6</v>
      </c>
      <c r="AL2" s="8" t="s">
        <v>4</v>
      </c>
      <c r="AM2" s="9" t="s">
        <v>2</v>
      </c>
      <c r="AN2" s="10" t="s">
        <v>5</v>
      </c>
      <c r="AO2" s="11" t="s">
        <v>6</v>
      </c>
      <c r="AP2" s="8" t="s">
        <v>4</v>
      </c>
      <c r="AQ2" s="9" t="s">
        <v>2</v>
      </c>
      <c r="AR2" s="10" t="s">
        <v>5</v>
      </c>
      <c r="AS2" s="11" t="s">
        <v>6</v>
      </c>
      <c r="AT2" s="8" t="s">
        <v>4</v>
      </c>
      <c r="AU2" s="9" t="s">
        <v>2</v>
      </c>
      <c r="AV2" s="10" t="s">
        <v>5</v>
      </c>
      <c r="AW2" s="11" t="s">
        <v>6</v>
      </c>
      <c r="AX2" s="8" t="s">
        <v>4</v>
      </c>
      <c r="AY2" s="9" t="s">
        <v>2</v>
      </c>
      <c r="AZ2" s="10" t="s">
        <v>5</v>
      </c>
      <c r="BA2" s="11" t="s">
        <v>6</v>
      </c>
      <c r="BB2" s="8" t="s">
        <v>4</v>
      </c>
      <c r="BC2" s="9" t="s">
        <v>2</v>
      </c>
      <c r="BD2" s="10" t="s">
        <v>5</v>
      </c>
      <c r="BE2" s="11" t="s">
        <v>6</v>
      </c>
      <c r="BF2" s="8" t="s">
        <v>4</v>
      </c>
      <c r="BG2" s="9" t="s">
        <v>2</v>
      </c>
      <c r="BH2" s="10" t="s">
        <v>5</v>
      </c>
      <c r="BI2" s="11" t="s">
        <v>6</v>
      </c>
      <c r="BJ2" s="8" t="s">
        <v>4</v>
      </c>
      <c r="BK2" s="7" t="s">
        <v>57</v>
      </c>
      <c r="BL2" s="7" t="s">
        <v>58</v>
      </c>
      <c r="BM2" s="9" t="s">
        <v>59</v>
      </c>
      <c r="BN2" s="10" t="s">
        <v>5</v>
      </c>
      <c r="BO2" s="11" t="s">
        <v>6</v>
      </c>
      <c r="BP2" s="8" t="s">
        <v>4</v>
      </c>
      <c r="BQ2" s="9" t="s">
        <v>2</v>
      </c>
      <c r="BR2" s="10" t="s">
        <v>5</v>
      </c>
      <c r="BS2" s="11" t="s">
        <v>6</v>
      </c>
      <c r="BT2" s="8" t="s">
        <v>4</v>
      </c>
      <c r="BU2" s="7" t="s">
        <v>57</v>
      </c>
      <c r="BV2" s="7" t="s">
        <v>58</v>
      </c>
      <c r="BW2" s="9" t="s">
        <v>59</v>
      </c>
      <c r="BX2" s="10" t="s">
        <v>5</v>
      </c>
      <c r="BY2" s="11" t="s">
        <v>6</v>
      </c>
      <c r="BZ2" s="8" t="s">
        <v>4</v>
      </c>
      <c r="CA2" s="9" t="s">
        <v>2</v>
      </c>
      <c r="CB2" s="10" t="s">
        <v>5</v>
      </c>
      <c r="CC2" s="11" t="s">
        <v>6</v>
      </c>
      <c r="CD2" s="22" t="s">
        <v>4</v>
      </c>
      <c r="CE2" s="23" t="s">
        <v>2</v>
      </c>
      <c r="CF2" s="26" t="s">
        <v>5</v>
      </c>
      <c r="CG2" s="27" t="s">
        <v>115</v>
      </c>
      <c r="CH2" s="27" t="s">
        <v>116</v>
      </c>
      <c r="CI2" s="27" t="s">
        <v>117</v>
      </c>
      <c r="CJ2" s="8" t="s">
        <v>4</v>
      </c>
      <c r="CK2" s="9" t="s">
        <v>2</v>
      </c>
      <c r="CL2" s="10" t="s">
        <v>5</v>
      </c>
      <c r="CM2" s="11" t="s">
        <v>6</v>
      </c>
      <c r="CN2" s="22" t="s">
        <v>4</v>
      </c>
      <c r="CO2" s="23" t="s">
        <v>2</v>
      </c>
      <c r="CP2" s="26" t="s">
        <v>5</v>
      </c>
      <c r="CQ2" s="27" t="s">
        <v>6</v>
      </c>
    </row>
    <row r="3" spans="1:95" x14ac:dyDescent="0.55000000000000004">
      <c r="A3" s="7">
        <v>1</v>
      </c>
      <c r="B3" s="16">
        <v>103</v>
      </c>
      <c r="C3" s="17">
        <v>102.5</v>
      </c>
      <c r="D3" s="18">
        <v>102.2</v>
      </c>
      <c r="E3" s="19">
        <v>107.8</v>
      </c>
      <c r="F3" s="16">
        <v>127.6</v>
      </c>
      <c r="G3" s="17">
        <v>131.6</v>
      </c>
      <c r="H3" s="18">
        <v>139.6</v>
      </c>
      <c r="I3" s="19">
        <v>139</v>
      </c>
      <c r="J3" s="16">
        <v>142.1</v>
      </c>
      <c r="K3" s="17">
        <v>140.4</v>
      </c>
      <c r="L3" s="18">
        <v>141.9</v>
      </c>
      <c r="M3" s="19">
        <v>141.9</v>
      </c>
      <c r="N3" s="16">
        <v>151.80000000000001</v>
      </c>
      <c r="O3" s="17">
        <v>159.5</v>
      </c>
      <c r="P3" s="18">
        <v>163</v>
      </c>
      <c r="Q3" s="19">
        <v>164.7</v>
      </c>
      <c r="R3" s="16">
        <v>211.1</v>
      </c>
      <c r="S3" s="17">
        <v>214.7</v>
      </c>
      <c r="T3" s="18">
        <v>215.5</v>
      </c>
      <c r="U3" s="19">
        <v>223.5</v>
      </c>
      <c r="V3" s="16">
        <v>245.2</v>
      </c>
      <c r="W3" s="17">
        <v>248</v>
      </c>
      <c r="X3" s="18">
        <v>229.3</v>
      </c>
      <c r="Y3" s="19">
        <v>223.4</v>
      </c>
      <c r="Z3" s="16">
        <v>217.9</v>
      </c>
      <c r="AA3" s="17">
        <v>222.2</v>
      </c>
      <c r="AB3" s="18">
        <v>230</v>
      </c>
      <c r="AC3" s="19">
        <v>230</v>
      </c>
      <c r="AD3" s="16"/>
      <c r="AE3" s="17"/>
      <c r="AF3" s="18"/>
      <c r="AG3" s="19"/>
      <c r="AH3" s="16"/>
      <c r="AI3" s="17"/>
      <c r="AJ3" s="18"/>
      <c r="AK3" s="19"/>
      <c r="AL3" s="16"/>
      <c r="AM3" s="17"/>
      <c r="AN3" s="18"/>
      <c r="AO3" s="19">
        <v>533.70000000000005</v>
      </c>
      <c r="AP3" s="16">
        <v>543.29999999999995</v>
      </c>
      <c r="AQ3" s="20">
        <v>532.9</v>
      </c>
      <c r="AR3" s="18">
        <v>533.4</v>
      </c>
      <c r="AS3" s="19">
        <v>537.20000000000005</v>
      </c>
      <c r="AT3" s="16">
        <v>584.29999999999995</v>
      </c>
      <c r="AU3" s="17">
        <v>588.9</v>
      </c>
      <c r="AV3" s="18">
        <v>592.20000000000005</v>
      </c>
      <c r="AW3" s="19">
        <v>594.79999999999995</v>
      </c>
      <c r="AX3" s="12"/>
      <c r="AY3" s="13"/>
      <c r="AZ3" s="14"/>
      <c r="BA3" s="15"/>
      <c r="BB3" s="12">
        <v>626.5</v>
      </c>
      <c r="BC3" s="13">
        <v>631.70000000000005</v>
      </c>
      <c r="BD3" s="14">
        <v>669.9</v>
      </c>
      <c r="BE3" s="15">
        <v>692.7</v>
      </c>
      <c r="BF3" s="12">
        <v>724.9</v>
      </c>
      <c r="BG3" s="13">
        <v>780.5</v>
      </c>
      <c r="BH3" s="14">
        <v>833.4</v>
      </c>
      <c r="BI3" s="15">
        <v>850.3</v>
      </c>
      <c r="BJ3" s="12">
        <v>973.3</v>
      </c>
      <c r="BK3" s="57"/>
      <c r="BL3" s="57"/>
      <c r="BM3" s="13"/>
      <c r="BN3" s="93">
        <v>1523.1</v>
      </c>
      <c r="BO3" s="94">
        <v>1520.4</v>
      </c>
      <c r="BP3" s="88">
        <v>1784.6</v>
      </c>
      <c r="BQ3" s="89">
        <v>1730.5</v>
      </c>
      <c r="BR3" s="14">
        <v>1740.3</v>
      </c>
      <c r="BS3" s="15">
        <v>1982</v>
      </c>
      <c r="BT3" s="12">
        <v>2307.8000000000002</v>
      </c>
      <c r="BU3" s="57">
        <v>2791.7</v>
      </c>
      <c r="BV3" s="57">
        <v>3093.4</v>
      </c>
      <c r="BW3" s="13">
        <v>3356.8</v>
      </c>
      <c r="BX3" s="14">
        <v>3582.4</v>
      </c>
      <c r="BY3" s="15">
        <v>3757</v>
      </c>
      <c r="BZ3" s="88">
        <v>4306.3</v>
      </c>
      <c r="CA3" s="89">
        <v>4535</v>
      </c>
      <c r="CB3" s="14">
        <v>4424.1000000000004</v>
      </c>
      <c r="CC3" s="15">
        <v>4321.8999999999996</v>
      </c>
      <c r="CD3" s="171">
        <v>4896.3999999999996</v>
      </c>
      <c r="CE3" s="25">
        <v>4813.8999999999996</v>
      </c>
      <c r="CF3" s="14">
        <v>4990.6000000000004</v>
      </c>
      <c r="CG3" s="15">
        <v>5527.3</v>
      </c>
      <c r="CH3" s="15">
        <v>5727</v>
      </c>
      <c r="CI3" s="15">
        <v>6041.1</v>
      </c>
      <c r="CJ3" s="88">
        <v>6652.6</v>
      </c>
      <c r="CK3" s="89">
        <v>6598.7</v>
      </c>
      <c r="CL3" s="14">
        <v>6906.1</v>
      </c>
      <c r="CM3" s="15">
        <v>7274.2</v>
      </c>
      <c r="CN3" s="24">
        <v>7962</v>
      </c>
      <c r="CO3" s="25">
        <v>7906.2</v>
      </c>
      <c r="CP3" s="28"/>
      <c r="CQ3" s="29"/>
    </row>
    <row r="4" spans="1:95" x14ac:dyDescent="0.55000000000000004">
      <c r="A4" s="7">
        <v>2</v>
      </c>
      <c r="B4" s="16">
        <v>107.9</v>
      </c>
      <c r="C4" s="17">
        <v>108.5</v>
      </c>
      <c r="D4" s="18">
        <v>108.8</v>
      </c>
      <c r="E4" s="19">
        <v>109.2</v>
      </c>
      <c r="F4" s="16">
        <v>124.6</v>
      </c>
      <c r="G4" s="17">
        <v>125.1</v>
      </c>
      <c r="H4" s="18">
        <v>126</v>
      </c>
      <c r="I4" s="19">
        <v>126</v>
      </c>
      <c r="J4" s="16">
        <v>139.4</v>
      </c>
      <c r="K4" s="17">
        <v>139.69999999999999</v>
      </c>
      <c r="L4" s="18">
        <v>139.30000000000001</v>
      </c>
      <c r="M4" s="19">
        <v>139.5</v>
      </c>
      <c r="N4" s="16">
        <v>191.9</v>
      </c>
      <c r="O4" s="17">
        <v>191.9</v>
      </c>
      <c r="P4" s="18">
        <v>208</v>
      </c>
      <c r="Q4" s="19">
        <v>213.8</v>
      </c>
      <c r="R4" s="16">
        <v>260.3</v>
      </c>
      <c r="S4" s="17">
        <v>260.7</v>
      </c>
      <c r="T4" s="18">
        <v>261.7</v>
      </c>
      <c r="U4" s="19">
        <v>262.60000000000002</v>
      </c>
      <c r="V4" s="16">
        <v>266</v>
      </c>
      <c r="W4" s="17">
        <v>273.8</v>
      </c>
      <c r="X4" s="18">
        <v>438.3</v>
      </c>
      <c r="Y4" s="19">
        <v>438.4</v>
      </c>
      <c r="Z4" s="16">
        <v>457.6</v>
      </c>
      <c r="AA4" s="17">
        <v>458</v>
      </c>
      <c r="AB4" s="18">
        <v>458.7</v>
      </c>
      <c r="AC4" s="19">
        <v>511.5</v>
      </c>
      <c r="AD4" s="16"/>
      <c r="AE4" s="17"/>
      <c r="AF4" s="18"/>
      <c r="AG4" s="19"/>
      <c r="AH4" s="16"/>
      <c r="AI4" s="17"/>
      <c r="AJ4" s="18"/>
      <c r="AK4" s="19"/>
      <c r="AL4" s="16"/>
      <c r="AM4" s="17"/>
      <c r="AN4" s="18"/>
      <c r="AO4" s="19">
        <v>715.9</v>
      </c>
      <c r="AP4" s="16">
        <v>727.8</v>
      </c>
      <c r="AQ4" s="17">
        <v>729.5</v>
      </c>
      <c r="AR4" s="18">
        <v>762.4</v>
      </c>
      <c r="AS4" s="19">
        <v>764.3</v>
      </c>
      <c r="AT4" s="16">
        <v>798.7</v>
      </c>
      <c r="AU4" s="17">
        <v>800.2</v>
      </c>
      <c r="AV4" s="18">
        <v>851</v>
      </c>
      <c r="AW4" s="19">
        <v>852.4</v>
      </c>
      <c r="AX4" s="12"/>
      <c r="AY4" s="13"/>
      <c r="AZ4" s="14"/>
      <c r="BA4" s="15"/>
      <c r="BB4" s="12">
        <v>880.1</v>
      </c>
      <c r="BC4" s="13">
        <v>881.3</v>
      </c>
      <c r="BD4" s="14">
        <v>882.8</v>
      </c>
      <c r="BE4" s="15">
        <v>883.9</v>
      </c>
      <c r="BF4" s="12">
        <v>897.1</v>
      </c>
      <c r="BG4" s="13">
        <v>897.9</v>
      </c>
      <c r="BH4" s="14">
        <v>962.4</v>
      </c>
      <c r="BI4" s="15">
        <v>983.3</v>
      </c>
      <c r="BJ4" s="12">
        <v>1049.9000000000001</v>
      </c>
      <c r="BK4" s="57"/>
      <c r="BL4" s="57"/>
      <c r="BM4" s="13"/>
      <c r="BN4" s="93">
        <v>1243</v>
      </c>
      <c r="BO4" s="94">
        <v>1252.5</v>
      </c>
      <c r="BP4" s="91">
        <v>1418.2</v>
      </c>
      <c r="BQ4" s="89">
        <v>1431.5</v>
      </c>
      <c r="BR4" s="14">
        <v>1518.7</v>
      </c>
      <c r="BS4" s="15">
        <v>1547.5</v>
      </c>
      <c r="BT4" s="12">
        <v>1916.3</v>
      </c>
      <c r="BU4" s="57">
        <v>2310.1</v>
      </c>
      <c r="BV4" s="57">
        <v>2392.3000000000002</v>
      </c>
      <c r="BW4" s="13">
        <v>2478.5</v>
      </c>
      <c r="BX4" s="14">
        <v>2525.1999999999998</v>
      </c>
      <c r="BY4" s="15">
        <v>2665.3</v>
      </c>
      <c r="BZ4" s="91">
        <v>2929.9</v>
      </c>
      <c r="CA4" s="89">
        <v>3171.3</v>
      </c>
      <c r="CB4" s="14">
        <v>3641.9</v>
      </c>
      <c r="CC4" s="15">
        <v>3875.3</v>
      </c>
      <c r="CD4" s="24">
        <v>4424.5</v>
      </c>
      <c r="CE4" s="25">
        <v>4436.8999999999996</v>
      </c>
      <c r="CF4" s="14">
        <v>5060.1000000000004</v>
      </c>
      <c r="CG4" s="15">
        <v>5216.5</v>
      </c>
      <c r="CH4" s="15">
        <v>5207.8</v>
      </c>
      <c r="CI4" s="15">
        <v>5362.9</v>
      </c>
      <c r="CJ4" s="91">
        <v>5860.1</v>
      </c>
      <c r="CK4" s="89">
        <v>6144.7</v>
      </c>
      <c r="CL4" s="14">
        <v>6250.7</v>
      </c>
      <c r="CM4" s="15">
        <v>6279.9</v>
      </c>
      <c r="CN4" s="24">
        <v>7055</v>
      </c>
      <c r="CO4" s="25">
        <v>7123.1</v>
      </c>
      <c r="CP4" s="28"/>
      <c r="CQ4" s="29"/>
    </row>
    <row r="5" spans="1:95" x14ac:dyDescent="0.55000000000000004">
      <c r="A5" s="7">
        <v>3</v>
      </c>
      <c r="B5" s="16">
        <v>103.1</v>
      </c>
      <c r="C5" s="17">
        <v>104.1</v>
      </c>
      <c r="D5" s="18">
        <v>104.7</v>
      </c>
      <c r="E5" s="19">
        <v>105.3</v>
      </c>
      <c r="F5" s="16">
        <v>111.6</v>
      </c>
      <c r="G5" s="17">
        <v>112.6</v>
      </c>
      <c r="H5" s="18">
        <v>115.7</v>
      </c>
      <c r="I5" s="19">
        <v>115.7</v>
      </c>
      <c r="J5" s="16">
        <v>123.1</v>
      </c>
      <c r="K5" s="17">
        <v>123.6</v>
      </c>
      <c r="L5" s="18">
        <v>124.4</v>
      </c>
      <c r="M5" s="19">
        <v>124.6</v>
      </c>
      <c r="N5" s="16">
        <v>127</v>
      </c>
      <c r="O5" s="17">
        <v>127</v>
      </c>
      <c r="P5" s="18">
        <v>128.69999999999999</v>
      </c>
      <c r="Q5" s="19">
        <v>128.80000000000001</v>
      </c>
      <c r="R5" s="16">
        <v>146.69999999999999</v>
      </c>
      <c r="S5" s="17">
        <v>147.4</v>
      </c>
      <c r="T5" s="18">
        <v>129.69999999999999</v>
      </c>
      <c r="U5" s="19">
        <v>138.9</v>
      </c>
      <c r="V5" s="16">
        <v>156.69999999999999</v>
      </c>
      <c r="W5" s="17">
        <v>167</v>
      </c>
      <c r="X5" s="18">
        <v>168.1</v>
      </c>
      <c r="Y5" s="19">
        <v>167</v>
      </c>
      <c r="Z5" s="16">
        <v>185.3</v>
      </c>
      <c r="AA5" s="17">
        <v>200.8</v>
      </c>
      <c r="AB5" s="18">
        <v>202.1</v>
      </c>
      <c r="AC5" s="19">
        <v>201.9</v>
      </c>
      <c r="AD5" s="16"/>
      <c r="AE5" s="17"/>
      <c r="AF5" s="18"/>
      <c r="AG5" s="19"/>
      <c r="AH5" s="16"/>
      <c r="AI5" s="17"/>
      <c r="AJ5" s="18"/>
      <c r="AK5" s="19"/>
      <c r="AL5" s="16"/>
      <c r="AM5" s="17"/>
      <c r="AN5" s="18"/>
      <c r="AO5" s="19">
        <v>534.79999999999995</v>
      </c>
      <c r="AP5" s="16">
        <v>490.4</v>
      </c>
      <c r="AQ5" s="17">
        <v>492.6</v>
      </c>
      <c r="AR5" s="18">
        <v>495.9</v>
      </c>
      <c r="AS5" s="19">
        <v>498.9</v>
      </c>
      <c r="AT5" s="16">
        <v>587.20000000000005</v>
      </c>
      <c r="AU5" s="17">
        <v>589.6</v>
      </c>
      <c r="AV5" s="18">
        <v>616.5</v>
      </c>
      <c r="AW5" s="19">
        <v>618.5</v>
      </c>
      <c r="AX5" s="12"/>
      <c r="AY5" s="13"/>
      <c r="AZ5" s="14"/>
      <c r="BA5" s="15"/>
      <c r="BB5" s="12">
        <v>665.4</v>
      </c>
      <c r="BC5" s="13">
        <v>677.7</v>
      </c>
      <c r="BD5" s="14">
        <v>756.6</v>
      </c>
      <c r="BE5" s="15">
        <v>759.3</v>
      </c>
      <c r="BF5" s="12">
        <v>782.9</v>
      </c>
      <c r="BG5" s="13">
        <v>803.5</v>
      </c>
      <c r="BH5" s="14">
        <v>837.9</v>
      </c>
      <c r="BI5" s="15">
        <v>870.8</v>
      </c>
      <c r="BJ5" s="12">
        <v>988.5</v>
      </c>
      <c r="BK5" s="57"/>
      <c r="BL5" s="57"/>
      <c r="BM5" s="13"/>
      <c r="BN5" s="87">
        <v>1351.6</v>
      </c>
      <c r="BO5" s="95">
        <v>1361.2</v>
      </c>
      <c r="BP5" s="88">
        <v>1590.5</v>
      </c>
      <c r="BQ5" s="89">
        <v>1565.4</v>
      </c>
      <c r="BR5" s="14">
        <v>1594.5</v>
      </c>
      <c r="BS5" s="15">
        <v>1625.3</v>
      </c>
      <c r="BT5" s="12">
        <v>1823.4</v>
      </c>
      <c r="BU5" s="57">
        <v>1994</v>
      </c>
      <c r="BV5" s="57">
        <v>2124.1</v>
      </c>
      <c r="BW5" s="13">
        <v>2396.1</v>
      </c>
      <c r="BX5" s="14">
        <v>3008.9</v>
      </c>
      <c r="BY5" s="15">
        <v>3336</v>
      </c>
      <c r="BZ5" s="88">
        <v>3691.1</v>
      </c>
      <c r="CA5" s="89">
        <v>3977.4</v>
      </c>
      <c r="CB5" s="14">
        <v>4212.7</v>
      </c>
      <c r="CC5" s="15">
        <v>4371.2</v>
      </c>
      <c r="CD5" s="24">
        <v>4832.5</v>
      </c>
      <c r="CE5" s="25">
        <v>4560.8999999999996</v>
      </c>
      <c r="CF5" s="14">
        <v>4444.6000000000004</v>
      </c>
      <c r="CG5" s="15">
        <v>4668.6000000000004</v>
      </c>
      <c r="CH5" s="15">
        <v>4668.8</v>
      </c>
      <c r="CI5" s="15">
        <v>4943.5</v>
      </c>
      <c r="CJ5" s="88">
        <v>5303.2</v>
      </c>
      <c r="CK5" s="89">
        <v>5380.5</v>
      </c>
      <c r="CL5" s="14">
        <v>5456.2</v>
      </c>
      <c r="CM5" s="15">
        <v>5504.8</v>
      </c>
      <c r="CN5" s="24">
        <v>6192.5</v>
      </c>
      <c r="CO5" s="25">
        <v>6386.1</v>
      </c>
      <c r="CP5" s="28"/>
      <c r="CQ5" s="29"/>
    </row>
    <row r="6" spans="1:95" x14ac:dyDescent="0.55000000000000004">
      <c r="A6" s="7">
        <v>4</v>
      </c>
      <c r="B6" s="16"/>
      <c r="C6" s="17"/>
      <c r="D6" s="18"/>
      <c r="E6" s="19">
        <f>102.1</f>
        <v>102.1</v>
      </c>
      <c r="F6" s="16">
        <v>104.2</v>
      </c>
      <c r="G6" s="17">
        <v>104.6</v>
      </c>
      <c r="H6" s="18">
        <v>110.9</v>
      </c>
      <c r="I6" s="19">
        <v>110.9</v>
      </c>
      <c r="J6" s="16">
        <v>111.8</v>
      </c>
      <c r="K6" s="17">
        <v>112.1</v>
      </c>
      <c r="L6" s="18">
        <v>124.9</v>
      </c>
      <c r="M6" s="19">
        <v>125</v>
      </c>
      <c r="N6" s="16">
        <v>125.9</v>
      </c>
      <c r="O6" s="17">
        <v>125.9</v>
      </c>
      <c r="P6" s="18">
        <v>127.7</v>
      </c>
      <c r="Q6" s="19">
        <v>127.7</v>
      </c>
      <c r="R6" s="16">
        <v>138.80000000000001</v>
      </c>
      <c r="S6" s="17">
        <v>139.1</v>
      </c>
      <c r="T6" s="18">
        <v>139.80000000000001</v>
      </c>
      <c r="U6" s="19">
        <v>140.4</v>
      </c>
      <c r="V6" s="16">
        <v>144.1</v>
      </c>
      <c r="W6" s="17">
        <v>144.4</v>
      </c>
      <c r="X6" s="18">
        <v>142.69999999999999</v>
      </c>
      <c r="Y6" s="19">
        <v>142.9</v>
      </c>
      <c r="Z6" s="16">
        <v>124.4</v>
      </c>
      <c r="AA6" s="17">
        <v>124.8</v>
      </c>
      <c r="AB6" s="18">
        <v>128.30000000000001</v>
      </c>
      <c r="AC6" s="19">
        <v>128.69999999999999</v>
      </c>
      <c r="AD6" s="16"/>
      <c r="AE6" s="17"/>
      <c r="AF6" s="18"/>
      <c r="AG6" s="19"/>
      <c r="AH6" s="16"/>
      <c r="AI6" s="17"/>
      <c r="AJ6" s="18"/>
      <c r="AK6" s="19"/>
      <c r="AL6" s="16"/>
      <c r="AM6" s="17"/>
      <c r="AN6" s="18"/>
      <c r="AO6" s="19">
        <v>270.5</v>
      </c>
      <c r="AP6" s="16">
        <v>277.5</v>
      </c>
      <c r="AQ6" s="17">
        <v>279</v>
      </c>
      <c r="AR6" s="18">
        <v>281.2</v>
      </c>
      <c r="AS6" s="19">
        <v>283.2</v>
      </c>
      <c r="AT6" s="16">
        <v>293.5</v>
      </c>
      <c r="AU6" s="17">
        <v>295.10000000000002</v>
      </c>
      <c r="AV6" s="18">
        <v>313</v>
      </c>
      <c r="AW6" s="19">
        <v>314.2</v>
      </c>
      <c r="AX6" s="12"/>
      <c r="AY6" s="13"/>
      <c r="AZ6" s="14"/>
      <c r="BA6" s="15"/>
      <c r="BB6" s="12">
        <v>332.2</v>
      </c>
      <c r="BC6" s="13">
        <v>333.2</v>
      </c>
      <c r="BD6" s="14">
        <v>334.2</v>
      </c>
      <c r="BE6" s="15">
        <v>335.1</v>
      </c>
      <c r="BF6" s="12">
        <v>344</v>
      </c>
      <c r="BG6" s="13">
        <v>344.8</v>
      </c>
      <c r="BH6" s="14">
        <v>384.2</v>
      </c>
      <c r="BI6" s="15">
        <v>385.3</v>
      </c>
      <c r="BJ6" s="12">
        <v>451.7</v>
      </c>
      <c r="BK6" s="57"/>
      <c r="BL6" s="57"/>
      <c r="BM6" s="13"/>
      <c r="BN6" s="93">
        <v>639</v>
      </c>
      <c r="BO6" s="95">
        <v>644.20000000000005</v>
      </c>
      <c r="BP6" s="88">
        <v>675.5</v>
      </c>
      <c r="BQ6" s="92">
        <v>685.1</v>
      </c>
      <c r="BR6" s="14">
        <v>690</v>
      </c>
      <c r="BS6" s="15">
        <v>696.4</v>
      </c>
      <c r="BT6" s="12">
        <v>767.7</v>
      </c>
      <c r="BU6" s="57">
        <v>930.7</v>
      </c>
      <c r="BV6" s="57">
        <v>935.4</v>
      </c>
      <c r="BW6" s="13">
        <v>998.5</v>
      </c>
      <c r="BX6" s="14">
        <v>1246.7</v>
      </c>
      <c r="BY6" s="15">
        <v>1263.7</v>
      </c>
      <c r="BZ6" s="88">
        <v>1409.9</v>
      </c>
      <c r="CA6" s="92">
        <v>1440</v>
      </c>
      <c r="CB6" s="14">
        <v>1546.4</v>
      </c>
      <c r="CC6" s="15">
        <v>1553.3</v>
      </c>
      <c r="CD6" s="24">
        <v>1811.7</v>
      </c>
      <c r="CE6" s="25">
        <v>1826.8</v>
      </c>
      <c r="CF6" s="14">
        <v>2000.1</v>
      </c>
      <c r="CG6" s="15">
        <v>2145.1999999999998</v>
      </c>
      <c r="CH6" s="15">
        <v>2305.8000000000002</v>
      </c>
      <c r="CI6" s="15">
        <v>2466.4</v>
      </c>
      <c r="CJ6" s="88">
        <v>2918.8</v>
      </c>
      <c r="CK6" s="92">
        <v>2989.2</v>
      </c>
      <c r="CL6" s="14">
        <v>3168.8</v>
      </c>
      <c r="CM6" s="15">
        <v>3195.5</v>
      </c>
      <c r="CN6" s="24">
        <v>3800.6</v>
      </c>
      <c r="CO6" s="25">
        <v>3852.6</v>
      </c>
      <c r="CP6" s="28"/>
      <c r="CQ6" s="29"/>
    </row>
    <row r="7" spans="1:95" x14ac:dyDescent="0.55000000000000004">
      <c r="A7" s="7">
        <v>5</v>
      </c>
      <c r="B7" s="16">
        <v>101.9</v>
      </c>
      <c r="C7" s="17">
        <v>104.6</v>
      </c>
      <c r="D7" s="18">
        <v>119.5</v>
      </c>
      <c r="E7" s="19">
        <v>120</v>
      </c>
      <c r="F7" s="16">
        <v>145.6</v>
      </c>
      <c r="G7" s="17">
        <v>146.5</v>
      </c>
      <c r="H7" s="18">
        <v>147.1</v>
      </c>
      <c r="I7" s="19">
        <v>147.1</v>
      </c>
      <c r="J7" s="16">
        <v>166.9</v>
      </c>
      <c r="K7" s="17">
        <v>167.3</v>
      </c>
      <c r="L7" s="18">
        <v>168.1</v>
      </c>
      <c r="M7" s="19">
        <v>168.3</v>
      </c>
      <c r="N7" s="16">
        <v>185.2</v>
      </c>
      <c r="O7" s="17">
        <v>185.2</v>
      </c>
      <c r="P7" s="18">
        <v>187.3</v>
      </c>
      <c r="Q7" s="19">
        <v>187.3</v>
      </c>
      <c r="R7" s="16">
        <v>208.9</v>
      </c>
      <c r="S7" s="17">
        <v>209.5</v>
      </c>
      <c r="T7" s="18">
        <v>211.4</v>
      </c>
      <c r="U7" s="19">
        <v>212.6</v>
      </c>
      <c r="V7" s="16">
        <v>267</v>
      </c>
      <c r="W7" s="17">
        <v>289.39999999999998</v>
      </c>
      <c r="X7" s="18">
        <v>262.3</v>
      </c>
      <c r="Y7" s="19">
        <v>262.39999999999998</v>
      </c>
      <c r="Z7" s="16">
        <v>265.60000000000002</v>
      </c>
      <c r="AA7" s="17">
        <v>266.3</v>
      </c>
      <c r="AB7" s="18">
        <v>267.10000000000002</v>
      </c>
      <c r="AC7" s="19">
        <v>267.60000000000002</v>
      </c>
      <c r="AD7" s="16"/>
      <c r="AE7" s="17"/>
      <c r="AF7" s="18"/>
      <c r="AG7" s="19"/>
      <c r="AH7" s="16"/>
      <c r="AI7" s="17"/>
      <c r="AJ7" s="18"/>
      <c r="AK7" s="19"/>
      <c r="AL7" s="16"/>
      <c r="AM7" s="17"/>
      <c r="AN7" s="18"/>
      <c r="AO7" s="19">
        <v>347.2</v>
      </c>
      <c r="AP7" s="16">
        <v>359.3</v>
      </c>
      <c r="AQ7" s="17">
        <v>361.8</v>
      </c>
      <c r="AR7" s="18">
        <v>364.9</v>
      </c>
      <c r="AS7" s="19">
        <v>367.6</v>
      </c>
      <c r="AT7" s="16">
        <v>385.3</v>
      </c>
      <c r="AU7" s="17">
        <v>388</v>
      </c>
      <c r="AV7" s="18">
        <v>389</v>
      </c>
      <c r="AW7" s="19">
        <v>390</v>
      </c>
      <c r="AX7" s="12"/>
      <c r="AY7" s="13"/>
      <c r="AZ7" s="14"/>
      <c r="BA7" s="15"/>
      <c r="BB7" s="12">
        <v>395</v>
      </c>
      <c r="BC7" s="13">
        <v>396</v>
      </c>
      <c r="BD7" s="14">
        <v>397</v>
      </c>
      <c r="BE7" s="15">
        <v>398</v>
      </c>
      <c r="BF7" s="12">
        <v>399</v>
      </c>
      <c r="BG7" s="13">
        <v>400</v>
      </c>
      <c r="BH7" s="14">
        <v>401</v>
      </c>
      <c r="BI7" s="15">
        <v>402</v>
      </c>
      <c r="BJ7" s="12">
        <v>403</v>
      </c>
      <c r="BK7" s="57"/>
      <c r="BL7" s="57"/>
      <c r="BM7" s="13"/>
      <c r="BN7" s="93">
        <v>406</v>
      </c>
      <c r="BO7" s="95">
        <v>407</v>
      </c>
      <c r="BP7" s="91">
        <v>408</v>
      </c>
      <c r="BQ7" s="92">
        <v>409</v>
      </c>
      <c r="BR7" s="14">
        <v>410</v>
      </c>
      <c r="BS7" s="15">
        <v>411</v>
      </c>
      <c r="BT7" s="12">
        <v>412</v>
      </c>
      <c r="BU7" s="57">
        <v>413</v>
      </c>
      <c r="BV7" s="57">
        <v>414</v>
      </c>
      <c r="BW7" s="13">
        <v>415</v>
      </c>
      <c r="BX7" s="14">
        <v>416</v>
      </c>
      <c r="BY7" s="15">
        <v>417</v>
      </c>
      <c r="BZ7" s="91">
        <v>418</v>
      </c>
      <c r="CA7" s="92">
        <v>419</v>
      </c>
      <c r="CB7" s="14">
        <v>420</v>
      </c>
      <c r="CC7" s="15">
        <v>421</v>
      </c>
      <c r="CD7" s="24">
        <v>422</v>
      </c>
      <c r="CE7" s="25">
        <v>423</v>
      </c>
      <c r="CF7" s="14">
        <v>424</v>
      </c>
      <c r="CG7" s="15">
        <v>425</v>
      </c>
      <c r="CH7" s="15">
        <v>425</v>
      </c>
      <c r="CI7" s="15">
        <v>425</v>
      </c>
      <c r="CJ7" s="91">
        <v>426</v>
      </c>
      <c r="CK7" s="92">
        <v>427</v>
      </c>
      <c r="CL7" s="14">
        <v>428</v>
      </c>
      <c r="CM7" s="15">
        <v>429</v>
      </c>
      <c r="CN7" s="24">
        <v>430</v>
      </c>
      <c r="CO7" s="25">
        <v>431</v>
      </c>
      <c r="CP7" s="28"/>
      <c r="CQ7" s="29"/>
    </row>
    <row r="8" spans="1:95" x14ac:dyDescent="0.55000000000000004">
      <c r="A8" s="7">
        <v>6</v>
      </c>
      <c r="B8" s="16">
        <v>101.8</v>
      </c>
      <c r="C8" s="17">
        <v>102.6</v>
      </c>
      <c r="D8" s="18">
        <v>110</v>
      </c>
      <c r="E8" s="19">
        <v>118.3</v>
      </c>
      <c r="F8" s="16">
        <v>133.5</v>
      </c>
      <c r="G8" s="17">
        <v>135.19999999999999</v>
      </c>
      <c r="H8" s="18">
        <v>135.69999999999999</v>
      </c>
      <c r="I8" s="19">
        <v>137.9</v>
      </c>
      <c r="J8" s="16">
        <v>169.8</v>
      </c>
      <c r="K8" s="17">
        <v>175.2</v>
      </c>
      <c r="L8" s="18">
        <v>173.3</v>
      </c>
      <c r="M8" s="19">
        <v>187.5</v>
      </c>
      <c r="N8" s="16">
        <v>252</v>
      </c>
      <c r="O8" s="17">
        <v>265.3</v>
      </c>
      <c r="P8" s="18">
        <v>268.10000000000002</v>
      </c>
      <c r="Q8" s="19">
        <v>243.8</v>
      </c>
      <c r="R8" s="16">
        <v>298.7</v>
      </c>
      <c r="S8" s="17">
        <v>303.39999999999998</v>
      </c>
      <c r="T8" s="18">
        <v>305.3</v>
      </c>
      <c r="U8" s="19">
        <v>313.5</v>
      </c>
      <c r="V8" s="16">
        <v>340.1</v>
      </c>
      <c r="W8" s="17">
        <v>328.7</v>
      </c>
      <c r="X8" s="18">
        <v>223</v>
      </c>
      <c r="Y8" s="19">
        <v>225.9</v>
      </c>
      <c r="Z8" s="16">
        <v>260.5</v>
      </c>
      <c r="AA8" s="17">
        <v>287.10000000000002</v>
      </c>
      <c r="AB8" s="18">
        <v>306.10000000000002</v>
      </c>
      <c r="AC8" s="19">
        <v>311.10000000000002</v>
      </c>
      <c r="AD8" s="16"/>
      <c r="AE8" s="17"/>
      <c r="AF8" s="18"/>
      <c r="AG8" s="19"/>
      <c r="AH8" s="16"/>
      <c r="AI8" s="17"/>
      <c r="AJ8" s="18"/>
      <c r="AK8" s="19"/>
      <c r="AL8" s="16"/>
      <c r="AM8" s="17"/>
      <c r="AN8" s="18"/>
      <c r="AO8" s="19">
        <v>787.8</v>
      </c>
      <c r="AP8" s="16">
        <v>796.3</v>
      </c>
      <c r="AQ8" s="17">
        <v>756.8</v>
      </c>
      <c r="AR8" s="18">
        <v>745.1</v>
      </c>
      <c r="AS8" s="19">
        <v>748</v>
      </c>
      <c r="AT8" s="16">
        <v>821.4</v>
      </c>
      <c r="AU8" s="17">
        <v>844.9</v>
      </c>
      <c r="AV8" s="18">
        <v>811.8</v>
      </c>
      <c r="AW8" s="19">
        <v>779.1</v>
      </c>
      <c r="AX8" s="12"/>
      <c r="AY8" s="13"/>
      <c r="AZ8" s="14"/>
      <c r="BA8" s="15"/>
      <c r="BB8" s="12">
        <v>684.4</v>
      </c>
      <c r="BC8" s="13">
        <v>698.9</v>
      </c>
      <c r="BD8" s="14">
        <v>769.6</v>
      </c>
      <c r="BE8" s="15">
        <v>824.6</v>
      </c>
      <c r="BF8" s="12">
        <v>852.7</v>
      </c>
      <c r="BG8" s="13">
        <v>923.6</v>
      </c>
      <c r="BH8" s="14">
        <v>1032.4000000000001</v>
      </c>
      <c r="BI8" s="15">
        <v>1073.0999999999999</v>
      </c>
      <c r="BJ8" s="12">
        <v>1131.2</v>
      </c>
      <c r="BK8" s="57"/>
      <c r="BL8" s="57"/>
      <c r="BM8" s="13"/>
      <c r="BN8" s="93">
        <v>1874.1</v>
      </c>
      <c r="BO8" s="95">
        <v>1768.7</v>
      </c>
      <c r="BP8" s="91">
        <v>2242.1</v>
      </c>
      <c r="BQ8" s="92">
        <v>2273.1</v>
      </c>
      <c r="BR8" s="14">
        <v>2112.1</v>
      </c>
      <c r="BS8" s="15">
        <v>2197.8000000000002</v>
      </c>
      <c r="BT8" s="12">
        <v>2516.6999999999998</v>
      </c>
      <c r="BU8" s="57">
        <v>2793.2</v>
      </c>
      <c r="BV8" s="57">
        <v>3164.7</v>
      </c>
      <c r="BW8" s="13">
        <v>3735.3</v>
      </c>
      <c r="BX8" s="14">
        <v>4798.2</v>
      </c>
      <c r="BY8" s="15">
        <v>5559.2</v>
      </c>
      <c r="BZ8" s="91">
        <v>6073.9</v>
      </c>
      <c r="CA8" s="92">
        <v>6200</v>
      </c>
      <c r="CB8" s="14">
        <v>6521.4</v>
      </c>
      <c r="CC8" s="15">
        <v>6809.8</v>
      </c>
      <c r="CD8" s="24">
        <v>7388.8</v>
      </c>
      <c r="CE8" s="25">
        <v>7247.4</v>
      </c>
      <c r="CF8" s="14">
        <v>8068.4</v>
      </c>
      <c r="CG8" s="15">
        <v>9094.7000000000007</v>
      </c>
      <c r="CH8" s="15">
        <v>10244.1</v>
      </c>
      <c r="CI8" s="15">
        <v>11244</v>
      </c>
      <c r="CJ8" s="91">
        <v>10801.1</v>
      </c>
      <c r="CK8" s="92">
        <v>10580.8</v>
      </c>
      <c r="CL8" s="14">
        <v>10446.700000000001</v>
      </c>
      <c r="CM8" s="15">
        <v>10657.7</v>
      </c>
      <c r="CN8" s="24">
        <v>13860.6</v>
      </c>
      <c r="CO8" s="25">
        <v>13523.2</v>
      </c>
      <c r="CP8" s="28"/>
      <c r="CQ8" s="29"/>
    </row>
    <row r="9" spans="1:95" x14ac:dyDescent="0.55000000000000004">
      <c r="A9" s="7">
        <v>7</v>
      </c>
      <c r="B9" s="16">
        <v>112.2</v>
      </c>
      <c r="C9" s="17">
        <v>112.6</v>
      </c>
      <c r="D9" s="18">
        <v>112.8</v>
      </c>
      <c r="E9" s="19">
        <v>113</v>
      </c>
      <c r="F9" s="16">
        <v>128.9</v>
      </c>
      <c r="G9" s="17">
        <v>129.30000000000001</v>
      </c>
      <c r="H9" s="18">
        <v>129.6</v>
      </c>
      <c r="I9" s="19">
        <v>129.6</v>
      </c>
      <c r="J9" s="16">
        <v>141.9</v>
      </c>
      <c r="K9" s="17">
        <v>142.1</v>
      </c>
      <c r="L9" s="18">
        <v>149.69999999999999</v>
      </c>
      <c r="M9" s="19">
        <v>149.80000000000001</v>
      </c>
      <c r="N9" s="16">
        <v>153.19999999999999</v>
      </c>
      <c r="O9" s="17">
        <v>153.19999999999999</v>
      </c>
      <c r="P9" s="18">
        <v>187.8</v>
      </c>
      <c r="Q9" s="19">
        <v>187.8</v>
      </c>
      <c r="R9" s="16">
        <v>192.3</v>
      </c>
      <c r="S9" s="17">
        <v>192.6</v>
      </c>
      <c r="T9" s="18">
        <v>247.5</v>
      </c>
      <c r="U9" s="19">
        <v>248</v>
      </c>
      <c r="V9" s="16">
        <v>251.1</v>
      </c>
      <c r="W9" s="17">
        <v>251.4</v>
      </c>
      <c r="X9" s="18">
        <v>252.5</v>
      </c>
      <c r="Y9" s="19">
        <v>250.2</v>
      </c>
      <c r="Z9" s="16">
        <v>251.8</v>
      </c>
      <c r="AA9" s="17">
        <v>252.1</v>
      </c>
      <c r="AB9" s="18">
        <v>252.6</v>
      </c>
      <c r="AC9" s="19">
        <v>253</v>
      </c>
      <c r="AD9" s="16"/>
      <c r="AE9" s="17"/>
      <c r="AF9" s="18"/>
      <c r="AG9" s="19"/>
      <c r="AH9" s="16"/>
      <c r="AI9" s="17"/>
      <c r="AJ9" s="18"/>
      <c r="AK9" s="19"/>
      <c r="AL9" s="16"/>
      <c r="AM9" s="17"/>
      <c r="AN9" s="18"/>
      <c r="AO9" s="19">
        <v>660.2</v>
      </c>
      <c r="AP9" s="16">
        <v>666.4</v>
      </c>
      <c r="AQ9" s="17">
        <v>667.2</v>
      </c>
      <c r="AR9" s="18">
        <v>709.4</v>
      </c>
      <c r="AS9" s="19">
        <v>710.5</v>
      </c>
      <c r="AT9" s="16">
        <v>719</v>
      </c>
      <c r="AU9" s="17">
        <v>720.1</v>
      </c>
      <c r="AV9" s="18">
        <v>713.8</v>
      </c>
      <c r="AW9" s="19">
        <v>714.6</v>
      </c>
      <c r="AX9" s="12"/>
      <c r="AY9" s="13"/>
      <c r="AZ9" s="14"/>
      <c r="BA9" s="15"/>
      <c r="BB9" s="12">
        <v>787.5</v>
      </c>
      <c r="BC9" s="13">
        <v>788.3</v>
      </c>
      <c r="BD9" s="14">
        <v>750.7</v>
      </c>
      <c r="BE9" s="15">
        <v>806.2</v>
      </c>
      <c r="BF9" s="12">
        <v>831.8</v>
      </c>
      <c r="BG9" s="13">
        <v>832</v>
      </c>
      <c r="BH9" s="14">
        <v>906.5</v>
      </c>
      <c r="BI9" s="15">
        <v>911.9</v>
      </c>
      <c r="BJ9" s="12">
        <v>1159.8</v>
      </c>
      <c r="BK9" s="57"/>
      <c r="BL9" s="57"/>
      <c r="BM9" s="13"/>
      <c r="BN9" s="87">
        <v>1913.4</v>
      </c>
      <c r="BO9" s="94">
        <v>1917.4</v>
      </c>
      <c r="BP9" s="91">
        <v>2158.1</v>
      </c>
      <c r="BQ9" s="92">
        <v>2163.6999999999998</v>
      </c>
      <c r="BR9" s="14">
        <v>2325.8000000000002</v>
      </c>
      <c r="BS9" s="15">
        <v>2334.6999999999998</v>
      </c>
      <c r="BT9" s="12">
        <v>2685.2</v>
      </c>
      <c r="BU9" s="57">
        <v>2772.8</v>
      </c>
      <c r="BV9" s="57">
        <v>3274</v>
      </c>
      <c r="BW9" s="13">
        <v>3303.4</v>
      </c>
      <c r="BX9" s="14">
        <v>3654</v>
      </c>
      <c r="BY9" s="15">
        <v>3666.1</v>
      </c>
      <c r="BZ9" s="91">
        <v>4384.3999999999996</v>
      </c>
      <c r="CA9" s="92">
        <v>4512</v>
      </c>
      <c r="CB9" s="14">
        <v>4540.3</v>
      </c>
      <c r="CC9" s="15">
        <v>5066.3999999999996</v>
      </c>
      <c r="CD9" s="24">
        <v>5855.5</v>
      </c>
      <c r="CE9" s="25">
        <v>5962.3</v>
      </c>
      <c r="CF9" s="14">
        <v>6252.1</v>
      </c>
      <c r="CG9" s="15">
        <v>6970.6</v>
      </c>
      <c r="CH9" s="15">
        <v>6973.3</v>
      </c>
      <c r="CI9" s="15">
        <v>6976.7</v>
      </c>
      <c r="CJ9" s="91">
        <v>7087.5</v>
      </c>
      <c r="CK9" s="92">
        <v>7111.4</v>
      </c>
      <c r="CL9" s="14">
        <v>7945</v>
      </c>
      <c r="CM9" s="15">
        <v>7958.2</v>
      </c>
      <c r="CN9" s="24">
        <v>9736.2999999999993</v>
      </c>
      <c r="CO9" s="25">
        <v>9705.5</v>
      </c>
      <c r="CP9" s="28"/>
      <c r="CQ9" s="29"/>
    </row>
    <row r="10" spans="1:95" x14ac:dyDescent="0.55000000000000004">
      <c r="A10" s="7">
        <v>8</v>
      </c>
      <c r="B10" s="16">
        <v>101.6</v>
      </c>
      <c r="C10" s="17">
        <v>102</v>
      </c>
      <c r="D10" s="18">
        <v>102.2</v>
      </c>
      <c r="E10" s="19">
        <v>102.4</v>
      </c>
      <c r="F10" s="16">
        <v>105.4</v>
      </c>
      <c r="G10" s="17">
        <v>105.8</v>
      </c>
      <c r="H10" s="18">
        <v>106</v>
      </c>
      <c r="I10" s="19">
        <v>106</v>
      </c>
      <c r="J10" s="16">
        <v>106.9</v>
      </c>
      <c r="K10" s="17">
        <v>107.1</v>
      </c>
      <c r="L10" s="18">
        <v>107.5</v>
      </c>
      <c r="M10" s="19">
        <v>107.6</v>
      </c>
      <c r="N10" s="16">
        <v>108.5</v>
      </c>
      <c r="O10" s="17">
        <v>108.5</v>
      </c>
      <c r="P10" s="18">
        <v>215.7</v>
      </c>
      <c r="Q10" s="19">
        <v>215.7</v>
      </c>
      <c r="R10" s="16">
        <v>230.1</v>
      </c>
      <c r="S10" s="17">
        <v>230.4</v>
      </c>
      <c r="T10" s="18">
        <v>251.3</v>
      </c>
      <c r="U10" s="19">
        <v>251.8</v>
      </c>
      <c r="V10" s="16">
        <v>310.89999999999998</v>
      </c>
      <c r="W10" s="17">
        <v>311.3</v>
      </c>
      <c r="X10" s="18">
        <v>385.4</v>
      </c>
      <c r="Y10" s="19">
        <v>385.2</v>
      </c>
      <c r="Z10" s="16">
        <v>555.20000000000005</v>
      </c>
      <c r="AA10" s="17">
        <v>555.4</v>
      </c>
      <c r="AB10" s="18">
        <v>555.9</v>
      </c>
      <c r="AC10" s="19">
        <v>556.20000000000005</v>
      </c>
      <c r="AD10" s="16"/>
      <c r="AE10" s="17"/>
      <c r="AF10" s="18"/>
      <c r="AG10" s="19"/>
      <c r="AH10" s="16"/>
      <c r="AI10" s="17"/>
      <c r="AJ10" s="18"/>
      <c r="AK10" s="19"/>
      <c r="AL10" s="16"/>
      <c r="AM10" s="17"/>
      <c r="AN10" s="18"/>
      <c r="AO10" s="19">
        <v>823.2</v>
      </c>
      <c r="AP10" s="16">
        <v>829</v>
      </c>
      <c r="AQ10" s="17">
        <v>829.6</v>
      </c>
      <c r="AR10" s="18">
        <v>832.8</v>
      </c>
      <c r="AS10" s="19">
        <v>833.7</v>
      </c>
      <c r="AT10" s="16">
        <v>841.2</v>
      </c>
      <c r="AU10" s="17">
        <v>842.2</v>
      </c>
      <c r="AV10" s="18">
        <v>843.5</v>
      </c>
      <c r="AW10" s="19">
        <v>844.3</v>
      </c>
      <c r="AX10" s="12"/>
      <c r="AY10" s="13"/>
      <c r="AZ10" s="14"/>
      <c r="BA10" s="15"/>
      <c r="BB10" s="12">
        <v>1055</v>
      </c>
      <c r="BC10" s="13">
        <v>1055.8</v>
      </c>
      <c r="BD10" s="14">
        <v>1048.4000000000001</v>
      </c>
      <c r="BE10" s="15">
        <v>1056.9000000000001</v>
      </c>
      <c r="BF10" s="12">
        <v>1212.3</v>
      </c>
      <c r="BG10" s="13">
        <v>1212.9000000000001</v>
      </c>
      <c r="BH10" s="14">
        <v>1214.8</v>
      </c>
      <c r="BI10" s="15">
        <v>1215.5999999999999</v>
      </c>
      <c r="BJ10" s="12">
        <v>1453.6</v>
      </c>
      <c r="BK10" s="57"/>
      <c r="BL10" s="57"/>
      <c r="BM10" s="13"/>
      <c r="BN10" s="93">
        <v>2385.8000000000002</v>
      </c>
      <c r="BO10" s="95">
        <v>2389.3000000000002</v>
      </c>
      <c r="BP10" s="88">
        <v>3085.6</v>
      </c>
      <c r="BQ10" s="92">
        <v>3091</v>
      </c>
      <c r="BR10" s="14">
        <v>3005.6</v>
      </c>
      <c r="BS10" s="15">
        <v>3013.2</v>
      </c>
      <c r="BT10" s="12">
        <v>3980.4</v>
      </c>
      <c r="BU10" s="57">
        <v>4116.3</v>
      </c>
      <c r="BV10" s="57">
        <v>4285.5</v>
      </c>
      <c r="BW10" s="13">
        <v>5390</v>
      </c>
      <c r="BX10" s="14">
        <v>5571</v>
      </c>
      <c r="BY10" s="15">
        <v>5583.1</v>
      </c>
      <c r="BZ10" s="88">
        <v>6884.1</v>
      </c>
      <c r="CA10" s="92">
        <v>6907</v>
      </c>
      <c r="CB10" s="14">
        <v>7168.4</v>
      </c>
      <c r="CC10" s="15">
        <v>8121.1</v>
      </c>
      <c r="CD10" s="24">
        <v>9253.5</v>
      </c>
      <c r="CE10" s="25">
        <v>9285.2000000000007</v>
      </c>
      <c r="CF10" s="14">
        <v>10572</v>
      </c>
      <c r="CG10" s="15">
        <v>11181.4</v>
      </c>
      <c r="CH10" s="15">
        <v>11185.3</v>
      </c>
      <c r="CI10" s="15">
        <v>11191.7</v>
      </c>
      <c r="CJ10" s="88">
        <v>1129</v>
      </c>
      <c r="CK10" s="92">
        <v>11321.3</v>
      </c>
      <c r="CL10" s="14">
        <v>12306.7</v>
      </c>
      <c r="CM10" s="15">
        <v>12321.9</v>
      </c>
      <c r="CN10" s="24">
        <v>12492.1</v>
      </c>
      <c r="CO10" s="25">
        <v>12545.2</v>
      </c>
      <c r="CP10" s="28"/>
      <c r="CQ10" s="29"/>
    </row>
    <row r="11" spans="1:95" x14ac:dyDescent="0.55000000000000004">
      <c r="A11" s="7">
        <v>9</v>
      </c>
      <c r="B11" s="16">
        <v>102.6</v>
      </c>
      <c r="C11" s="17">
        <v>102.9</v>
      </c>
      <c r="D11" s="18">
        <v>103.1</v>
      </c>
      <c r="E11" s="19">
        <v>103.3</v>
      </c>
      <c r="F11" s="16">
        <v>109.3</v>
      </c>
      <c r="G11" s="17">
        <v>109.6</v>
      </c>
      <c r="H11" s="18">
        <v>109.8</v>
      </c>
      <c r="I11" s="19">
        <v>109.8</v>
      </c>
      <c r="J11" s="16">
        <v>110.9</v>
      </c>
      <c r="K11" s="17">
        <v>111</v>
      </c>
      <c r="L11" s="18">
        <v>111.6</v>
      </c>
      <c r="M11" s="19">
        <v>111.7</v>
      </c>
      <c r="N11" s="16">
        <v>113.3</v>
      </c>
      <c r="O11" s="17">
        <v>113.3</v>
      </c>
      <c r="P11" s="18">
        <v>126.8</v>
      </c>
      <c r="Q11" s="19">
        <v>126.8</v>
      </c>
      <c r="R11" s="16">
        <v>131.4</v>
      </c>
      <c r="S11" s="17">
        <v>131.69999999999999</v>
      </c>
      <c r="T11" s="18">
        <v>132.30000000000001</v>
      </c>
      <c r="U11" s="19">
        <v>132.69999999999999</v>
      </c>
      <c r="V11" s="16">
        <v>134.69999999999999</v>
      </c>
      <c r="W11" s="17">
        <v>135.1</v>
      </c>
      <c r="X11" s="18">
        <v>172.7</v>
      </c>
      <c r="Y11" s="19">
        <v>172.5</v>
      </c>
      <c r="Z11" s="16">
        <v>239.2</v>
      </c>
      <c r="AA11" s="17">
        <v>239.4</v>
      </c>
      <c r="AB11" s="18">
        <v>239.8</v>
      </c>
      <c r="AC11" s="19">
        <v>240.2</v>
      </c>
      <c r="AD11" s="16"/>
      <c r="AE11" s="17"/>
      <c r="AF11" s="18"/>
      <c r="AG11" s="19"/>
      <c r="AH11" s="16"/>
      <c r="AI11" s="17"/>
      <c r="AJ11" s="18"/>
      <c r="AK11" s="19"/>
      <c r="AL11" s="16"/>
      <c r="AM11" s="17"/>
      <c r="AN11" s="18"/>
      <c r="AO11" s="19">
        <v>563</v>
      </c>
      <c r="AP11" s="16">
        <v>570.4</v>
      </c>
      <c r="AQ11" s="17">
        <v>571.20000000000005</v>
      </c>
      <c r="AR11" s="18">
        <v>582</v>
      </c>
      <c r="AS11" s="19">
        <v>583.29999999999995</v>
      </c>
      <c r="AT11" s="16">
        <v>592.9</v>
      </c>
      <c r="AU11" s="17">
        <v>594.1</v>
      </c>
      <c r="AV11" s="18">
        <v>624.9</v>
      </c>
      <c r="AW11" s="19">
        <v>625.9</v>
      </c>
      <c r="AX11" s="12"/>
      <c r="AY11" s="13"/>
      <c r="AZ11" s="14"/>
      <c r="BA11" s="15"/>
      <c r="BB11" s="12">
        <v>803.4</v>
      </c>
      <c r="BC11" s="13">
        <v>804.3</v>
      </c>
      <c r="BD11" s="14">
        <v>783.4</v>
      </c>
      <c r="BE11" s="15">
        <v>805.8</v>
      </c>
      <c r="BF11" s="12">
        <v>898.9</v>
      </c>
      <c r="BG11" s="13">
        <v>899.6</v>
      </c>
      <c r="BH11" s="14">
        <v>1076.5999999999999</v>
      </c>
      <c r="BI11" s="15">
        <v>1077.5999999999999</v>
      </c>
      <c r="BJ11" s="12">
        <v>1282.2</v>
      </c>
      <c r="BK11" s="57"/>
      <c r="BL11" s="57"/>
      <c r="BM11" s="13"/>
      <c r="BN11" s="93">
        <v>2234.3000000000002</v>
      </c>
      <c r="BO11" s="95">
        <v>2240.1999999999998</v>
      </c>
      <c r="BP11" s="91">
        <v>2792.7</v>
      </c>
      <c r="BQ11" s="92">
        <v>2797.9</v>
      </c>
      <c r="BR11" s="14">
        <v>2827.4</v>
      </c>
      <c r="BS11" s="15">
        <v>2840.5</v>
      </c>
      <c r="BT11" s="12">
        <v>3599.4</v>
      </c>
      <c r="BU11" s="57">
        <v>3642.1</v>
      </c>
      <c r="BV11" s="57">
        <v>4364.8999999999996</v>
      </c>
      <c r="BW11" s="13">
        <v>4397.3</v>
      </c>
      <c r="BX11" s="14">
        <v>4774</v>
      </c>
      <c r="BY11" s="15">
        <v>4788.5</v>
      </c>
      <c r="BZ11" s="91">
        <v>6351.4</v>
      </c>
      <c r="CA11" s="92">
        <v>6386.5</v>
      </c>
      <c r="CB11" s="14">
        <v>6529.4</v>
      </c>
      <c r="CC11" s="15">
        <v>7097.6</v>
      </c>
      <c r="CD11" s="24">
        <v>8249.7000000000007</v>
      </c>
      <c r="CE11" s="25">
        <v>8275.1</v>
      </c>
      <c r="CF11" s="14">
        <v>9301.7000000000007</v>
      </c>
      <c r="CG11" s="15">
        <v>9370.1</v>
      </c>
      <c r="CH11" s="15">
        <v>9379.1</v>
      </c>
      <c r="CI11" s="15">
        <v>9389.9</v>
      </c>
      <c r="CJ11" s="91">
        <v>9528.2999999999993</v>
      </c>
      <c r="CK11" s="92">
        <v>9557.7000000000007</v>
      </c>
      <c r="CL11" s="14">
        <v>10749.8</v>
      </c>
      <c r="CM11" s="15">
        <v>10768.6</v>
      </c>
      <c r="CN11" s="24">
        <v>11017</v>
      </c>
      <c r="CO11" s="25">
        <v>11109.8</v>
      </c>
      <c r="CP11" s="28"/>
      <c r="CQ11" s="29"/>
    </row>
    <row r="12" spans="1:95" x14ac:dyDescent="0.55000000000000004">
      <c r="A12" s="7">
        <v>10</v>
      </c>
      <c r="B12" s="16"/>
      <c r="C12" s="17"/>
      <c r="D12" s="18"/>
      <c r="E12" s="19"/>
      <c r="F12" s="16"/>
      <c r="G12" s="17"/>
      <c r="H12" s="18"/>
      <c r="I12" s="19"/>
      <c r="J12" s="16"/>
      <c r="K12" s="17"/>
      <c r="L12" s="18"/>
      <c r="M12" s="19"/>
      <c r="N12" s="16"/>
      <c r="O12" s="17"/>
      <c r="P12" s="18"/>
      <c r="Q12" s="19"/>
      <c r="R12" s="16"/>
      <c r="S12" s="17"/>
      <c r="T12" s="18"/>
      <c r="U12" s="19"/>
      <c r="V12" s="16"/>
      <c r="W12" s="17"/>
      <c r="X12" s="18"/>
      <c r="Y12" s="19"/>
      <c r="Z12" s="16"/>
      <c r="AA12" s="17"/>
      <c r="AB12" s="18"/>
      <c r="AC12" s="19"/>
      <c r="AD12" s="16"/>
      <c r="AE12" s="17"/>
      <c r="AF12" s="18"/>
      <c r="AG12" s="19"/>
      <c r="AH12" s="16"/>
      <c r="AI12" s="17"/>
      <c r="AJ12" s="18"/>
      <c r="AK12" s="19"/>
      <c r="AL12" s="16"/>
      <c r="AM12" s="17"/>
      <c r="AN12" s="18"/>
      <c r="AO12" s="19"/>
      <c r="AP12" s="16"/>
      <c r="AQ12" s="17"/>
      <c r="AR12" s="18"/>
      <c r="AS12" s="19"/>
      <c r="AT12" s="16"/>
      <c r="AU12" s="17"/>
      <c r="AV12" s="18"/>
      <c r="AW12" s="19"/>
      <c r="AX12" s="12"/>
      <c r="AY12" s="13"/>
      <c r="AZ12" s="14"/>
      <c r="BA12" s="15"/>
      <c r="BB12" s="12"/>
      <c r="BC12" s="13"/>
      <c r="BD12" s="14"/>
      <c r="BE12" s="15"/>
      <c r="BF12" s="12"/>
      <c r="BG12" s="13"/>
      <c r="BH12" s="14"/>
      <c r="BI12" s="15"/>
      <c r="BJ12" s="12"/>
      <c r="BK12" s="57"/>
      <c r="BL12" s="57"/>
      <c r="BM12" s="13"/>
      <c r="BN12" s="14" t="s">
        <v>17</v>
      </c>
      <c r="BP12" s="12" t="s">
        <v>17</v>
      </c>
      <c r="BQ12" s="13" t="s">
        <v>17</v>
      </c>
      <c r="BR12" s="14"/>
      <c r="BS12" s="15"/>
      <c r="BT12" s="12">
        <v>0</v>
      </c>
      <c r="BU12" s="57">
        <v>0</v>
      </c>
      <c r="BV12" s="57">
        <v>0</v>
      </c>
      <c r="BW12" s="13">
        <v>0</v>
      </c>
      <c r="BX12" s="14"/>
      <c r="BY12" s="15"/>
      <c r="BZ12" s="12"/>
      <c r="CA12" s="13"/>
      <c r="CC12" s="15"/>
      <c r="CD12" s="24"/>
      <c r="CF12" s="169"/>
      <c r="CG12" s="170"/>
      <c r="CH12" s="170"/>
      <c r="CI12" s="170"/>
      <c r="CJ12" s="12"/>
      <c r="CK12" s="13"/>
      <c r="CM12" s="15"/>
      <c r="CO12" s="25"/>
      <c r="CQ12" s="29"/>
    </row>
    <row r="13" spans="1:95" x14ac:dyDescent="0.55000000000000004">
      <c r="A13" s="7">
        <v>11</v>
      </c>
      <c r="B13" s="16">
        <v>113.2</v>
      </c>
      <c r="C13" s="17">
        <v>113.6</v>
      </c>
      <c r="D13" s="18">
        <v>113.7</v>
      </c>
      <c r="E13" s="19">
        <v>113.9</v>
      </c>
      <c r="F13" s="16">
        <v>130.80000000000001</v>
      </c>
      <c r="G13" s="17">
        <v>131.19999999999999</v>
      </c>
      <c r="H13" s="18">
        <v>131.4</v>
      </c>
      <c r="I13" s="19">
        <v>131.4</v>
      </c>
      <c r="J13" s="16">
        <v>146.9</v>
      </c>
      <c r="K13" s="17">
        <v>147.1</v>
      </c>
      <c r="L13" s="18">
        <v>151.19999999999999</v>
      </c>
      <c r="M13" s="19">
        <v>151.30000000000001</v>
      </c>
      <c r="N13" s="16">
        <v>171.1</v>
      </c>
      <c r="O13" s="17">
        <v>171.1</v>
      </c>
      <c r="P13" s="18">
        <v>193.2</v>
      </c>
      <c r="Q13" s="19">
        <v>193.2</v>
      </c>
      <c r="R13" s="16">
        <v>197.4</v>
      </c>
      <c r="S13" s="17">
        <v>197.6</v>
      </c>
      <c r="T13" s="18">
        <v>254.2</v>
      </c>
      <c r="U13" s="19">
        <v>254.7</v>
      </c>
      <c r="V13" s="16">
        <v>256.60000000000002</v>
      </c>
      <c r="W13" s="17">
        <v>257</v>
      </c>
      <c r="X13" s="18">
        <v>256.39999999999998</v>
      </c>
      <c r="Y13" s="19">
        <v>256.2</v>
      </c>
      <c r="Z13" s="16">
        <v>257.5</v>
      </c>
      <c r="AA13" s="17">
        <v>257.7</v>
      </c>
      <c r="AB13" s="18">
        <v>258</v>
      </c>
      <c r="AC13" s="19">
        <v>258.3</v>
      </c>
      <c r="AD13" s="16"/>
      <c r="AE13" s="17"/>
      <c r="AF13" s="18"/>
      <c r="AG13" s="19"/>
      <c r="AH13" s="16"/>
      <c r="AI13" s="17"/>
      <c r="AJ13" s="18"/>
      <c r="AK13" s="19"/>
      <c r="AL13" s="16"/>
      <c r="AM13" s="17"/>
      <c r="AN13" s="18"/>
      <c r="AO13" s="19">
        <v>657.9</v>
      </c>
      <c r="AP13" s="16">
        <v>662.7</v>
      </c>
      <c r="AQ13" s="17">
        <v>663.3</v>
      </c>
      <c r="AR13" s="18">
        <v>729.5</v>
      </c>
      <c r="AS13" s="19">
        <v>730.3</v>
      </c>
      <c r="AT13" s="16">
        <v>736</v>
      </c>
      <c r="AU13" s="17">
        <v>736.8</v>
      </c>
      <c r="AV13" s="18">
        <v>738.3</v>
      </c>
      <c r="AW13" s="19">
        <v>738.8</v>
      </c>
      <c r="AX13" s="12"/>
      <c r="AY13" s="13"/>
      <c r="AZ13" s="14"/>
      <c r="BA13" s="15"/>
      <c r="BB13" s="12">
        <v>832</v>
      </c>
      <c r="BC13" s="13">
        <v>832.6</v>
      </c>
      <c r="BD13" s="14">
        <v>851.8</v>
      </c>
      <c r="BE13" s="15">
        <v>864.6</v>
      </c>
      <c r="BF13" s="12">
        <v>896</v>
      </c>
      <c r="BG13" s="13">
        <v>896.4</v>
      </c>
      <c r="BH13" s="14">
        <v>981.6</v>
      </c>
      <c r="BI13" s="15">
        <v>982.3</v>
      </c>
      <c r="BJ13" s="12">
        <v>1085.7</v>
      </c>
      <c r="BK13" s="57"/>
      <c r="BL13" s="57"/>
      <c r="BM13" s="13"/>
      <c r="BN13" s="93">
        <v>1880.9</v>
      </c>
      <c r="BO13" s="95">
        <v>1884.7</v>
      </c>
      <c r="BP13" s="91">
        <v>2340.3000000000002</v>
      </c>
      <c r="BQ13" s="89">
        <v>2344.5</v>
      </c>
      <c r="BR13" s="14">
        <v>2436.5</v>
      </c>
      <c r="BS13" s="15">
        <v>2445.3000000000002</v>
      </c>
      <c r="BT13" s="12">
        <v>2996</v>
      </c>
      <c r="BU13" s="57">
        <v>3139.1</v>
      </c>
      <c r="BV13" s="57">
        <v>3655.5</v>
      </c>
      <c r="BW13" s="13">
        <v>3679.2</v>
      </c>
      <c r="BX13" s="14">
        <v>4455.3</v>
      </c>
      <c r="BY13" s="15">
        <v>4555.3</v>
      </c>
      <c r="BZ13" s="91">
        <v>5137.8999999999996</v>
      </c>
      <c r="CA13" s="89">
        <v>5247.5</v>
      </c>
      <c r="CB13" s="14">
        <v>5360.5</v>
      </c>
      <c r="CC13" s="15">
        <v>5955.2</v>
      </c>
      <c r="CD13" s="24">
        <v>6929.1</v>
      </c>
      <c r="CE13" s="25">
        <v>6953.5</v>
      </c>
      <c r="CF13" s="14">
        <v>7761</v>
      </c>
      <c r="CG13" s="15">
        <v>7896.9</v>
      </c>
      <c r="CH13" s="15">
        <v>7900.6</v>
      </c>
      <c r="CI13" s="15">
        <v>7905.3</v>
      </c>
      <c r="CJ13" s="91">
        <v>7993.4</v>
      </c>
      <c r="CK13" s="89">
        <v>8013.4</v>
      </c>
      <c r="CL13" s="14">
        <v>9028.4</v>
      </c>
      <c r="CM13" s="15">
        <v>9041.7000000000007</v>
      </c>
      <c r="CN13" s="24">
        <v>10218.700000000001</v>
      </c>
      <c r="CO13" s="25">
        <v>10271.9</v>
      </c>
      <c r="CP13" s="28"/>
      <c r="CQ13" s="29"/>
    </row>
    <row r="14" spans="1:95" x14ac:dyDescent="0.55000000000000004">
      <c r="A14" s="7">
        <v>12</v>
      </c>
      <c r="B14" s="16">
        <v>109.2</v>
      </c>
      <c r="C14" s="17">
        <v>109.6</v>
      </c>
      <c r="D14" s="18">
        <v>111.6</v>
      </c>
      <c r="E14" s="19">
        <v>111.9</v>
      </c>
      <c r="F14" s="16">
        <v>123.9</v>
      </c>
      <c r="G14" s="17">
        <v>124.4</v>
      </c>
      <c r="H14" s="18">
        <v>128.9</v>
      </c>
      <c r="I14" s="19">
        <v>128.9</v>
      </c>
      <c r="J14" s="16">
        <v>141.1</v>
      </c>
      <c r="K14" s="17">
        <v>141.4</v>
      </c>
      <c r="L14" s="18">
        <v>144.6</v>
      </c>
      <c r="M14" s="19">
        <v>144.69999999999999</v>
      </c>
      <c r="N14" s="16">
        <v>158.5</v>
      </c>
      <c r="O14" s="17">
        <v>158.5</v>
      </c>
      <c r="P14" s="18">
        <v>170.8</v>
      </c>
      <c r="Q14" s="19">
        <v>170.8</v>
      </c>
      <c r="R14" s="16">
        <v>189.1</v>
      </c>
      <c r="S14" s="17">
        <v>189.4</v>
      </c>
      <c r="T14" s="18">
        <v>194.8</v>
      </c>
      <c r="U14" s="19">
        <v>201.1</v>
      </c>
      <c r="V14" s="16">
        <v>224.9</v>
      </c>
      <c r="W14" s="17">
        <v>225.2</v>
      </c>
      <c r="X14" s="18">
        <v>220.2</v>
      </c>
      <c r="Y14" s="19">
        <v>220.3</v>
      </c>
      <c r="Z14" s="16">
        <v>225.9</v>
      </c>
      <c r="AA14" s="17">
        <v>226.3</v>
      </c>
      <c r="AB14" s="18">
        <v>227.9</v>
      </c>
      <c r="AC14" s="19">
        <v>231.7</v>
      </c>
      <c r="AD14" s="16"/>
      <c r="AE14" s="17"/>
      <c r="AF14" s="18"/>
      <c r="AG14" s="19"/>
      <c r="AH14" s="16"/>
      <c r="AI14" s="17"/>
      <c r="AJ14" s="18"/>
      <c r="AK14" s="19"/>
      <c r="AL14" s="16"/>
      <c r="AM14" s="17"/>
      <c r="AN14" s="18"/>
      <c r="AO14" s="19">
        <v>474.5</v>
      </c>
      <c r="AP14" s="16">
        <v>548</v>
      </c>
      <c r="AQ14" s="17">
        <v>571.1</v>
      </c>
      <c r="AR14" s="18">
        <v>556.6</v>
      </c>
      <c r="AS14" s="19">
        <v>557.79999999999995</v>
      </c>
      <c r="AT14" s="16">
        <v>581.6</v>
      </c>
      <c r="AU14" s="17">
        <v>601.9</v>
      </c>
      <c r="AV14" s="18">
        <v>629.29999999999995</v>
      </c>
      <c r="AW14" s="19">
        <v>638.4</v>
      </c>
      <c r="AX14" s="12"/>
      <c r="AY14" s="13"/>
      <c r="AZ14" s="14"/>
      <c r="BA14" s="15"/>
      <c r="BB14" s="12">
        <v>722.1</v>
      </c>
      <c r="BC14" s="13">
        <v>722.8</v>
      </c>
      <c r="BD14" s="14">
        <v>785.5</v>
      </c>
      <c r="BE14" s="15">
        <v>804.9</v>
      </c>
      <c r="BF14" s="12">
        <v>849.1</v>
      </c>
      <c r="BG14" s="13">
        <v>861</v>
      </c>
      <c r="BH14" s="14">
        <v>867.7</v>
      </c>
      <c r="BI14" s="15">
        <v>878.2</v>
      </c>
      <c r="BJ14" s="12">
        <v>1031.5</v>
      </c>
      <c r="BK14" s="57"/>
      <c r="BL14" s="57"/>
      <c r="BM14" s="13"/>
      <c r="BN14" s="87">
        <v>1495.6</v>
      </c>
      <c r="BO14" s="94">
        <v>1574.5</v>
      </c>
      <c r="BP14" s="88">
        <v>1728.6</v>
      </c>
      <c r="BQ14" s="89">
        <v>1752.5</v>
      </c>
      <c r="BR14" s="14">
        <v>1851.5</v>
      </c>
      <c r="BS14" s="15">
        <v>1857.7</v>
      </c>
      <c r="BT14" s="12">
        <v>2346</v>
      </c>
      <c r="BU14" s="57">
        <v>2550.6999999999998</v>
      </c>
      <c r="BV14" s="57">
        <v>2746.2</v>
      </c>
      <c r="BW14" s="13">
        <v>3034</v>
      </c>
      <c r="BX14" s="14">
        <v>3349.1</v>
      </c>
      <c r="BY14" s="15">
        <v>3427.2</v>
      </c>
      <c r="BZ14" s="88">
        <v>4236.3</v>
      </c>
      <c r="CA14" s="89">
        <v>4287.8</v>
      </c>
      <c r="CB14" s="14">
        <v>4503.1000000000004</v>
      </c>
      <c r="CC14" s="15">
        <v>4736.8999999999996</v>
      </c>
      <c r="CD14" s="24">
        <v>5452.6</v>
      </c>
      <c r="CE14" s="25">
        <v>5526.8</v>
      </c>
      <c r="CF14" s="14">
        <v>6098.3</v>
      </c>
      <c r="CG14" s="15">
        <v>6763.7</v>
      </c>
      <c r="CH14" s="15">
        <v>6965.2</v>
      </c>
      <c r="CI14" s="15">
        <v>7397.2</v>
      </c>
      <c r="CJ14" s="88">
        <v>8301.7000000000007</v>
      </c>
      <c r="CK14" s="89">
        <v>8331.6</v>
      </c>
      <c r="CL14" s="14">
        <v>8923</v>
      </c>
      <c r="CM14" s="15">
        <v>9106.1</v>
      </c>
      <c r="CN14" s="24">
        <v>10228</v>
      </c>
      <c r="CO14" s="25">
        <v>10270.799999999999</v>
      </c>
      <c r="CP14" s="28"/>
      <c r="CQ14" s="29"/>
    </row>
    <row r="15" spans="1:95" x14ac:dyDescent="0.55000000000000004">
      <c r="A15" s="7">
        <v>13</v>
      </c>
      <c r="B15" s="16">
        <v>108</v>
      </c>
      <c r="C15" s="17">
        <v>108.2</v>
      </c>
      <c r="D15" s="18">
        <v>107.9</v>
      </c>
      <c r="E15" s="19">
        <v>108</v>
      </c>
      <c r="F15" s="16">
        <v>112</v>
      </c>
      <c r="G15" s="17">
        <v>112.2</v>
      </c>
      <c r="H15" s="18">
        <v>113.6</v>
      </c>
      <c r="I15" s="19">
        <v>113.6</v>
      </c>
      <c r="J15" s="16">
        <v>124.7</v>
      </c>
      <c r="K15" s="17">
        <v>124.8</v>
      </c>
      <c r="L15" s="18">
        <v>162.69999999999999</v>
      </c>
      <c r="M15" s="19">
        <v>162.69999999999999</v>
      </c>
      <c r="N15" s="16">
        <v>183.7</v>
      </c>
      <c r="O15" s="17">
        <v>183.7</v>
      </c>
      <c r="P15" s="18">
        <v>185.4</v>
      </c>
      <c r="Q15" s="19">
        <v>185.4</v>
      </c>
      <c r="R15" s="16">
        <v>223</v>
      </c>
      <c r="S15" s="17">
        <v>223.1</v>
      </c>
      <c r="T15" s="18">
        <v>246.8</v>
      </c>
      <c r="U15" s="19">
        <v>247.1</v>
      </c>
      <c r="V15" s="16">
        <v>291</v>
      </c>
      <c r="W15" s="17">
        <v>291.10000000000002</v>
      </c>
      <c r="X15" s="18">
        <v>331.2</v>
      </c>
      <c r="Y15" s="19">
        <v>331.3</v>
      </c>
      <c r="Z15" s="16">
        <v>341.5</v>
      </c>
      <c r="AA15" s="17">
        <v>341.7</v>
      </c>
      <c r="AB15" s="18">
        <v>332.3</v>
      </c>
      <c r="AC15" s="19">
        <v>332.4</v>
      </c>
      <c r="AD15" s="16"/>
      <c r="AE15" s="17"/>
      <c r="AF15" s="18"/>
      <c r="AG15" s="19"/>
      <c r="AH15" s="16"/>
      <c r="AI15" s="17"/>
      <c r="AJ15" s="18"/>
      <c r="AK15" s="19"/>
      <c r="AL15" s="16"/>
      <c r="AM15" s="17"/>
      <c r="AN15" s="18"/>
      <c r="AO15" s="19">
        <v>715.5</v>
      </c>
      <c r="AP15" s="16">
        <v>812.4</v>
      </c>
      <c r="AQ15" s="17">
        <v>822.3</v>
      </c>
      <c r="AR15" s="18">
        <v>815.3</v>
      </c>
      <c r="AS15" s="19">
        <v>816.7</v>
      </c>
      <c r="AT15" s="16">
        <v>900.4</v>
      </c>
      <c r="AU15" s="17">
        <v>901.7</v>
      </c>
      <c r="AV15" s="18">
        <v>902.5</v>
      </c>
      <c r="AW15" s="19">
        <v>903.5</v>
      </c>
      <c r="AX15" s="12"/>
      <c r="AY15" s="13"/>
      <c r="AZ15" s="14"/>
      <c r="BA15" s="15"/>
      <c r="BB15" s="12">
        <v>1034.8</v>
      </c>
      <c r="BC15" s="13">
        <v>1035.5999999999999</v>
      </c>
      <c r="BD15" s="14">
        <v>1036.4000000000001</v>
      </c>
      <c r="BE15" s="15">
        <v>1110.3</v>
      </c>
      <c r="BF15" s="12">
        <v>1189.5</v>
      </c>
      <c r="BG15" s="13">
        <v>1190</v>
      </c>
      <c r="BH15" s="14">
        <v>1255.3</v>
      </c>
      <c r="BI15" s="15">
        <v>1256.2</v>
      </c>
      <c r="BJ15" s="12">
        <v>1732.9</v>
      </c>
      <c r="BK15" s="57"/>
      <c r="BL15" s="57"/>
      <c r="BM15" s="13"/>
      <c r="BN15" s="93">
        <v>2583.9</v>
      </c>
      <c r="BO15" s="95">
        <v>2588.6999999999998</v>
      </c>
      <c r="BP15" s="91">
        <v>3104.8</v>
      </c>
      <c r="BQ15" s="92">
        <v>3113.1</v>
      </c>
      <c r="BR15" s="14">
        <v>3285.4</v>
      </c>
      <c r="BS15" s="15">
        <v>3291.8</v>
      </c>
      <c r="BT15" s="12">
        <v>4357.6000000000004</v>
      </c>
      <c r="BU15" s="57">
        <v>4926.3</v>
      </c>
      <c r="BV15" s="57">
        <v>5282.5</v>
      </c>
      <c r="BW15" s="13">
        <v>5931.7</v>
      </c>
      <c r="BX15" s="14">
        <v>6364.7</v>
      </c>
      <c r="BY15" s="15">
        <v>6379.5</v>
      </c>
      <c r="BZ15" s="91">
        <v>8041.8</v>
      </c>
      <c r="CA15" s="92">
        <v>8075.5</v>
      </c>
      <c r="CB15" s="14">
        <v>8111.6</v>
      </c>
      <c r="CC15" s="15">
        <v>8120.3</v>
      </c>
      <c r="CD15" s="24">
        <v>9995.7000000000007</v>
      </c>
      <c r="CE15" s="25">
        <v>10405.6</v>
      </c>
      <c r="CF15" s="14">
        <v>10442.6</v>
      </c>
      <c r="CG15" s="15">
        <v>11917.8</v>
      </c>
      <c r="CH15" s="15">
        <v>12406.1</v>
      </c>
      <c r="CI15" s="15">
        <v>13431.2</v>
      </c>
      <c r="CJ15" s="91">
        <v>14974.9</v>
      </c>
      <c r="CK15" s="92">
        <v>15004</v>
      </c>
      <c r="CL15" s="14">
        <v>16462.8</v>
      </c>
      <c r="CM15" s="15">
        <v>16485.900000000001</v>
      </c>
      <c r="CN15" s="24">
        <v>18233.2</v>
      </c>
      <c r="CO15" s="25">
        <v>18278.7</v>
      </c>
      <c r="CP15" s="28"/>
      <c r="CQ15" s="29"/>
    </row>
    <row r="16" spans="1:95" x14ac:dyDescent="0.55000000000000004">
      <c r="A16" s="7">
        <v>14</v>
      </c>
      <c r="B16" s="16">
        <v>102.4</v>
      </c>
      <c r="C16" s="17">
        <v>102.6</v>
      </c>
      <c r="D16" s="18">
        <v>94.7</v>
      </c>
      <c r="E16" s="19">
        <v>102.8</v>
      </c>
      <c r="F16" s="16">
        <v>105.8</v>
      </c>
      <c r="G16" s="17">
        <v>106</v>
      </c>
      <c r="H16" s="18">
        <v>106.6</v>
      </c>
      <c r="I16" s="19">
        <v>106.6</v>
      </c>
      <c r="J16" s="16">
        <v>108.9</v>
      </c>
      <c r="K16" s="17">
        <v>109</v>
      </c>
      <c r="L16" s="18">
        <v>109.3</v>
      </c>
      <c r="M16" s="19">
        <v>109.3</v>
      </c>
      <c r="N16" s="16">
        <v>110.2</v>
      </c>
      <c r="O16" s="17">
        <v>110.2</v>
      </c>
      <c r="P16" s="18">
        <v>111.3</v>
      </c>
      <c r="Q16" s="19">
        <v>111.9</v>
      </c>
      <c r="R16" s="16">
        <v>119.9</v>
      </c>
      <c r="S16" s="17">
        <v>120</v>
      </c>
      <c r="T16" s="18">
        <v>120.4</v>
      </c>
      <c r="U16" s="19">
        <v>120.6</v>
      </c>
      <c r="V16" s="16">
        <v>126.8</v>
      </c>
      <c r="W16" s="17">
        <v>126.9</v>
      </c>
      <c r="X16" s="18">
        <v>146.6</v>
      </c>
      <c r="Y16" s="19">
        <v>146.69999999999999</v>
      </c>
      <c r="Z16" s="16">
        <v>147.4</v>
      </c>
      <c r="AA16" s="17">
        <v>147.5</v>
      </c>
      <c r="AB16" s="18">
        <v>151.69999999999999</v>
      </c>
      <c r="AC16" s="19">
        <v>152.6</v>
      </c>
      <c r="AD16" s="16"/>
      <c r="AE16" s="17"/>
      <c r="AF16" s="18"/>
      <c r="AG16" s="19"/>
      <c r="AH16" s="16"/>
      <c r="AI16" s="17"/>
      <c r="AJ16" s="18"/>
      <c r="AK16" s="19"/>
      <c r="AL16" s="16"/>
      <c r="AM16" s="17"/>
      <c r="AN16" s="18"/>
      <c r="AO16" s="19">
        <v>287.10000000000002</v>
      </c>
      <c r="AP16" s="16">
        <v>313.7</v>
      </c>
      <c r="AQ16" s="17">
        <v>314.2</v>
      </c>
      <c r="AR16" s="18">
        <v>336.2</v>
      </c>
      <c r="AS16" s="19">
        <v>336.8</v>
      </c>
      <c r="AT16" s="16">
        <v>340.4</v>
      </c>
      <c r="AU16" s="17">
        <v>340.9</v>
      </c>
      <c r="AV16" s="18">
        <v>373.2</v>
      </c>
      <c r="AW16" s="19">
        <v>373.6</v>
      </c>
      <c r="AX16" s="12"/>
      <c r="AY16" s="13"/>
      <c r="AZ16" s="14"/>
      <c r="BA16" s="15"/>
      <c r="BB16" s="12">
        <v>379.7</v>
      </c>
      <c r="BC16" s="13">
        <v>380</v>
      </c>
      <c r="BD16" s="14">
        <v>397.2</v>
      </c>
      <c r="BE16" s="15">
        <v>397.5</v>
      </c>
      <c r="BF16" s="12">
        <v>400.5</v>
      </c>
      <c r="BG16" s="13">
        <v>400.8</v>
      </c>
      <c r="BH16" s="14">
        <v>401.4</v>
      </c>
      <c r="BI16" s="15">
        <v>401.7</v>
      </c>
      <c r="BJ16" s="12">
        <v>443.7</v>
      </c>
      <c r="BK16" s="57"/>
      <c r="BL16" s="57"/>
      <c r="BM16" s="13"/>
      <c r="BN16" s="93">
        <v>629</v>
      </c>
      <c r="BO16" s="95">
        <v>666.8</v>
      </c>
      <c r="BP16" s="91">
        <v>738.8</v>
      </c>
      <c r="BQ16" s="89">
        <v>772.6</v>
      </c>
      <c r="BR16" s="14">
        <v>774.3</v>
      </c>
      <c r="BS16" s="15">
        <v>837.6</v>
      </c>
      <c r="BT16" s="12">
        <v>1077.4000000000001</v>
      </c>
      <c r="BU16" s="57">
        <v>1147.8</v>
      </c>
      <c r="BV16" s="57">
        <v>1240.0999999999999</v>
      </c>
      <c r="BW16" s="13">
        <v>1315.5</v>
      </c>
      <c r="BX16" s="14">
        <v>1522.1</v>
      </c>
      <c r="BY16" s="15">
        <v>1527.6</v>
      </c>
      <c r="BZ16" s="91">
        <v>1589.9</v>
      </c>
      <c r="CA16" s="89">
        <v>1598.7</v>
      </c>
      <c r="CB16" s="14">
        <v>1586</v>
      </c>
      <c r="CC16" s="15">
        <v>1743.1</v>
      </c>
      <c r="CD16" s="24">
        <v>1989.1</v>
      </c>
      <c r="CE16" s="25">
        <v>1994</v>
      </c>
      <c r="CF16" s="14">
        <v>2035.5</v>
      </c>
      <c r="CG16" s="15">
        <v>2258.8000000000002</v>
      </c>
      <c r="CH16" s="15">
        <v>2258.9</v>
      </c>
      <c r="CI16" s="15">
        <v>2258.9</v>
      </c>
      <c r="CJ16" s="91">
        <v>2311.3000000000002</v>
      </c>
      <c r="CK16" s="89">
        <v>2322.6</v>
      </c>
      <c r="CL16" s="14">
        <v>2330.3000000000002</v>
      </c>
      <c r="CM16" s="15">
        <v>2647.5</v>
      </c>
      <c r="CN16" s="24">
        <v>3187.1</v>
      </c>
      <c r="CO16" s="25">
        <v>3199.1</v>
      </c>
      <c r="CP16" s="28"/>
      <c r="CQ16" s="29"/>
    </row>
    <row r="17" spans="1:95" x14ac:dyDescent="0.55000000000000004">
      <c r="A17" s="7">
        <v>15</v>
      </c>
      <c r="B17" s="16">
        <v>100.4</v>
      </c>
      <c r="C17" s="17">
        <v>100.5</v>
      </c>
      <c r="D17" s="18">
        <v>102.5</v>
      </c>
      <c r="E17" s="19">
        <v>102.6</v>
      </c>
      <c r="F17" s="16">
        <v>107</v>
      </c>
      <c r="G17" s="17">
        <v>107.1</v>
      </c>
      <c r="H17" s="18">
        <v>109.3</v>
      </c>
      <c r="I17" s="19">
        <v>109.3</v>
      </c>
      <c r="J17" s="16">
        <v>109.4</v>
      </c>
      <c r="K17" s="17">
        <v>109.4</v>
      </c>
      <c r="L17" s="18">
        <v>109.5</v>
      </c>
      <c r="M17" s="19">
        <v>109.5</v>
      </c>
      <c r="N17" s="16">
        <v>109.5</v>
      </c>
      <c r="O17" s="17">
        <v>109.5</v>
      </c>
      <c r="P17" s="18">
        <v>110</v>
      </c>
      <c r="Q17" s="19">
        <v>110.1</v>
      </c>
      <c r="R17" s="16">
        <v>110.6</v>
      </c>
      <c r="S17" s="17">
        <v>110.7</v>
      </c>
      <c r="T17" s="18">
        <v>110.9</v>
      </c>
      <c r="U17" s="19">
        <v>111</v>
      </c>
      <c r="V17" s="16">
        <v>123.6</v>
      </c>
      <c r="W17" s="17">
        <v>123.6</v>
      </c>
      <c r="X17" s="18">
        <v>123.8</v>
      </c>
      <c r="Y17" s="19">
        <v>123.9</v>
      </c>
      <c r="Z17" s="16">
        <v>124.4</v>
      </c>
      <c r="AA17" s="17">
        <v>124.5</v>
      </c>
      <c r="AB17" s="18">
        <v>124.7</v>
      </c>
      <c r="AC17" s="19">
        <v>124.8</v>
      </c>
      <c r="AD17" s="16"/>
      <c r="AE17" s="17"/>
      <c r="AF17" s="18"/>
      <c r="AG17" s="19"/>
      <c r="AH17" s="16"/>
      <c r="AI17" s="17"/>
      <c r="AJ17" s="18"/>
      <c r="AK17" s="19"/>
      <c r="AL17" s="16"/>
      <c r="AM17" s="17"/>
      <c r="AN17" s="18"/>
      <c r="AO17" s="19">
        <v>383.6</v>
      </c>
      <c r="AP17" s="16">
        <v>386</v>
      </c>
      <c r="AQ17" s="17">
        <v>386.4</v>
      </c>
      <c r="AR17" s="18">
        <v>387.2</v>
      </c>
      <c r="AS17" s="19">
        <v>387.9</v>
      </c>
      <c r="AT17" s="16">
        <v>391.4</v>
      </c>
      <c r="AU17" s="17">
        <v>391.8</v>
      </c>
      <c r="AV17" s="18">
        <v>391.6</v>
      </c>
      <c r="AW17" s="19">
        <v>391.8</v>
      </c>
      <c r="AX17" s="12"/>
      <c r="AY17" s="13"/>
      <c r="AZ17" s="14"/>
      <c r="BA17" s="15"/>
      <c r="BB17" s="12">
        <v>389.4</v>
      </c>
      <c r="BC17" s="13">
        <v>387.5</v>
      </c>
      <c r="BD17" s="14">
        <v>396.3</v>
      </c>
      <c r="BE17" s="15">
        <v>396.6</v>
      </c>
      <c r="BF17" s="12">
        <v>419.1</v>
      </c>
      <c r="BG17" s="13">
        <v>419.5</v>
      </c>
      <c r="BH17" s="14">
        <v>454.7</v>
      </c>
      <c r="BI17" s="15">
        <v>482.1</v>
      </c>
      <c r="BJ17" s="12">
        <v>554.5</v>
      </c>
      <c r="BK17" s="57"/>
      <c r="BL17" s="57"/>
      <c r="BM17" s="13"/>
      <c r="BN17" s="93">
        <v>982.1</v>
      </c>
      <c r="BO17" s="95">
        <v>983.1</v>
      </c>
      <c r="BP17" s="96">
        <v>1133</v>
      </c>
      <c r="BQ17" s="92">
        <v>996</v>
      </c>
      <c r="BR17" s="14">
        <v>1185.4000000000001</v>
      </c>
      <c r="BS17" s="15">
        <v>1288.7</v>
      </c>
      <c r="BT17" s="12">
        <v>1510.3</v>
      </c>
      <c r="BU17" s="57">
        <v>1798.5</v>
      </c>
      <c r="BV17" s="57">
        <v>2019.4</v>
      </c>
      <c r="BW17" s="13">
        <v>2424.4</v>
      </c>
      <c r="BX17" s="14">
        <v>2630.2</v>
      </c>
      <c r="BY17" s="15">
        <v>2634.8</v>
      </c>
      <c r="BZ17" s="96">
        <v>2715.4</v>
      </c>
      <c r="CA17" s="92">
        <v>2772.7</v>
      </c>
      <c r="CB17" s="14">
        <v>2798.3</v>
      </c>
      <c r="CC17" s="15">
        <v>2824.3</v>
      </c>
      <c r="CD17" s="24">
        <v>3137.1</v>
      </c>
      <c r="CE17" s="25">
        <v>3275.3</v>
      </c>
      <c r="CF17" s="14">
        <v>3775.8</v>
      </c>
      <c r="CG17" s="15">
        <v>4387.3999999999996</v>
      </c>
      <c r="CH17" s="15">
        <v>4387.3999999999996</v>
      </c>
      <c r="CI17" s="15">
        <v>4387.3999999999996</v>
      </c>
      <c r="CJ17" s="96">
        <v>4727.2</v>
      </c>
      <c r="CK17" s="92">
        <v>4598.2</v>
      </c>
      <c r="CL17" s="14">
        <v>5078.8999999999996</v>
      </c>
      <c r="CM17" s="15">
        <v>5567.9</v>
      </c>
      <c r="CN17" s="24">
        <v>6064.8</v>
      </c>
      <c r="CO17" s="25">
        <v>6078.5</v>
      </c>
      <c r="CP17" s="28"/>
      <c r="CQ17" s="29"/>
    </row>
    <row r="18" spans="1:95" x14ac:dyDescent="0.55000000000000004">
      <c r="A18" s="7">
        <v>16</v>
      </c>
      <c r="B18" s="16">
        <v>100.8</v>
      </c>
      <c r="C18" s="17">
        <v>102.5</v>
      </c>
      <c r="D18" s="18">
        <v>103.3</v>
      </c>
      <c r="E18" s="19">
        <v>103.5</v>
      </c>
      <c r="F18" s="16">
        <v>107.6</v>
      </c>
      <c r="G18" s="17">
        <v>117.6</v>
      </c>
      <c r="H18" s="18">
        <v>116.4</v>
      </c>
      <c r="I18" s="19">
        <v>116.4</v>
      </c>
      <c r="J18" s="16">
        <v>126.1</v>
      </c>
      <c r="K18" s="17">
        <v>138.1</v>
      </c>
      <c r="L18" s="18">
        <v>142.80000000000001</v>
      </c>
      <c r="M18" s="19">
        <v>147.9</v>
      </c>
      <c r="N18" s="16">
        <v>147.9</v>
      </c>
      <c r="O18" s="17">
        <v>147.9</v>
      </c>
      <c r="P18" s="18">
        <v>158.80000000000001</v>
      </c>
      <c r="Q18" s="19">
        <v>158.9</v>
      </c>
      <c r="R18" s="16">
        <v>160.6</v>
      </c>
      <c r="S18" s="17">
        <v>177.2</v>
      </c>
      <c r="T18" s="18">
        <v>179.2</v>
      </c>
      <c r="U18" s="19">
        <v>182.8</v>
      </c>
      <c r="V18" s="16">
        <v>185.4</v>
      </c>
      <c r="W18" s="17">
        <v>186.6</v>
      </c>
      <c r="X18" s="18">
        <v>191.9</v>
      </c>
      <c r="Y18" s="19">
        <v>192</v>
      </c>
      <c r="Z18" s="16">
        <v>193.4</v>
      </c>
      <c r="AA18" s="17">
        <v>195.7</v>
      </c>
      <c r="AB18" s="18">
        <v>200</v>
      </c>
      <c r="AC18" s="19">
        <v>200.3</v>
      </c>
      <c r="AD18" s="16"/>
      <c r="AE18" s="17"/>
      <c r="AF18" s="18"/>
      <c r="AG18" s="19"/>
      <c r="AH18" s="16"/>
      <c r="AI18" s="17"/>
      <c r="AJ18" s="18"/>
      <c r="AK18" s="19"/>
      <c r="AL18" s="16"/>
      <c r="AM18" s="17"/>
      <c r="AN18" s="18"/>
      <c r="AO18" s="19">
        <v>367.5</v>
      </c>
      <c r="AP18" s="16">
        <v>372.3</v>
      </c>
      <c r="AQ18" s="17">
        <v>373.4</v>
      </c>
      <c r="AR18" s="18">
        <v>409.4</v>
      </c>
      <c r="AS18" s="19">
        <v>418.2</v>
      </c>
      <c r="AT18" s="16">
        <v>429</v>
      </c>
      <c r="AU18" s="17">
        <v>430.1</v>
      </c>
      <c r="AV18" s="18">
        <v>454.5</v>
      </c>
      <c r="AW18" s="19">
        <v>455.1</v>
      </c>
      <c r="AX18" s="12"/>
      <c r="AY18" s="13"/>
      <c r="AZ18" s="14"/>
      <c r="BA18" s="15"/>
      <c r="BB18" s="12">
        <v>503.2</v>
      </c>
      <c r="BC18" s="13">
        <v>503.9</v>
      </c>
      <c r="BD18" s="14">
        <v>507.1</v>
      </c>
      <c r="BE18" s="15">
        <v>507.7</v>
      </c>
      <c r="BF18" s="12">
        <v>513.20000000000005</v>
      </c>
      <c r="BG18" s="13">
        <v>513.9</v>
      </c>
      <c r="BH18" s="14">
        <v>545.6</v>
      </c>
      <c r="BI18" s="15">
        <v>559.4</v>
      </c>
      <c r="BJ18" s="12">
        <v>594.4</v>
      </c>
      <c r="BK18" s="57"/>
      <c r="BL18" s="57"/>
      <c r="BM18" s="13"/>
      <c r="BN18" s="93">
        <v>726.8</v>
      </c>
      <c r="BO18" s="95">
        <v>779.1</v>
      </c>
      <c r="BP18" s="91">
        <v>832.9</v>
      </c>
      <c r="BQ18" s="92">
        <v>872.9</v>
      </c>
      <c r="BR18" s="14">
        <v>945.9</v>
      </c>
      <c r="BS18" s="15">
        <v>1084.8</v>
      </c>
      <c r="BT18" s="12">
        <v>1181.7</v>
      </c>
      <c r="BU18" s="57">
        <v>1542.4</v>
      </c>
      <c r="BV18" s="57">
        <v>1668.3</v>
      </c>
      <c r="BW18" s="13">
        <v>1705.4</v>
      </c>
      <c r="BX18" s="14">
        <v>1922.5</v>
      </c>
      <c r="BY18" s="15">
        <v>1934.2</v>
      </c>
      <c r="BZ18" s="91">
        <v>2258.6999999999998</v>
      </c>
      <c r="CA18" s="92">
        <v>2366.1999999999998</v>
      </c>
      <c r="CB18" s="14">
        <v>2491</v>
      </c>
      <c r="CC18" s="15">
        <v>2579.9</v>
      </c>
      <c r="CD18" s="24">
        <v>2787</v>
      </c>
      <c r="CE18" s="25">
        <v>2799.4</v>
      </c>
      <c r="CF18" s="14">
        <v>2870.2</v>
      </c>
      <c r="CG18" s="15">
        <v>3854.9</v>
      </c>
      <c r="CH18" s="15">
        <v>3855.3</v>
      </c>
      <c r="CI18" s="15">
        <v>3855.6</v>
      </c>
      <c r="CJ18" s="91">
        <v>4468.2</v>
      </c>
      <c r="CK18" s="92">
        <v>4864.5</v>
      </c>
      <c r="CL18" s="14">
        <v>4897.7</v>
      </c>
      <c r="CM18" s="15">
        <v>5106</v>
      </c>
      <c r="CN18" s="24">
        <v>6535.1</v>
      </c>
      <c r="CO18" s="25">
        <v>6572</v>
      </c>
      <c r="CP18" s="28"/>
      <c r="CQ18" s="29"/>
    </row>
    <row r="19" spans="1:95" x14ac:dyDescent="0.55000000000000004">
      <c r="A19" s="7">
        <v>17</v>
      </c>
      <c r="B19" s="16">
        <v>114.8</v>
      </c>
      <c r="C19" s="17">
        <v>115.1</v>
      </c>
      <c r="D19" s="18">
        <v>115.2</v>
      </c>
      <c r="E19" s="19">
        <v>116.4</v>
      </c>
      <c r="F19" s="16">
        <v>149.1</v>
      </c>
      <c r="G19" s="17">
        <v>149.30000000000001</v>
      </c>
      <c r="H19" s="18">
        <v>149.5</v>
      </c>
      <c r="I19" s="19">
        <v>149.5</v>
      </c>
      <c r="J19" s="16">
        <v>153.30000000000001</v>
      </c>
      <c r="K19" s="17">
        <v>153.4</v>
      </c>
      <c r="L19" s="18">
        <v>153.6</v>
      </c>
      <c r="M19" s="19">
        <v>153.69999999999999</v>
      </c>
      <c r="N19" s="16">
        <v>180.8</v>
      </c>
      <c r="O19" s="17">
        <v>191.6</v>
      </c>
      <c r="P19" s="18">
        <v>208.4</v>
      </c>
      <c r="Q19" s="19">
        <v>208.4</v>
      </c>
      <c r="R19" s="16">
        <v>243.3</v>
      </c>
      <c r="S19" s="17">
        <v>248.4</v>
      </c>
      <c r="T19" s="18">
        <v>253</v>
      </c>
      <c r="U19" s="19">
        <v>262.8</v>
      </c>
      <c r="V19" s="16">
        <v>272.10000000000002</v>
      </c>
      <c r="W19" s="17">
        <v>287.39999999999998</v>
      </c>
      <c r="X19" s="18">
        <v>271.39999999999998</v>
      </c>
      <c r="Y19" s="19">
        <v>260.5</v>
      </c>
      <c r="Z19" s="16">
        <v>245.8</v>
      </c>
      <c r="AA19" s="17">
        <v>260.89999999999998</v>
      </c>
      <c r="AB19" s="18">
        <v>261.89999999999998</v>
      </c>
      <c r="AC19" s="19">
        <v>262.2</v>
      </c>
      <c r="AD19" s="16"/>
      <c r="AE19" s="17"/>
      <c r="AF19" s="18"/>
      <c r="AG19" s="19"/>
      <c r="AH19" s="16"/>
      <c r="AI19" s="17"/>
      <c r="AJ19" s="18"/>
      <c r="AK19" s="19"/>
      <c r="AL19" s="16"/>
      <c r="AM19" s="17"/>
      <c r="AN19" s="18"/>
      <c r="AO19" s="19">
        <v>511.5</v>
      </c>
      <c r="AP19" s="16">
        <v>542.4</v>
      </c>
      <c r="AQ19" s="17">
        <v>543.5</v>
      </c>
      <c r="AR19" s="18">
        <v>557.79999999999995</v>
      </c>
      <c r="AS19" s="19">
        <v>559.6</v>
      </c>
      <c r="AT19" s="16">
        <v>569.4</v>
      </c>
      <c r="AU19" s="17">
        <v>570.70000000000005</v>
      </c>
      <c r="AV19" s="18">
        <v>646.9</v>
      </c>
      <c r="AW19" s="19">
        <v>648</v>
      </c>
      <c r="AX19" s="12"/>
      <c r="AY19" s="13"/>
      <c r="AZ19" s="14"/>
      <c r="BA19" s="15"/>
      <c r="BB19" s="12">
        <v>665.3</v>
      </c>
      <c r="BC19" s="13">
        <v>666.2</v>
      </c>
      <c r="BD19" s="14">
        <v>667.1</v>
      </c>
      <c r="BE19" s="15">
        <v>667.9</v>
      </c>
      <c r="BF19" s="12">
        <v>747.8</v>
      </c>
      <c r="BG19" s="13">
        <v>748.6</v>
      </c>
      <c r="BH19" s="14">
        <v>751.6</v>
      </c>
      <c r="BI19" s="15">
        <v>753.4</v>
      </c>
      <c r="BJ19" s="12">
        <v>864.8</v>
      </c>
      <c r="BK19" s="57"/>
      <c r="BL19" s="57"/>
      <c r="BM19" s="13"/>
      <c r="BN19" s="87">
        <v>1405.6</v>
      </c>
      <c r="BO19" s="95">
        <v>1412</v>
      </c>
      <c r="BP19" s="91">
        <v>1450.3</v>
      </c>
      <c r="BQ19" s="92">
        <v>1455.3</v>
      </c>
      <c r="BR19" s="14">
        <v>1654.1</v>
      </c>
      <c r="BS19" s="15">
        <v>1724.1</v>
      </c>
      <c r="BT19" s="12">
        <v>1855.5</v>
      </c>
      <c r="BU19" s="57">
        <v>2460.6</v>
      </c>
      <c r="BV19" s="57">
        <v>2692.5</v>
      </c>
      <c r="BW19" s="13">
        <v>3052</v>
      </c>
      <c r="BX19" s="14">
        <v>3187.1</v>
      </c>
      <c r="BY19" s="15">
        <v>3401.7</v>
      </c>
      <c r="BZ19" s="91">
        <v>3931.7</v>
      </c>
      <c r="CA19" s="92">
        <v>4540.3</v>
      </c>
      <c r="CB19" s="14">
        <v>4567.3</v>
      </c>
      <c r="CC19" s="15">
        <v>4730.2</v>
      </c>
      <c r="CD19" s="24">
        <v>5511.1</v>
      </c>
      <c r="CE19" s="25">
        <v>5410.5</v>
      </c>
      <c r="CF19" s="14">
        <v>5896.6</v>
      </c>
      <c r="CG19" s="15">
        <v>6193.4</v>
      </c>
      <c r="CH19" s="15">
        <v>6388.7</v>
      </c>
      <c r="CI19" s="15">
        <v>6987.7</v>
      </c>
      <c r="CJ19" s="91">
        <v>7144.2</v>
      </c>
      <c r="CK19" s="92">
        <v>7169.1</v>
      </c>
      <c r="CL19" s="14">
        <v>8642.6</v>
      </c>
      <c r="CM19" s="15">
        <v>8662.5</v>
      </c>
      <c r="CN19" s="24">
        <v>8863.7000000000007</v>
      </c>
      <c r="CO19" s="25">
        <v>8893.5</v>
      </c>
      <c r="CP19" s="28"/>
      <c r="CQ19" s="29"/>
    </row>
    <row r="20" spans="1:95" x14ac:dyDescent="0.55000000000000004">
      <c r="A20" s="7">
        <v>18</v>
      </c>
      <c r="B20" s="16">
        <v>100.3</v>
      </c>
      <c r="C20" s="17">
        <v>100.4</v>
      </c>
      <c r="D20" s="18">
        <v>100.5</v>
      </c>
      <c r="E20" s="19">
        <v>100.6</v>
      </c>
      <c r="F20" s="16">
        <v>101.1</v>
      </c>
      <c r="G20" s="17">
        <v>107.7</v>
      </c>
      <c r="H20" s="18">
        <v>111</v>
      </c>
      <c r="I20" s="19">
        <v>111</v>
      </c>
      <c r="J20" s="16">
        <v>116.9</v>
      </c>
      <c r="K20" s="17">
        <v>117</v>
      </c>
      <c r="L20" s="18">
        <v>117.1</v>
      </c>
      <c r="M20" s="19">
        <v>117.1</v>
      </c>
      <c r="N20" s="16">
        <v>125.7</v>
      </c>
      <c r="O20" s="17">
        <v>151.19999999999999</v>
      </c>
      <c r="P20" s="18">
        <v>153.80000000000001</v>
      </c>
      <c r="Q20" s="19">
        <v>153.80000000000001</v>
      </c>
      <c r="R20" s="16">
        <v>154.4</v>
      </c>
      <c r="S20" s="17">
        <v>154.5</v>
      </c>
      <c r="T20" s="18">
        <v>154.69999999999999</v>
      </c>
      <c r="U20" s="19">
        <v>154.80000000000001</v>
      </c>
      <c r="V20" s="16">
        <v>155.5</v>
      </c>
      <c r="W20" s="17">
        <v>155.5</v>
      </c>
      <c r="X20" s="18">
        <v>155.6</v>
      </c>
      <c r="Y20" s="19">
        <v>155.6</v>
      </c>
      <c r="Z20" s="16">
        <v>156</v>
      </c>
      <c r="AA20" s="17">
        <v>156.1</v>
      </c>
      <c r="AB20" s="18">
        <v>156.30000000000001</v>
      </c>
      <c r="AC20" s="19">
        <v>156.30000000000001</v>
      </c>
      <c r="AD20" s="16"/>
      <c r="AE20" s="17"/>
      <c r="AF20" s="18"/>
      <c r="AG20" s="19"/>
      <c r="AH20" s="16"/>
      <c r="AI20" s="17"/>
      <c r="AJ20" s="18"/>
      <c r="AK20" s="19"/>
      <c r="AL20" s="16"/>
      <c r="AM20" s="17"/>
      <c r="AN20" s="18"/>
      <c r="AO20" s="19">
        <v>274</v>
      </c>
      <c r="AP20" s="16">
        <v>275.39999999999998</v>
      </c>
      <c r="AQ20" s="17">
        <v>275.7</v>
      </c>
      <c r="AR20" s="18">
        <v>276.10000000000002</v>
      </c>
      <c r="AS20" s="19">
        <v>276.39999999999998</v>
      </c>
      <c r="AT20" s="16">
        <v>303.5</v>
      </c>
      <c r="AU20" s="17">
        <v>298.89999999999998</v>
      </c>
      <c r="AV20" s="18">
        <v>292.10000000000002</v>
      </c>
      <c r="AW20" s="19">
        <v>292.2</v>
      </c>
      <c r="AX20" s="12"/>
      <c r="AY20" s="13"/>
      <c r="AZ20" s="14"/>
      <c r="BA20" s="15"/>
      <c r="BB20" s="12">
        <v>295.3</v>
      </c>
      <c r="BC20" s="13">
        <v>295.60000000000002</v>
      </c>
      <c r="BD20" s="14">
        <v>312.2</v>
      </c>
      <c r="BE20" s="15">
        <v>323.39999999999998</v>
      </c>
      <c r="BF20" s="12">
        <v>324.89999999999998</v>
      </c>
      <c r="BG20" s="13">
        <v>340.3</v>
      </c>
      <c r="BH20" s="14">
        <v>370.8</v>
      </c>
      <c r="BI20" s="15">
        <v>386.2</v>
      </c>
      <c r="BJ20" s="12">
        <v>414.7</v>
      </c>
      <c r="BK20" s="57"/>
      <c r="BL20" s="57"/>
      <c r="BM20" s="13"/>
      <c r="BN20" s="93">
        <v>611</v>
      </c>
      <c r="BO20" s="94">
        <v>612.5</v>
      </c>
      <c r="BP20" s="91">
        <v>734.3</v>
      </c>
      <c r="BQ20" s="92">
        <v>707.2</v>
      </c>
      <c r="BR20" s="14">
        <v>738.3</v>
      </c>
      <c r="BS20" s="15">
        <v>797.8</v>
      </c>
      <c r="BT20" s="12">
        <v>946.3</v>
      </c>
      <c r="BU20" s="57">
        <v>1197.2</v>
      </c>
      <c r="BV20" s="57">
        <v>1263.5</v>
      </c>
      <c r="BW20" s="13">
        <v>1364</v>
      </c>
      <c r="BX20" s="14">
        <v>1382.8</v>
      </c>
      <c r="BY20" s="15">
        <v>1582.4</v>
      </c>
      <c r="BZ20" s="91">
        <v>1784.5</v>
      </c>
      <c r="CA20" s="92">
        <v>1988.1</v>
      </c>
      <c r="CB20" s="14">
        <v>2087.4</v>
      </c>
      <c r="CC20" s="15">
        <v>2090.1</v>
      </c>
      <c r="CD20" s="24">
        <v>2402</v>
      </c>
      <c r="CE20" s="25">
        <v>2420.1999999999998</v>
      </c>
      <c r="CF20" s="14">
        <v>2722.2</v>
      </c>
      <c r="CG20" s="15">
        <v>3245.2</v>
      </c>
      <c r="CH20" s="15">
        <v>3245.3</v>
      </c>
      <c r="CI20" s="15">
        <v>3245.5</v>
      </c>
      <c r="CJ20" s="91">
        <v>3464</v>
      </c>
      <c r="CK20" s="92">
        <v>3473</v>
      </c>
      <c r="CL20" s="14">
        <v>3478.9</v>
      </c>
      <c r="CM20" s="15">
        <v>3484.1</v>
      </c>
      <c r="CN20" s="24">
        <v>4091.9</v>
      </c>
      <c r="CO20" s="25">
        <v>4115.1000000000004</v>
      </c>
      <c r="CP20" s="28"/>
      <c r="CQ20" s="29"/>
    </row>
    <row r="21" spans="1:95" x14ac:dyDescent="0.55000000000000004">
      <c r="A21" s="7">
        <v>19</v>
      </c>
      <c r="B21" s="16">
        <v>103.7</v>
      </c>
      <c r="C21" s="17">
        <v>101.4</v>
      </c>
      <c r="D21" s="18">
        <v>103.9</v>
      </c>
      <c r="E21" s="19">
        <v>113.4</v>
      </c>
      <c r="F21" s="16">
        <v>125.1</v>
      </c>
      <c r="G21" s="17">
        <v>125.5</v>
      </c>
      <c r="H21" s="18">
        <v>130.19999999999999</v>
      </c>
      <c r="I21" s="19">
        <v>130.19999999999999</v>
      </c>
      <c r="J21" s="16">
        <v>135.80000000000001</v>
      </c>
      <c r="K21" s="17">
        <v>135.9</v>
      </c>
      <c r="L21" s="18">
        <v>139.69999999999999</v>
      </c>
      <c r="M21" s="19">
        <v>138.19999999999999</v>
      </c>
      <c r="N21" s="16">
        <v>144.19999999999999</v>
      </c>
      <c r="O21" s="17">
        <v>153.1</v>
      </c>
      <c r="P21" s="18">
        <v>165.5</v>
      </c>
      <c r="Q21" s="19">
        <v>166.9</v>
      </c>
      <c r="R21" s="16">
        <v>179.9</v>
      </c>
      <c r="S21" s="17">
        <v>174.6</v>
      </c>
      <c r="T21" s="18">
        <v>179.9</v>
      </c>
      <c r="U21" s="19">
        <v>186</v>
      </c>
      <c r="V21" s="16">
        <v>221.1</v>
      </c>
      <c r="W21" s="17">
        <v>234.3</v>
      </c>
      <c r="X21" s="18">
        <v>212.8</v>
      </c>
      <c r="Y21" s="19">
        <v>185.5</v>
      </c>
      <c r="Z21" s="16">
        <v>180.2</v>
      </c>
      <c r="AA21" s="17">
        <v>184.3</v>
      </c>
      <c r="AB21" s="18">
        <v>190.7</v>
      </c>
      <c r="AC21" s="19">
        <v>198.9</v>
      </c>
      <c r="AD21" s="16"/>
      <c r="AE21" s="17"/>
      <c r="AF21" s="18"/>
      <c r="AG21" s="19"/>
      <c r="AH21" s="16"/>
      <c r="AI21" s="17"/>
      <c r="AJ21" s="18"/>
      <c r="AK21" s="19"/>
      <c r="AL21" s="16"/>
      <c r="AM21" s="17"/>
      <c r="AN21" s="18"/>
      <c r="AO21" s="19">
        <v>445.6</v>
      </c>
      <c r="AP21" s="16">
        <v>472.6</v>
      </c>
      <c r="AQ21" s="17">
        <v>462.5</v>
      </c>
      <c r="AR21" s="18">
        <v>463.9</v>
      </c>
      <c r="AS21" s="19">
        <v>457.8</v>
      </c>
      <c r="AT21" s="16">
        <v>502.8</v>
      </c>
      <c r="AU21" s="17">
        <v>504.6</v>
      </c>
      <c r="AV21" s="18">
        <v>518.29999999999995</v>
      </c>
      <c r="AW21" s="19">
        <v>511.5</v>
      </c>
      <c r="AX21" s="12"/>
      <c r="AY21" s="13"/>
      <c r="AZ21" s="14"/>
      <c r="BA21" s="15"/>
      <c r="BB21" s="12">
        <v>536.20000000000005</v>
      </c>
      <c r="BC21" s="13">
        <v>541.6</v>
      </c>
      <c r="BD21" s="14">
        <v>569.29999999999995</v>
      </c>
      <c r="BE21" s="15">
        <v>588.9</v>
      </c>
      <c r="BF21" s="12">
        <v>616.4</v>
      </c>
      <c r="BG21" s="13">
        <v>639.70000000000005</v>
      </c>
      <c r="BH21" s="14">
        <v>673.6</v>
      </c>
      <c r="BI21" s="15">
        <v>688.4</v>
      </c>
      <c r="BJ21" s="12">
        <v>771.4</v>
      </c>
      <c r="BK21" s="57"/>
      <c r="BL21" s="57"/>
      <c r="BM21" s="13"/>
      <c r="BN21" s="93">
        <v>1149.9000000000001</v>
      </c>
      <c r="BO21" s="94">
        <v>1167.4000000000001</v>
      </c>
      <c r="BP21" s="88">
        <v>1380.5</v>
      </c>
      <c r="BQ21" s="92">
        <v>1304.7</v>
      </c>
      <c r="BR21" s="14">
        <v>1351.6</v>
      </c>
      <c r="BS21" s="15">
        <v>1599.1</v>
      </c>
      <c r="BT21" s="12">
        <v>1880.7</v>
      </c>
      <c r="BU21" s="57">
        <v>2499.4</v>
      </c>
      <c r="BV21" s="57">
        <v>2613.9</v>
      </c>
      <c r="BW21" s="13">
        <v>2642.9</v>
      </c>
      <c r="BX21" s="14">
        <v>3187.2</v>
      </c>
      <c r="BY21" s="15">
        <v>3229.6</v>
      </c>
      <c r="BZ21" s="88">
        <v>3777.6</v>
      </c>
      <c r="CA21" s="92">
        <v>4051.8</v>
      </c>
      <c r="CB21" s="14">
        <v>4101.8</v>
      </c>
      <c r="CC21" s="15">
        <v>4062.3</v>
      </c>
      <c r="CD21" s="24">
        <v>4642.7</v>
      </c>
      <c r="CE21" s="25">
        <v>4634.3</v>
      </c>
      <c r="CF21" s="14">
        <v>4804</v>
      </c>
      <c r="CG21" s="15">
        <v>5618.2</v>
      </c>
      <c r="CH21" s="15">
        <v>5940.7</v>
      </c>
      <c r="CI21" s="15">
        <v>6621.1</v>
      </c>
      <c r="CJ21" s="88">
        <v>6981.6</v>
      </c>
      <c r="CK21" s="92">
        <v>6967.3</v>
      </c>
      <c r="CL21" s="14">
        <v>7042.5</v>
      </c>
      <c r="CM21" s="15">
        <v>7168.1</v>
      </c>
      <c r="CN21" s="24">
        <v>7934.5</v>
      </c>
      <c r="CO21" s="25">
        <v>8030</v>
      </c>
      <c r="CP21" s="28"/>
      <c r="CQ21" s="29"/>
    </row>
    <row r="22" spans="1:95" x14ac:dyDescent="0.55000000000000004">
      <c r="A22" s="7">
        <v>20</v>
      </c>
      <c r="B22" s="16">
        <v>107.3</v>
      </c>
      <c r="C22" s="17">
        <v>111</v>
      </c>
      <c r="D22" s="18">
        <v>112.2</v>
      </c>
      <c r="E22" s="19">
        <v>124.6</v>
      </c>
      <c r="F22" s="16">
        <v>131.4</v>
      </c>
      <c r="G22" s="17">
        <v>135.30000000000001</v>
      </c>
      <c r="H22" s="18">
        <v>135.4</v>
      </c>
      <c r="I22" s="19">
        <v>135.4</v>
      </c>
      <c r="J22" s="16">
        <v>135.6</v>
      </c>
      <c r="K22" s="17">
        <v>135.69999999999999</v>
      </c>
      <c r="L22" s="18">
        <v>135.80000000000001</v>
      </c>
      <c r="M22" s="19">
        <v>135.80000000000001</v>
      </c>
      <c r="N22" s="16">
        <v>154.4</v>
      </c>
      <c r="O22" s="17">
        <v>154.4</v>
      </c>
      <c r="P22" s="18">
        <v>155.80000000000001</v>
      </c>
      <c r="Q22" s="19">
        <v>155.80000000000001</v>
      </c>
      <c r="R22" s="16">
        <v>159.9</v>
      </c>
      <c r="S22" s="17">
        <v>160</v>
      </c>
      <c r="T22" s="18">
        <v>160.19999999999999</v>
      </c>
      <c r="U22" s="19">
        <v>173</v>
      </c>
      <c r="V22" s="16">
        <v>173.8</v>
      </c>
      <c r="W22" s="17">
        <v>173.9</v>
      </c>
      <c r="X22" s="18">
        <v>177.2</v>
      </c>
      <c r="Y22" s="19">
        <v>177.2</v>
      </c>
      <c r="Z22" s="16">
        <v>200.6</v>
      </c>
      <c r="AA22" s="17">
        <v>200.8</v>
      </c>
      <c r="AB22" s="18">
        <v>201</v>
      </c>
      <c r="AC22" s="19">
        <v>201.1</v>
      </c>
      <c r="AD22" s="16"/>
      <c r="AE22" s="17"/>
      <c r="AF22" s="18"/>
      <c r="AG22" s="19"/>
      <c r="AH22" s="16"/>
      <c r="AI22" s="17"/>
      <c r="AJ22" s="18"/>
      <c r="AK22" s="19"/>
      <c r="AL22" s="16"/>
      <c r="AM22" s="17"/>
      <c r="AN22" s="18"/>
      <c r="AO22" s="19">
        <v>305.5</v>
      </c>
      <c r="AP22" s="16">
        <v>327.2</v>
      </c>
      <c r="AQ22" s="17">
        <v>327.7</v>
      </c>
      <c r="AR22" s="18">
        <v>328.5</v>
      </c>
      <c r="AS22" s="19">
        <v>329.1</v>
      </c>
      <c r="AT22" s="16">
        <v>358.4</v>
      </c>
      <c r="AU22" s="17">
        <v>359</v>
      </c>
      <c r="AV22" s="18">
        <v>378.7</v>
      </c>
      <c r="AW22" s="19">
        <v>379.1</v>
      </c>
      <c r="AX22" s="12"/>
      <c r="AY22" s="13"/>
      <c r="AZ22" s="14"/>
      <c r="BA22" s="15"/>
      <c r="BB22" s="12">
        <v>434.3</v>
      </c>
      <c r="BC22" s="13">
        <v>434.7</v>
      </c>
      <c r="BD22" s="14">
        <v>426.6</v>
      </c>
      <c r="BE22" s="15">
        <v>431</v>
      </c>
      <c r="BF22" s="12">
        <v>469.9</v>
      </c>
      <c r="BG22" s="13">
        <v>473.5</v>
      </c>
      <c r="BH22" s="14">
        <v>506.8</v>
      </c>
      <c r="BI22" s="15">
        <v>520.20000000000005</v>
      </c>
      <c r="BJ22" s="12">
        <v>576.20000000000005</v>
      </c>
      <c r="BK22" s="57"/>
      <c r="BL22" s="57"/>
      <c r="BM22" s="13"/>
      <c r="BN22" s="87">
        <v>734.6</v>
      </c>
      <c r="BO22" s="95">
        <v>786</v>
      </c>
      <c r="BP22" s="91">
        <v>826.3</v>
      </c>
      <c r="BQ22" s="89">
        <v>829.6</v>
      </c>
      <c r="BR22" s="14">
        <v>951.3</v>
      </c>
      <c r="BS22" s="15">
        <v>973.1</v>
      </c>
      <c r="BT22" s="12">
        <v>1255.3</v>
      </c>
      <c r="BU22" s="57">
        <v>1361.8</v>
      </c>
      <c r="BV22" s="57">
        <v>1414.8</v>
      </c>
      <c r="BW22" s="13">
        <v>1522.7</v>
      </c>
      <c r="BX22" s="14">
        <v>1633.2</v>
      </c>
      <c r="BY22" s="15">
        <v>1639.3</v>
      </c>
      <c r="BZ22" s="91">
        <v>1888.5</v>
      </c>
      <c r="CA22" s="89">
        <v>1920.9</v>
      </c>
      <c r="CB22" s="14">
        <v>1828.8</v>
      </c>
      <c r="CC22" s="15">
        <v>1882.7</v>
      </c>
      <c r="CD22" s="24">
        <v>2346.1</v>
      </c>
      <c r="CE22" s="25">
        <v>2352.6</v>
      </c>
      <c r="CF22" s="14">
        <v>2905.9</v>
      </c>
      <c r="CG22" s="15">
        <v>3022.2</v>
      </c>
      <c r="CH22" s="15">
        <v>3022.4</v>
      </c>
      <c r="CI22" s="15">
        <v>3022.7</v>
      </c>
      <c r="CJ22" s="91">
        <v>3682</v>
      </c>
      <c r="CK22" s="89">
        <v>3740.8</v>
      </c>
      <c r="CL22" s="14">
        <v>4064.4</v>
      </c>
      <c r="CM22" s="15">
        <v>4239.6000000000004</v>
      </c>
      <c r="CN22" s="24">
        <v>4754.5</v>
      </c>
      <c r="CO22" s="25">
        <v>4774.7</v>
      </c>
      <c r="CP22" s="28"/>
      <c r="CQ22" s="29"/>
    </row>
    <row r="23" spans="1:95" x14ac:dyDescent="0.55000000000000004">
      <c r="A23" s="7">
        <v>21</v>
      </c>
      <c r="B23" s="16">
        <v>105.3</v>
      </c>
      <c r="C23" s="17">
        <v>105.5</v>
      </c>
      <c r="D23" s="18">
        <v>105.7</v>
      </c>
      <c r="E23" s="19">
        <v>105.9</v>
      </c>
      <c r="F23" s="16">
        <v>108.3</v>
      </c>
      <c r="G23" s="17">
        <v>111.7</v>
      </c>
      <c r="H23" s="18">
        <v>112.2</v>
      </c>
      <c r="I23" s="19">
        <v>112.1</v>
      </c>
      <c r="J23" s="16">
        <v>119.8</v>
      </c>
      <c r="K23" s="17">
        <v>121.9</v>
      </c>
      <c r="L23" s="18">
        <v>122.9</v>
      </c>
      <c r="M23" s="19">
        <v>122.9</v>
      </c>
      <c r="N23" s="16">
        <v>136.69999999999999</v>
      </c>
      <c r="O23" s="17">
        <v>138</v>
      </c>
      <c r="P23" s="18">
        <v>144.19999999999999</v>
      </c>
      <c r="Q23" s="19">
        <v>148</v>
      </c>
      <c r="R23" s="16">
        <v>156</v>
      </c>
      <c r="S23" s="17">
        <v>163.69999999999999</v>
      </c>
      <c r="T23" s="18">
        <v>170</v>
      </c>
      <c r="U23" s="19">
        <v>176.6</v>
      </c>
      <c r="V23" s="16">
        <v>192.7</v>
      </c>
      <c r="W23" s="17">
        <v>192.8</v>
      </c>
      <c r="X23" s="18">
        <v>193</v>
      </c>
      <c r="Y23" s="19">
        <v>193.1</v>
      </c>
      <c r="Z23" s="16">
        <v>205.4</v>
      </c>
      <c r="AA23" s="17">
        <v>226.8</v>
      </c>
      <c r="AB23" s="18">
        <v>227</v>
      </c>
      <c r="AC23" s="19">
        <v>227.2</v>
      </c>
      <c r="AD23" s="16"/>
      <c r="AE23" s="17"/>
      <c r="AF23" s="18"/>
      <c r="AG23" s="19"/>
      <c r="AH23" s="16"/>
      <c r="AI23" s="17"/>
      <c r="AJ23" s="18"/>
      <c r="AK23" s="19"/>
      <c r="AL23" s="16"/>
      <c r="AM23" s="17"/>
      <c r="AN23" s="18"/>
      <c r="AO23" s="19">
        <v>523</v>
      </c>
      <c r="AP23" s="16">
        <v>546.20000000000005</v>
      </c>
      <c r="AQ23" s="17">
        <v>546.79999999999995</v>
      </c>
      <c r="AR23" s="18">
        <v>548</v>
      </c>
      <c r="AS23" s="19">
        <v>548.79999999999995</v>
      </c>
      <c r="AT23" s="16">
        <v>577.70000000000005</v>
      </c>
      <c r="AU23" s="17">
        <v>578.4</v>
      </c>
      <c r="AV23" s="18">
        <v>573.29999999999995</v>
      </c>
      <c r="AW23" s="19">
        <v>573.79999999999995</v>
      </c>
      <c r="AX23" s="12"/>
      <c r="AY23" s="13"/>
      <c r="AZ23" s="14"/>
      <c r="BA23" s="15"/>
      <c r="BB23" s="12">
        <v>610.1</v>
      </c>
      <c r="BC23" s="13">
        <v>610.5</v>
      </c>
      <c r="BD23" s="14">
        <v>610.9</v>
      </c>
      <c r="BE23" s="15">
        <v>611.29999999999995</v>
      </c>
      <c r="BF23" s="12">
        <v>657.5</v>
      </c>
      <c r="BG23" s="13">
        <v>657.9</v>
      </c>
      <c r="BH23" s="14">
        <v>658.6</v>
      </c>
      <c r="BI23" s="15">
        <v>659.1</v>
      </c>
      <c r="BJ23" s="12">
        <v>769.3</v>
      </c>
      <c r="BK23" s="57"/>
      <c r="BL23" s="57"/>
      <c r="BM23" s="13"/>
      <c r="BN23" s="93">
        <v>1188</v>
      </c>
      <c r="BO23" s="95">
        <v>1190.0999999999999</v>
      </c>
      <c r="BP23" s="88">
        <v>1457.5</v>
      </c>
      <c r="BQ23" s="89">
        <v>1461.4</v>
      </c>
      <c r="BR23" s="14">
        <v>1562.5</v>
      </c>
      <c r="BS23" s="15">
        <v>1564.9</v>
      </c>
      <c r="BT23" s="12">
        <v>1997.6</v>
      </c>
      <c r="BU23" s="57">
        <v>2112.5</v>
      </c>
      <c r="BV23" s="57">
        <v>2290.5</v>
      </c>
      <c r="BW23" s="13">
        <v>2411.4</v>
      </c>
      <c r="BX23" s="14">
        <v>2776.4</v>
      </c>
      <c r="BY23" s="15">
        <v>2783.5</v>
      </c>
      <c r="BZ23" s="88">
        <v>2960.1</v>
      </c>
      <c r="CA23" s="89">
        <v>3237.3</v>
      </c>
      <c r="CB23" s="14">
        <v>3552.2</v>
      </c>
      <c r="CC23" s="15">
        <v>3554.8</v>
      </c>
      <c r="CD23" s="24">
        <v>4197.7</v>
      </c>
      <c r="CE23" s="25">
        <v>4357.6000000000004</v>
      </c>
      <c r="CF23" s="14">
        <v>4446.7</v>
      </c>
      <c r="CG23" s="15">
        <v>5376.7</v>
      </c>
      <c r="CH23" s="15">
        <v>5376.8</v>
      </c>
      <c r="CI23" s="15">
        <v>5376.9</v>
      </c>
      <c r="CJ23" s="88">
        <v>6257.9</v>
      </c>
      <c r="CK23" s="89">
        <v>6272.5</v>
      </c>
      <c r="CL23" s="14">
        <v>6282.9</v>
      </c>
      <c r="CM23" s="15">
        <v>6618.6</v>
      </c>
      <c r="CN23" s="24">
        <v>7732.8</v>
      </c>
      <c r="CO23" s="25">
        <v>8095.9</v>
      </c>
      <c r="CP23" s="28"/>
      <c r="CQ23" s="29"/>
    </row>
    <row r="24" spans="1:95" x14ac:dyDescent="0.55000000000000004">
      <c r="A24" s="7">
        <v>22</v>
      </c>
      <c r="B24" s="16">
        <v>101.7</v>
      </c>
      <c r="C24" s="17">
        <v>102</v>
      </c>
      <c r="D24" s="18">
        <v>102.1</v>
      </c>
      <c r="E24" s="19">
        <v>105.4</v>
      </c>
      <c r="F24" s="16">
        <v>117</v>
      </c>
      <c r="G24" s="17">
        <v>117.5</v>
      </c>
      <c r="H24" s="18">
        <v>121.7</v>
      </c>
      <c r="I24" s="19">
        <v>131.19999999999999</v>
      </c>
      <c r="J24" s="16">
        <v>126</v>
      </c>
      <c r="K24" s="17">
        <v>126.1</v>
      </c>
      <c r="L24" s="18">
        <v>130.6</v>
      </c>
      <c r="M24" s="19">
        <v>133.69999999999999</v>
      </c>
      <c r="N24" s="16">
        <v>133.69999999999999</v>
      </c>
      <c r="O24" s="17">
        <v>133.69999999999999</v>
      </c>
      <c r="P24" s="18">
        <v>134.6</v>
      </c>
      <c r="Q24" s="19">
        <v>137.1</v>
      </c>
      <c r="R24" s="16">
        <v>163.6</v>
      </c>
      <c r="S24" s="17">
        <v>167.3</v>
      </c>
      <c r="T24" s="18">
        <v>175.1</v>
      </c>
      <c r="U24" s="19">
        <v>175.3</v>
      </c>
      <c r="V24" s="16">
        <v>189.8</v>
      </c>
      <c r="W24" s="17">
        <v>190</v>
      </c>
      <c r="X24" s="18">
        <v>190.1</v>
      </c>
      <c r="Y24" s="19">
        <v>190.1</v>
      </c>
      <c r="Z24" s="16">
        <v>191</v>
      </c>
      <c r="AA24" s="17">
        <v>185.9</v>
      </c>
      <c r="AB24" s="18">
        <v>162.4</v>
      </c>
      <c r="AC24" s="19">
        <v>162.5</v>
      </c>
      <c r="AD24" s="16"/>
      <c r="AE24" s="17"/>
      <c r="AF24" s="18"/>
      <c r="AG24" s="19"/>
      <c r="AH24" s="16"/>
      <c r="AI24" s="17"/>
      <c r="AJ24" s="18"/>
      <c r="AK24" s="19"/>
      <c r="AL24" s="16"/>
      <c r="AM24" s="17"/>
      <c r="AN24" s="18"/>
      <c r="AO24" s="19">
        <v>412.1</v>
      </c>
      <c r="AP24" s="16">
        <v>369.5</v>
      </c>
      <c r="AQ24" s="17">
        <v>370.1</v>
      </c>
      <c r="AR24" s="18">
        <v>370.9</v>
      </c>
      <c r="AS24" s="19">
        <v>371.6</v>
      </c>
      <c r="AT24" s="16">
        <v>383.5</v>
      </c>
      <c r="AU24" s="17">
        <v>384.2</v>
      </c>
      <c r="AV24" s="18">
        <v>445.4</v>
      </c>
      <c r="AW24" s="19">
        <v>445.8</v>
      </c>
      <c r="AX24" s="12"/>
      <c r="AY24" s="13"/>
      <c r="AZ24" s="14"/>
      <c r="BA24" s="15"/>
      <c r="BB24" s="12">
        <v>439.9</v>
      </c>
      <c r="BC24" s="13">
        <v>440.4</v>
      </c>
      <c r="BD24" s="14">
        <v>420.1</v>
      </c>
      <c r="BE24" s="15">
        <v>420.4</v>
      </c>
      <c r="BF24" s="12">
        <v>438.7</v>
      </c>
      <c r="BG24" s="13">
        <v>458.1</v>
      </c>
      <c r="BH24" s="14">
        <v>450.8</v>
      </c>
      <c r="BI24" s="15">
        <v>451.2</v>
      </c>
      <c r="BJ24" s="12">
        <v>506.9</v>
      </c>
      <c r="BK24" s="57"/>
      <c r="BL24" s="57"/>
      <c r="BM24" s="13"/>
      <c r="BN24" s="93">
        <v>720.2</v>
      </c>
      <c r="BO24" s="95">
        <v>764.1</v>
      </c>
      <c r="BP24" s="91">
        <v>845.8</v>
      </c>
      <c r="BQ24" s="89">
        <v>884.4</v>
      </c>
      <c r="BR24" s="14">
        <v>888.5</v>
      </c>
      <c r="BS24" s="15">
        <v>891.4</v>
      </c>
      <c r="BT24" s="12">
        <v>1087.5</v>
      </c>
      <c r="BU24" s="57">
        <v>1101.9000000000001</v>
      </c>
      <c r="BV24" s="57">
        <v>1168.4000000000001</v>
      </c>
      <c r="BW24" s="13">
        <v>1173.9000000000001</v>
      </c>
      <c r="BX24" s="14">
        <v>1379.1</v>
      </c>
      <c r="BY24" s="15">
        <v>1559.4</v>
      </c>
      <c r="BZ24" s="91">
        <v>1805.1</v>
      </c>
      <c r="CA24" s="89">
        <v>1820.1</v>
      </c>
      <c r="CB24" s="14">
        <v>1830.5</v>
      </c>
      <c r="CC24" s="15">
        <v>1850.2</v>
      </c>
      <c r="CD24" s="24">
        <v>2034.3</v>
      </c>
      <c r="CE24" s="25">
        <v>2042.4</v>
      </c>
      <c r="CF24" s="14">
        <v>2062.6999999999998</v>
      </c>
      <c r="CG24" s="15">
        <v>2077.9</v>
      </c>
      <c r="CH24" s="15">
        <v>2078.3000000000002</v>
      </c>
      <c r="CI24" s="15">
        <v>2078.6999999999998</v>
      </c>
      <c r="CJ24" s="91">
        <v>2463.5</v>
      </c>
      <c r="CK24" s="89">
        <v>2481.8000000000002</v>
      </c>
      <c r="CL24" s="14">
        <v>2489.6</v>
      </c>
      <c r="CM24" s="15">
        <v>2834.3</v>
      </c>
      <c r="CN24" s="24">
        <v>2928.4</v>
      </c>
      <c r="CO24" s="25">
        <v>2952.3</v>
      </c>
      <c r="CP24" s="28"/>
      <c r="CQ24" s="29"/>
    </row>
    <row r="25" spans="1:95" x14ac:dyDescent="0.55000000000000004">
      <c r="A25" s="7">
        <v>23</v>
      </c>
      <c r="B25" s="16">
        <v>134</v>
      </c>
      <c r="C25" s="17">
        <v>134.6</v>
      </c>
      <c r="D25" s="18">
        <v>134.80000000000001</v>
      </c>
      <c r="E25" s="19">
        <v>135.1</v>
      </c>
      <c r="F25" s="16">
        <v>143.6</v>
      </c>
      <c r="G25" s="17">
        <v>144.1</v>
      </c>
      <c r="H25" s="18">
        <v>144.4</v>
      </c>
      <c r="I25" s="19">
        <v>144.4</v>
      </c>
      <c r="J25" s="16">
        <v>151.30000000000001</v>
      </c>
      <c r="K25" s="17">
        <v>151.5</v>
      </c>
      <c r="L25" s="18">
        <v>152.19999999999999</v>
      </c>
      <c r="M25" s="19">
        <v>152.30000000000001</v>
      </c>
      <c r="N25" s="16">
        <v>158.1</v>
      </c>
      <c r="O25" s="17">
        <v>158.1</v>
      </c>
      <c r="P25" s="18">
        <v>163.6</v>
      </c>
      <c r="Q25" s="19">
        <v>170.3</v>
      </c>
      <c r="R25" s="16">
        <v>199.8</v>
      </c>
      <c r="S25" s="17">
        <v>200.1</v>
      </c>
      <c r="T25" s="18">
        <v>200.7</v>
      </c>
      <c r="U25" s="19">
        <v>201.3</v>
      </c>
      <c r="V25" s="16">
        <v>203</v>
      </c>
      <c r="W25" s="17">
        <v>203.4</v>
      </c>
      <c r="X25" s="18">
        <v>203.1</v>
      </c>
      <c r="Y25" s="19">
        <v>203.1</v>
      </c>
      <c r="Z25" s="16">
        <v>203.9</v>
      </c>
      <c r="AA25" s="17">
        <v>204.2</v>
      </c>
      <c r="AB25" s="18">
        <v>204.4</v>
      </c>
      <c r="AC25" s="19">
        <v>204.5</v>
      </c>
      <c r="AD25" s="16"/>
      <c r="AE25" s="17"/>
      <c r="AF25" s="18"/>
      <c r="AG25" s="19"/>
      <c r="AH25" s="16"/>
      <c r="AI25" s="17"/>
      <c r="AJ25" s="18"/>
      <c r="AK25" s="19"/>
      <c r="AL25" s="16"/>
      <c r="AM25" s="17">
        <f ca="1">_xlfn.SHEET()</f>
        <v>6</v>
      </c>
      <c r="AN25" s="18"/>
      <c r="AO25" s="19">
        <v>478.8</v>
      </c>
      <c r="AP25" s="16">
        <v>530</v>
      </c>
      <c r="AQ25" s="17">
        <v>532.5</v>
      </c>
      <c r="AR25" s="18">
        <v>536.20000000000005</v>
      </c>
      <c r="AS25" s="19">
        <v>539.4</v>
      </c>
      <c r="AT25" s="16">
        <v>600</v>
      </c>
      <c r="AU25" s="17">
        <v>602.9</v>
      </c>
      <c r="AV25" s="18">
        <v>605.79999999999995</v>
      </c>
      <c r="AW25" s="19">
        <v>607.5</v>
      </c>
      <c r="AX25" s="12"/>
      <c r="AY25" s="13"/>
      <c r="AZ25" s="14"/>
      <c r="BA25" s="15"/>
      <c r="BB25" s="12">
        <v>639.20000000000005</v>
      </c>
      <c r="BC25" s="13">
        <v>641.29999999999995</v>
      </c>
      <c r="BD25" s="14">
        <v>665.2</v>
      </c>
      <c r="BE25" s="15">
        <v>671.1</v>
      </c>
      <c r="BF25" s="12">
        <v>734.2</v>
      </c>
      <c r="BG25" s="13">
        <v>760.2</v>
      </c>
      <c r="BH25" s="14">
        <v>786.9</v>
      </c>
      <c r="BI25" s="15">
        <v>812.5</v>
      </c>
      <c r="BJ25" s="12">
        <v>932.9</v>
      </c>
      <c r="BK25" s="57"/>
      <c r="BL25" s="57"/>
      <c r="BM25" s="13"/>
      <c r="BN25" s="93">
        <v>1524.3</v>
      </c>
      <c r="BO25" s="95">
        <v>1534.8</v>
      </c>
      <c r="BP25" s="91">
        <v>1778.3</v>
      </c>
      <c r="BQ25" s="89">
        <v>1644.5</v>
      </c>
      <c r="BR25" s="14">
        <v>1872.4</v>
      </c>
      <c r="BS25" s="15">
        <v>2007.1</v>
      </c>
      <c r="BT25" s="12">
        <v>2224.9</v>
      </c>
      <c r="BU25" s="57">
        <v>2626.5</v>
      </c>
      <c r="BV25" s="57">
        <v>2902.4</v>
      </c>
      <c r="BW25" s="13">
        <v>3397.8</v>
      </c>
      <c r="BX25" s="14">
        <v>3926.2</v>
      </c>
      <c r="BY25" s="15">
        <v>3776</v>
      </c>
      <c r="BZ25" s="91">
        <v>4158.7</v>
      </c>
      <c r="CA25" s="89">
        <v>4216.8</v>
      </c>
      <c r="CB25" s="14">
        <v>4262</v>
      </c>
      <c r="CC25" s="15">
        <v>4312.1000000000004</v>
      </c>
      <c r="CD25" s="24">
        <v>4903</v>
      </c>
      <c r="CE25" s="25">
        <v>5172.6000000000004</v>
      </c>
      <c r="CF25" s="14">
        <v>5279.9</v>
      </c>
      <c r="CG25" s="15">
        <v>5750.9</v>
      </c>
      <c r="CH25" s="15">
        <v>5752.5</v>
      </c>
      <c r="CI25" s="15">
        <v>5753.8</v>
      </c>
      <c r="CJ25" s="91">
        <v>6047.8</v>
      </c>
      <c r="CK25" s="89">
        <v>6121.3</v>
      </c>
      <c r="CL25" s="14">
        <v>7241.3</v>
      </c>
      <c r="CM25" s="15">
        <v>7281.3</v>
      </c>
      <c r="CN25" s="24">
        <v>8676.2999999999993</v>
      </c>
      <c r="CO25" s="25">
        <v>8425.4</v>
      </c>
      <c r="CP25" s="28"/>
      <c r="CQ25" s="29"/>
    </row>
    <row r="26" spans="1:95" x14ac:dyDescent="0.55000000000000004">
      <c r="A26" s="7">
        <v>24</v>
      </c>
      <c r="B26" s="16">
        <v>101</v>
      </c>
      <c r="C26" s="17">
        <v>101.4</v>
      </c>
      <c r="D26" s="18">
        <v>101.6</v>
      </c>
      <c r="E26" s="19">
        <v>101.8</v>
      </c>
      <c r="F26" s="16">
        <v>110.2</v>
      </c>
      <c r="G26" s="17">
        <v>114.6</v>
      </c>
      <c r="H26" s="18">
        <v>117.1</v>
      </c>
      <c r="I26" s="19">
        <v>117.1</v>
      </c>
      <c r="J26" s="16">
        <v>122.5</v>
      </c>
      <c r="K26" s="17">
        <v>122.7</v>
      </c>
      <c r="L26" s="18">
        <v>123</v>
      </c>
      <c r="M26" s="19">
        <v>123.1</v>
      </c>
      <c r="N26" s="16">
        <v>136.69999999999999</v>
      </c>
      <c r="O26" s="17">
        <v>147.4</v>
      </c>
      <c r="P26" s="18">
        <v>151.4</v>
      </c>
      <c r="Q26" s="19">
        <v>154.9</v>
      </c>
      <c r="R26" s="16">
        <v>167.3</v>
      </c>
      <c r="S26" s="17">
        <v>172.3</v>
      </c>
      <c r="T26" s="18">
        <v>178.8</v>
      </c>
      <c r="U26" s="19">
        <v>180.1</v>
      </c>
      <c r="V26" s="16">
        <v>208.9</v>
      </c>
      <c r="W26" s="17">
        <v>210</v>
      </c>
      <c r="X26" s="18">
        <v>216.1</v>
      </c>
      <c r="Y26" s="19">
        <v>216.2</v>
      </c>
      <c r="Z26" s="16">
        <v>217.7</v>
      </c>
      <c r="AA26" s="17">
        <v>217.9</v>
      </c>
      <c r="AB26" s="18">
        <v>218.4</v>
      </c>
      <c r="AC26" s="19">
        <v>223.9</v>
      </c>
      <c r="AD26" s="16"/>
      <c r="AE26" s="17"/>
      <c r="AF26" s="18"/>
      <c r="AG26" s="19"/>
      <c r="AH26" s="16"/>
      <c r="AI26" s="17"/>
      <c r="AJ26" s="18"/>
      <c r="AK26" s="19"/>
      <c r="AL26" s="16"/>
      <c r="AM26" s="17"/>
      <c r="AN26" s="18"/>
      <c r="AO26" s="19">
        <v>346.4</v>
      </c>
      <c r="AP26" s="16">
        <v>372</v>
      </c>
      <c r="AQ26" s="17">
        <v>383</v>
      </c>
      <c r="AR26" s="18">
        <v>426.3</v>
      </c>
      <c r="AS26" s="19">
        <v>427.7</v>
      </c>
      <c r="AT26" s="16">
        <v>452.9</v>
      </c>
      <c r="AU26" s="17">
        <v>454</v>
      </c>
      <c r="AV26" s="18">
        <v>464.6</v>
      </c>
      <c r="AW26" s="19">
        <v>465.5</v>
      </c>
      <c r="AX26" s="12"/>
      <c r="AY26" s="13"/>
      <c r="AZ26" s="14"/>
      <c r="BA26" s="15"/>
      <c r="BB26" s="12">
        <v>520.29999999999995</v>
      </c>
      <c r="BC26" s="13">
        <v>521</v>
      </c>
      <c r="BD26" s="14">
        <v>528</v>
      </c>
      <c r="BE26" s="15">
        <v>530.20000000000005</v>
      </c>
      <c r="BF26" s="12">
        <v>548.4</v>
      </c>
      <c r="BG26" s="13">
        <v>549</v>
      </c>
      <c r="BH26" s="14">
        <v>574</v>
      </c>
      <c r="BI26" s="15">
        <v>574.79999999999995</v>
      </c>
      <c r="BJ26" s="12">
        <v>630.5</v>
      </c>
      <c r="BK26" s="57"/>
      <c r="BL26" s="57"/>
      <c r="BM26" s="13"/>
      <c r="BN26" s="93">
        <v>891.9</v>
      </c>
      <c r="BO26" s="94">
        <v>895.5</v>
      </c>
      <c r="BP26" s="96">
        <v>1128</v>
      </c>
      <c r="BQ26" s="13">
        <v>1098.9000000000001</v>
      </c>
      <c r="BR26" s="14">
        <v>1193.2</v>
      </c>
      <c r="BS26" s="15">
        <v>1208.2</v>
      </c>
      <c r="BT26" s="12">
        <v>1475.3</v>
      </c>
      <c r="BU26" s="57">
        <v>1747.2</v>
      </c>
      <c r="BV26" s="57">
        <v>1860.1</v>
      </c>
      <c r="BW26" s="13">
        <v>1902.5</v>
      </c>
      <c r="BX26" s="14">
        <v>2421.6999999999998</v>
      </c>
      <c r="BY26" s="15">
        <v>2433.4</v>
      </c>
      <c r="BZ26" s="96">
        <v>3057.2</v>
      </c>
      <c r="CA26" s="13">
        <v>3171.3</v>
      </c>
      <c r="CB26" s="14">
        <v>3221.6</v>
      </c>
      <c r="CC26" s="15">
        <v>3336.1</v>
      </c>
      <c r="CD26" s="24">
        <v>4047.7</v>
      </c>
      <c r="CE26" s="25">
        <v>4079.8</v>
      </c>
      <c r="CF26" s="14">
        <v>4420.2</v>
      </c>
      <c r="CG26" s="15">
        <v>4794.3999999999996</v>
      </c>
      <c r="CH26" s="15">
        <v>4795</v>
      </c>
      <c r="CI26" s="15">
        <v>4795.8</v>
      </c>
      <c r="CJ26" s="96">
        <v>5220.2</v>
      </c>
      <c r="CK26" s="13">
        <v>5430.6</v>
      </c>
      <c r="CL26" s="14">
        <v>5472.1</v>
      </c>
      <c r="CM26" s="15">
        <v>5489.9</v>
      </c>
      <c r="CN26" s="24">
        <v>6138.6</v>
      </c>
      <c r="CO26" s="25">
        <v>6186.2</v>
      </c>
      <c r="CP26" s="28"/>
      <c r="CQ26" s="29"/>
    </row>
    <row r="27" spans="1:95" x14ac:dyDescent="0.55000000000000004">
      <c r="A27" s="7">
        <v>25</v>
      </c>
      <c r="B27" s="16">
        <v>108.6</v>
      </c>
      <c r="C27" s="17">
        <v>109.8</v>
      </c>
      <c r="D27" s="18">
        <v>110.5</v>
      </c>
      <c r="E27" s="19">
        <v>111.1</v>
      </c>
      <c r="F27" s="16">
        <v>106.1</v>
      </c>
      <c r="G27" s="17">
        <v>107.2</v>
      </c>
      <c r="H27" s="18">
        <v>109.6</v>
      </c>
      <c r="I27" s="19">
        <v>109.6</v>
      </c>
      <c r="J27" s="16">
        <v>116.7</v>
      </c>
      <c r="K27" s="17">
        <v>117.1</v>
      </c>
      <c r="L27" s="18">
        <v>117.1</v>
      </c>
      <c r="M27" s="19">
        <v>117.4</v>
      </c>
      <c r="N27" s="16">
        <v>125.7</v>
      </c>
      <c r="O27" s="17">
        <v>125.7</v>
      </c>
      <c r="P27" s="18">
        <v>129.9</v>
      </c>
      <c r="Q27" s="19">
        <v>130.1</v>
      </c>
      <c r="R27" s="16">
        <v>149.6</v>
      </c>
      <c r="S27" s="17">
        <v>150.4</v>
      </c>
      <c r="T27" s="18">
        <v>153.1</v>
      </c>
      <c r="U27" s="19">
        <v>156.80000000000001</v>
      </c>
      <c r="V27" s="16">
        <v>166.1</v>
      </c>
      <c r="W27" s="17">
        <v>166.8</v>
      </c>
      <c r="X27" s="18">
        <v>172.8</v>
      </c>
      <c r="Y27" s="19">
        <v>171.8</v>
      </c>
      <c r="Z27" s="16">
        <v>181</v>
      </c>
      <c r="AA27" s="17">
        <v>184.3</v>
      </c>
      <c r="AB27" s="18">
        <v>185.4</v>
      </c>
      <c r="AC27" s="19">
        <v>185.6</v>
      </c>
      <c r="AD27" s="16"/>
      <c r="AE27" s="17"/>
      <c r="AF27" s="18"/>
      <c r="AG27" s="19"/>
      <c r="AH27" s="16"/>
      <c r="AI27" s="17"/>
      <c r="AJ27" s="18"/>
      <c r="AK27" s="19"/>
      <c r="AL27" s="16"/>
      <c r="AM27" s="17"/>
      <c r="AN27" s="18"/>
      <c r="AO27" s="19">
        <v>313.5</v>
      </c>
      <c r="AP27" s="16">
        <v>330</v>
      </c>
      <c r="AQ27" s="17">
        <v>331.3</v>
      </c>
      <c r="AR27" s="18">
        <v>332.7</v>
      </c>
      <c r="AS27" s="19">
        <v>335.1</v>
      </c>
      <c r="AT27" s="16">
        <v>349.8</v>
      </c>
      <c r="AU27" s="17">
        <v>351.9</v>
      </c>
      <c r="AV27" s="18">
        <v>355.1</v>
      </c>
      <c r="AW27" s="19">
        <v>356.5</v>
      </c>
      <c r="AX27" s="12"/>
      <c r="AY27" s="13"/>
      <c r="AZ27" s="14"/>
      <c r="BA27" s="15"/>
      <c r="BB27" s="12">
        <v>381.1</v>
      </c>
      <c r="BC27" s="13">
        <v>382.4</v>
      </c>
      <c r="BD27" s="14">
        <v>386.9</v>
      </c>
      <c r="BE27" s="15">
        <v>388</v>
      </c>
      <c r="BF27" s="12">
        <v>414</v>
      </c>
      <c r="BG27" s="13">
        <v>424.1</v>
      </c>
      <c r="BH27" s="14">
        <v>435.6</v>
      </c>
      <c r="BI27" s="15">
        <v>437.5</v>
      </c>
      <c r="BJ27" s="12">
        <v>489.1</v>
      </c>
      <c r="BK27" s="57"/>
      <c r="BL27" s="57"/>
      <c r="BM27" s="13"/>
      <c r="BN27" s="93">
        <v>543.9</v>
      </c>
      <c r="BO27" s="94">
        <v>549.4</v>
      </c>
      <c r="BP27" s="91">
        <v>603.70000000000005</v>
      </c>
      <c r="BQ27" s="92">
        <v>612.79999999999995</v>
      </c>
      <c r="BR27" s="14">
        <v>623.4</v>
      </c>
      <c r="BS27" s="15">
        <v>632.70000000000005</v>
      </c>
      <c r="BT27" s="12">
        <v>697.2</v>
      </c>
      <c r="BU27" s="57">
        <v>758.4</v>
      </c>
      <c r="BV27" s="57">
        <v>761.9</v>
      </c>
      <c r="BW27" s="13">
        <v>778.6</v>
      </c>
      <c r="BX27" s="14">
        <v>1090</v>
      </c>
      <c r="BY27" s="15">
        <v>1159.9000000000001</v>
      </c>
      <c r="BZ27" s="91">
        <v>1651.9</v>
      </c>
      <c r="CA27" s="92">
        <v>1731.4</v>
      </c>
      <c r="CB27" s="14">
        <v>1730.7</v>
      </c>
      <c r="CC27" s="15">
        <v>1758.8</v>
      </c>
      <c r="CD27" s="24">
        <v>2159.8000000000002</v>
      </c>
      <c r="CE27" s="25">
        <v>2248.6999999999998</v>
      </c>
      <c r="CF27" s="14">
        <v>2715.7</v>
      </c>
      <c r="CG27" s="15">
        <v>2840.7</v>
      </c>
      <c r="CH27" s="15">
        <v>2848</v>
      </c>
      <c r="CI27" s="15">
        <v>3389.7</v>
      </c>
      <c r="CJ27" s="91">
        <v>3762.9</v>
      </c>
      <c r="CK27" s="92">
        <v>3927.5</v>
      </c>
      <c r="CL27" s="14">
        <v>4335.2</v>
      </c>
      <c r="CM27" s="15">
        <v>4384.8999999999996</v>
      </c>
      <c r="CN27" s="24">
        <v>4902.5</v>
      </c>
      <c r="CO27" s="25">
        <v>5085.2</v>
      </c>
      <c r="CP27" s="28"/>
      <c r="CQ27" s="29"/>
    </row>
    <row r="28" spans="1:95" x14ac:dyDescent="0.55000000000000004">
      <c r="A28" s="7">
        <v>26</v>
      </c>
      <c r="B28" s="16"/>
      <c r="C28" s="17"/>
      <c r="D28" s="18"/>
      <c r="E28" s="19"/>
      <c r="F28" s="16"/>
      <c r="G28" s="17"/>
      <c r="H28" s="18"/>
      <c r="I28" s="19"/>
      <c r="J28" s="16"/>
      <c r="K28" s="17"/>
      <c r="L28" s="18"/>
      <c r="M28" s="19"/>
      <c r="N28" s="8"/>
      <c r="O28" s="9"/>
      <c r="P28" s="10"/>
      <c r="Q28" s="11"/>
      <c r="R28" s="16"/>
      <c r="S28" s="17"/>
      <c r="T28" s="18"/>
      <c r="U28" s="19"/>
      <c r="V28" s="16"/>
      <c r="W28" s="17"/>
      <c r="X28" s="18"/>
      <c r="Y28" s="19"/>
      <c r="Z28" s="16"/>
      <c r="AA28" s="17"/>
      <c r="AB28" s="18"/>
      <c r="AC28" s="19"/>
      <c r="AD28" s="16"/>
      <c r="AE28" s="17"/>
      <c r="AF28" s="18"/>
      <c r="AG28" s="19"/>
      <c r="AH28" s="16"/>
      <c r="AI28" s="17"/>
      <c r="AJ28" s="18"/>
      <c r="AK28" s="19"/>
      <c r="AL28" s="16"/>
      <c r="AM28" s="17"/>
      <c r="AN28" s="18"/>
      <c r="AO28" s="19"/>
      <c r="AP28" s="16"/>
      <c r="AQ28" s="17"/>
      <c r="AR28" s="18"/>
      <c r="AS28" s="19"/>
      <c r="AT28" s="16"/>
      <c r="AU28" s="17"/>
      <c r="AV28" s="18"/>
      <c r="AW28" s="19"/>
      <c r="AX28" s="12"/>
      <c r="AY28" s="13"/>
      <c r="AZ28" s="14"/>
      <c r="BA28" s="15"/>
      <c r="BB28" s="12"/>
      <c r="BC28" s="13"/>
      <c r="BD28" s="14"/>
      <c r="BE28" s="15"/>
      <c r="BF28" s="12"/>
      <c r="BG28" s="13"/>
      <c r="BH28" s="14"/>
      <c r="BI28" s="15"/>
      <c r="BJ28" s="12"/>
      <c r="BK28" s="57"/>
      <c r="BL28" s="57"/>
      <c r="BM28" s="13"/>
      <c r="BN28" s="14" t="s">
        <v>17</v>
      </c>
      <c r="BP28" s="12" t="s">
        <v>17</v>
      </c>
      <c r="BQ28" s="13" t="s">
        <v>17</v>
      </c>
      <c r="BR28" s="14"/>
      <c r="BS28" s="15"/>
      <c r="BT28" s="12">
        <v>0</v>
      </c>
      <c r="BU28" s="57">
        <v>0</v>
      </c>
      <c r="BV28" s="57">
        <v>0</v>
      </c>
      <c r="BW28" s="13">
        <v>0</v>
      </c>
      <c r="BX28" s="14"/>
      <c r="BY28" s="15"/>
      <c r="BZ28" s="12"/>
      <c r="CA28" s="13"/>
      <c r="CC28" s="15"/>
      <c r="CD28" s="24"/>
      <c r="CE28" s="25"/>
      <c r="CF28" s="169"/>
      <c r="CG28" s="170"/>
      <c r="CH28" s="170"/>
      <c r="CI28" s="170"/>
      <c r="CJ28" s="12"/>
      <c r="CK28" s="13"/>
      <c r="CM28" s="15"/>
      <c r="CN28" s="24"/>
      <c r="CQ28" s="29"/>
    </row>
    <row r="29" spans="1:95" x14ac:dyDescent="0.55000000000000004">
      <c r="A29" s="7">
        <v>27</v>
      </c>
      <c r="B29" s="16">
        <v>105.1</v>
      </c>
      <c r="C29" s="17">
        <v>105.3</v>
      </c>
      <c r="D29" s="18">
        <v>105.4</v>
      </c>
      <c r="E29" s="19">
        <v>105.5</v>
      </c>
      <c r="F29" s="16">
        <v>106.3</v>
      </c>
      <c r="G29" s="17">
        <v>106.5</v>
      </c>
      <c r="H29" s="18">
        <v>106.6</v>
      </c>
      <c r="I29" s="19">
        <v>106.6</v>
      </c>
      <c r="J29" s="16">
        <v>107</v>
      </c>
      <c r="K29" s="17">
        <v>107.1</v>
      </c>
      <c r="L29" s="18">
        <v>107.2</v>
      </c>
      <c r="M29" s="19">
        <v>107.2</v>
      </c>
      <c r="N29" s="16">
        <v>124.7</v>
      </c>
      <c r="O29" s="17">
        <v>124.7</v>
      </c>
      <c r="P29" s="18">
        <v>127.8</v>
      </c>
      <c r="Q29" s="19">
        <v>131.80000000000001</v>
      </c>
      <c r="R29" s="16">
        <v>138.80000000000001</v>
      </c>
      <c r="S29" s="17">
        <v>138.9</v>
      </c>
      <c r="T29" s="18">
        <v>141.30000000000001</v>
      </c>
      <c r="U29" s="19">
        <v>149.4</v>
      </c>
      <c r="V29" s="16">
        <v>168.1</v>
      </c>
      <c r="W29" s="17">
        <v>168.2</v>
      </c>
      <c r="X29" s="18">
        <v>168.4</v>
      </c>
      <c r="Y29" s="19">
        <v>168.5</v>
      </c>
      <c r="Z29" s="16">
        <v>169.8</v>
      </c>
      <c r="AA29" s="17">
        <v>173</v>
      </c>
      <c r="AB29" s="18">
        <v>173.2</v>
      </c>
      <c r="AC29" s="19">
        <v>173.4</v>
      </c>
      <c r="AD29" s="16"/>
      <c r="AE29" s="17"/>
      <c r="AF29" s="18"/>
      <c r="AG29" s="19"/>
      <c r="AH29" s="16"/>
      <c r="AI29" s="17"/>
      <c r="AJ29" s="18"/>
      <c r="AK29" s="19"/>
      <c r="AL29" s="16"/>
      <c r="AM29" s="17"/>
      <c r="AN29" s="18"/>
      <c r="AO29" s="19">
        <v>465.2</v>
      </c>
      <c r="AP29" s="16">
        <v>467.5</v>
      </c>
      <c r="AQ29" s="17">
        <v>468</v>
      </c>
      <c r="AR29" s="18">
        <v>468.7</v>
      </c>
      <c r="AS29" s="19">
        <v>469.4</v>
      </c>
      <c r="AT29" s="16">
        <v>495</v>
      </c>
      <c r="AU29" s="17">
        <v>495.5</v>
      </c>
      <c r="AV29" s="18">
        <v>518.1</v>
      </c>
      <c r="AW29" s="19">
        <v>518.5</v>
      </c>
      <c r="AX29" s="12"/>
      <c r="AY29" s="13"/>
      <c r="AZ29" s="14"/>
      <c r="BA29" s="15"/>
      <c r="BB29" s="12">
        <v>524.29999999999995</v>
      </c>
      <c r="BC29" s="13">
        <v>524.6</v>
      </c>
      <c r="BD29" s="14">
        <v>549.4</v>
      </c>
      <c r="BE29" s="15">
        <v>549.70000000000005</v>
      </c>
      <c r="BF29" s="12">
        <v>578.29999999999995</v>
      </c>
      <c r="BG29" s="13">
        <v>604.20000000000005</v>
      </c>
      <c r="BH29" s="14">
        <v>656.2</v>
      </c>
      <c r="BI29" s="15">
        <v>682.3</v>
      </c>
      <c r="BJ29" s="12">
        <v>803.5</v>
      </c>
      <c r="BK29" s="57"/>
      <c r="BL29" s="57"/>
      <c r="BM29" s="13"/>
      <c r="BN29" s="87">
        <v>1072.4000000000001</v>
      </c>
      <c r="BO29" s="95">
        <v>1074.0999999999999</v>
      </c>
      <c r="BP29" s="88">
        <v>1186.4000000000001</v>
      </c>
      <c r="BQ29" s="89">
        <v>1189.5999999999999</v>
      </c>
      <c r="BR29" s="14">
        <v>1293.5</v>
      </c>
      <c r="BS29" s="15">
        <v>1397.9</v>
      </c>
      <c r="BT29" s="12">
        <v>1803.3</v>
      </c>
      <c r="BU29" s="57">
        <v>1915.4</v>
      </c>
      <c r="BV29" s="57">
        <v>2076.4</v>
      </c>
      <c r="BW29" s="13">
        <v>2205.6</v>
      </c>
      <c r="BX29" s="14">
        <v>2432.4</v>
      </c>
      <c r="BY29" s="15">
        <v>24380</v>
      </c>
      <c r="BZ29" s="88">
        <v>2774.3</v>
      </c>
      <c r="CA29" s="89">
        <v>3016.1</v>
      </c>
      <c r="CB29" s="14">
        <v>3109.8</v>
      </c>
      <c r="CC29" s="15">
        <v>3112.3</v>
      </c>
      <c r="CD29" s="24">
        <v>3661.3</v>
      </c>
      <c r="CE29" s="25">
        <v>3666.4</v>
      </c>
      <c r="CF29" s="14">
        <v>3673.7</v>
      </c>
      <c r="CG29" s="15">
        <v>4315.3</v>
      </c>
      <c r="CH29" s="15">
        <v>4315.3</v>
      </c>
      <c r="CI29" s="15">
        <v>4315.3</v>
      </c>
      <c r="CJ29" s="88">
        <v>5020.6000000000004</v>
      </c>
      <c r="CK29" s="89">
        <v>5031.7</v>
      </c>
      <c r="CL29" s="14">
        <v>5035.3</v>
      </c>
      <c r="CM29" s="15">
        <v>5293</v>
      </c>
      <c r="CN29" s="24">
        <v>6253</v>
      </c>
      <c r="CO29" s="25">
        <v>6611.2</v>
      </c>
      <c r="CP29" s="28"/>
      <c r="CQ29" s="29"/>
    </row>
    <row r="30" spans="1:95" x14ac:dyDescent="0.55000000000000004">
      <c r="A30" s="7">
        <v>28</v>
      </c>
      <c r="B30" s="16">
        <v>107.7</v>
      </c>
      <c r="C30" s="17">
        <v>108.1</v>
      </c>
      <c r="D30" s="18">
        <v>110.3</v>
      </c>
      <c r="E30" s="19">
        <v>110.5</v>
      </c>
      <c r="F30" s="16">
        <v>135.80000000000001</v>
      </c>
      <c r="G30" s="17">
        <v>136.19999999999999</v>
      </c>
      <c r="H30" s="18">
        <v>156.30000000000001</v>
      </c>
      <c r="I30" s="19">
        <v>156.30000000000001</v>
      </c>
      <c r="J30" s="16">
        <v>178.4</v>
      </c>
      <c r="K30" s="17">
        <v>178.6</v>
      </c>
      <c r="L30" s="18">
        <v>178.9</v>
      </c>
      <c r="M30" s="19">
        <v>179</v>
      </c>
      <c r="N30" s="16">
        <v>179.1</v>
      </c>
      <c r="O30" s="17">
        <v>179.1</v>
      </c>
      <c r="P30" s="18">
        <v>180.8</v>
      </c>
      <c r="Q30" s="19">
        <v>180.8</v>
      </c>
      <c r="R30" s="16">
        <v>196.6</v>
      </c>
      <c r="S30" s="17">
        <v>196.9</v>
      </c>
      <c r="T30" s="18">
        <v>197.5</v>
      </c>
      <c r="U30" s="19">
        <v>198</v>
      </c>
      <c r="V30" s="16">
        <v>280.89999999999998</v>
      </c>
      <c r="W30" s="17">
        <v>281.10000000000002</v>
      </c>
      <c r="X30" s="18">
        <v>212.1</v>
      </c>
      <c r="Y30" s="19">
        <v>212.2</v>
      </c>
      <c r="Z30" s="16">
        <v>277.8</v>
      </c>
      <c r="AA30" s="17">
        <v>278.10000000000002</v>
      </c>
      <c r="AB30" s="18">
        <v>278.5</v>
      </c>
      <c r="AC30" s="19">
        <v>278.8</v>
      </c>
      <c r="AD30" s="16"/>
      <c r="AE30" s="17"/>
      <c r="AF30" s="18"/>
      <c r="AG30" s="19"/>
      <c r="AH30" s="16"/>
      <c r="AI30" s="17"/>
      <c r="AJ30" s="18"/>
      <c r="AK30" s="19"/>
      <c r="AL30" s="16"/>
      <c r="AM30" s="17"/>
      <c r="AN30" s="18"/>
      <c r="AO30" s="19">
        <v>414.6</v>
      </c>
      <c r="AP30" s="16">
        <v>456.5</v>
      </c>
      <c r="AQ30" s="17">
        <v>457.4</v>
      </c>
      <c r="AR30" s="18">
        <v>454.6</v>
      </c>
      <c r="AS30" s="19">
        <v>472.1</v>
      </c>
      <c r="AT30" s="16">
        <v>525.29999999999995</v>
      </c>
      <c r="AU30" s="17">
        <v>526.20000000000005</v>
      </c>
      <c r="AV30" s="18">
        <v>519.9</v>
      </c>
      <c r="AW30" s="19">
        <v>544.9</v>
      </c>
      <c r="AX30" s="12"/>
      <c r="AY30" s="13"/>
      <c r="AZ30" s="14"/>
      <c r="BA30" s="15"/>
      <c r="BB30" s="12">
        <v>579.79999999999995</v>
      </c>
      <c r="BC30" s="13">
        <v>580.4</v>
      </c>
      <c r="BD30" s="14">
        <v>581</v>
      </c>
      <c r="BE30" s="15">
        <v>581.6</v>
      </c>
      <c r="BF30" s="12">
        <v>586.9</v>
      </c>
      <c r="BG30" s="13">
        <v>649</v>
      </c>
      <c r="BH30" s="14">
        <v>691.4</v>
      </c>
      <c r="BI30" s="15">
        <v>692.1</v>
      </c>
      <c r="BJ30" s="12">
        <v>764</v>
      </c>
      <c r="BK30" s="57"/>
      <c r="BL30" s="57"/>
      <c r="BM30" s="13"/>
      <c r="BN30" s="87">
        <v>1022.6</v>
      </c>
      <c r="BO30" s="95">
        <v>1026.3</v>
      </c>
      <c r="BP30" s="91">
        <v>1137.9000000000001</v>
      </c>
      <c r="BQ30" s="92">
        <v>1144.0999999999999</v>
      </c>
      <c r="BR30" s="14">
        <v>1240.9000000000001</v>
      </c>
      <c r="BS30" s="15">
        <v>1338.1</v>
      </c>
      <c r="BT30" s="12">
        <v>1702.6</v>
      </c>
      <c r="BU30" s="57">
        <v>1806.3</v>
      </c>
      <c r="BV30" s="57">
        <v>1954.6</v>
      </c>
      <c r="BW30" s="13">
        <v>2059</v>
      </c>
      <c r="BX30" s="14">
        <v>2318.9</v>
      </c>
      <c r="BY30" s="15">
        <v>2330</v>
      </c>
      <c r="BZ30" s="91">
        <v>2818</v>
      </c>
      <c r="CA30" s="92">
        <v>2837.3</v>
      </c>
      <c r="CB30" s="14">
        <v>2986.7</v>
      </c>
      <c r="CC30" s="15">
        <v>2892.7</v>
      </c>
      <c r="CD30" s="24">
        <v>3536.7</v>
      </c>
      <c r="CE30" s="25">
        <v>3547.2</v>
      </c>
      <c r="CF30" s="14">
        <v>3860.9</v>
      </c>
      <c r="CG30" s="15">
        <v>4474.8</v>
      </c>
      <c r="CH30" s="15">
        <v>4474.8999999999996</v>
      </c>
      <c r="CI30" s="15">
        <v>4474.8999999999996</v>
      </c>
      <c r="CJ30" s="91">
        <v>5379</v>
      </c>
      <c r="CK30" s="92">
        <v>5602.2</v>
      </c>
      <c r="CL30" s="14">
        <v>5616.7</v>
      </c>
      <c r="CM30" s="15">
        <v>5634</v>
      </c>
      <c r="CN30" s="24">
        <v>6273.2</v>
      </c>
      <c r="CO30" s="25">
        <v>6859.4</v>
      </c>
      <c r="CP30" s="28"/>
      <c r="CQ30" s="29"/>
    </row>
    <row r="31" spans="1:95" x14ac:dyDescent="0.55000000000000004">
      <c r="A31" s="7">
        <v>29</v>
      </c>
      <c r="B31" s="16">
        <v>108.2</v>
      </c>
      <c r="C31" s="17">
        <v>109.6</v>
      </c>
      <c r="D31" s="18">
        <v>110.5</v>
      </c>
      <c r="E31" s="19">
        <v>111.6</v>
      </c>
      <c r="F31" s="16">
        <v>121.6</v>
      </c>
      <c r="G31" s="17">
        <v>124.3</v>
      </c>
      <c r="H31" s="18">
        <v>126.5</v>
      </c>
      <c r="I31" s="19">
        <v>126.5</v>
      </c>
      <c r="J31" s="16">
        <v>136.4</v>
      </c>
      <c r="K31" s="17">
        <v>139.69999999999999</v>
      </c>
      <c r="L31" s="18">
        <v>142.19999999999999</v>
      </c>
      <c r="M31" s="19">
        <v>165.1</v>
      </c>
      <c r="N31" s="16">
        <v>183.4</v>
      </c>
      <c r="O31" s="17">
        <v>191.5</v>
      </c>
      <c r="P31" s="18">
        <v>197.8</v>
      </c>
      <c r="Q31" s="19">
        <v>198.2</v>
      </c>
      <c r="R31" s="16">
        <v>209.7</v>
      </c>
      <c r="S31" s="17">
        <v>215</v>
      </c>
      <c r="T31" s="18">
        <v>222.1</v>
      </c>
      <c r="U31" s="19">
        <v>239.4</v>
      </c>
      <c r="V31" s="16">
        <v>255.1</v>
      </c>
      <c r="W31" s="17">
        <v>255.6</v>
      </c>
      <c r="X31" s="18">
        <v>262.89999999999998</v>
      </c>
      <c r="Y31" s="19">
        <v>263.39999999999998</v>
      </c>
      <c r="Z31" s="16">
        <v>272.89999999999998</v>
      </c>
      <c r="AA31" s="17">
        <v>273.5</v>
      </c>
      <c r="AB31" s="18">
        <v>273.7</v>
      </c>
      <c r="AC31" s="19">
        <v>274.7</v>
      </c>
      <c r="AD31" s="16"/>
      <c r="AE31" s="17"/>
      <c r="AF31" s="18"/>
      <c r="AG31" s="19"/>
      <c r="AH31" s="16"/>
      <c r="AI31" s="17"/>
      <c r="AJ31" s="18"/>
      <c r="AK31" s="19"/>
      <c r="AL31" s="16"/>
      <c r="AM31" s="17"/>
      <c r="AN31" s="18"/>
      <c r="AO31" s="19">
        <v>482.7</v>
      </c>
      <c r="AP31" s="16">
        <v>501.3</v>
      </c>
      <c r="AQ31" s="17">
        <v>504.7</v>
      </c>
      <c r="AR31" s="18">
        <v>510</v>
      </c>
      <c r="AS31" s="19">
        <v>511.6</v>
      </c>
      <c r="AT31" s="16">
        <v>576.9</v>
      </c>
      <c r="AU31" s="17">
        <v>579.4</v>
      </c>
      <c r="AV31" s="18">
        <v>578.9</v>
      </c>
      <c r="AW31" s="19">
        <v>580.79999999999995</v>
      </c>
      <c r="AX31" s="12"/>
      <c r="AY31" s="13"/>
      <c r="AZ31" s="14"/>
      <c r="BA31" s="15"/>
      <c r="BB31" s="12">
        <v>627.9</v>
      </c>
      <c r="BC31" s="13">
        <v>629.6</v>
      </c>
      <c r="BD31" s="14">
        <v>658.6</v>
      </c>
      <c r="BE31" s="15">
        <v>681.8</v>
      </c>
      <c r="BF31" s="12">
        <v>722.3</v>
      </c>
      <c r="BG31" s="13">
        <v>754.4</v>
      </c>
      <c r="BH31" s="14">
        <v>776.1</v>
      </c>
      <c r="BI31" s="15">
        <v>799.7</v>
      </c>
      <c r="BJ31" s="12">
        <v>889</v>
      </c>
      <c r="BK31" s="57"/>
      <c r="BL31" s="57"/>
      <c r="BM31" s="13"/>
      <c r="BN31" s="93">
        <v>1038.8</v>
      </c>
      <c r="BO31" s="95">
        <v>1099</v>
      </c>
      <c r="BP31" s="91">
        <v>1318.8</v>
      </c>
      <c r="BQ31" s="92">
        <v>1332.7</v>
      </c>
      <c r="BR31" s="14">
        <v>1378.9</v>
      </c>
      <c r="BS31" s="15">
        <v>1406.9</v>
      </c>
      <c r="BT31" s="12">
        <v>1640.9</v>
      </c>
      <c r="BU31" s="57">
        <v>1862.3</v>
      </c>
      <c r="BV31" s="57">
        <v>1949.8</v>
      </c>
      <c r="BW31" s="13">
        <v>2085.3000000000002</v>
      </c>
      <c r="BX31" s="14">
        <v>2212.5</v>
      </c>
      <c r="BY31" s="15">
        <v>2286.1999999999998</v>
      </c>
      <c r="BZ31" s="91">
        <v>2855.8</v>
      </c>
      <c r="CA31" s="92">
        <v>3057.6</v>
      </c>
      <c r="CB31" s="14">
        <v>3101.4</v>
      </c>
      <c r="CC31" s="15">
        <v>3187.2</v>
      </c>
      <c r="CD31" s="24">
        <v>3842.5</v>
      </c>
      <c r="CE31" s="25">
        <v>3901.5</v>
      </c>
      <c r="CF31" s="14">
        <v>4038.6</v>
      </c>
      <c r="CG31" s="15">
        <v>4797.7</v>
      </c>
      <c r="CH31" s="15">
        <v>4798.3</v>
      </c>
      <c r="CI31" s="15">
        <v>4799.1000000000004</v>
      </c>
      <c r="CJ31" s="91">
        <v>5371.7</v>
      </c>
      <c r="CK31" s="92">
        <v>5701.9</v>
      </c>
      <c r="CL31" s="14">
        <v>6106.9</v>
      </c>
      <c r="CM31" s="15">
        <v>6243.4</v>
      </c>
      <c r="CN31" s="24">
        <v>7058.8</v>
      </c>
      <c r="CO31" s="25">
        <v>7154</v>
      </c>
      <c r="CP31" s="28"/>
      <c r="CQ31" s="29"/>
    </row>
    <row r="32" spans="1:95" x14ac:dyDescent="0.55000000000000004">
      <c r="A32" s="7">
        <v>30</v>
      </c>
      <c r="B32" s="16">
        <v>108.6</v>
      </c>
      <c r="C32" s="17">
        <v>108.9</v>
      </c>
      <c r="D32" s="18">
        <v>117.7</v>
      </c>
      <c r="E32" s="19">
        <v>117.9</v>
      </c>
      <c r="F32" s="16">
        <v>136.9</v>
      </c>
      <c r="G32" s="17">
        <v>137.19999999999999</v>
      </c>
      <c r="H32" s="18">
        <v>145.30000000000001</v>
      </c>
      <c r="I32" s="19">
        <v>145.30000000000001</v>
      </c>
      <c r="J32" s="16">
        <v>151.30000000000001</v>
      </c>
      <c r="K32" s="17">
        <v>151.5</v>
      </c>
      <c r="L32" s="18">
        <v>159.5</v>
      </c>
      <c r="M32" s="19">
        <v>159.6</v>
      </c>
      <c r="N32" s="16">
        <v>167.1</v>
      </c>
      <c r="O32" s="17">
        <v>167.1</v>
      </c>
      <c r="P32" s="18">
        <v>193.5</v>
      </c>
      <c r="Q32" s="19">
        <v>193.5</v>
      </c>
      <c r="R32" s="16">
        <v>195.2</v>
      </c>
      <c r="S32" s="17">
        <v>213</v>
      </c>
      <c r="T32" s="18">
        <v>200</v>
      </c>
      <c r="U32" s="19">
        <v>213.5</v>
      </c>
      <c r="V32" s="16">
        <v>221.7</v>
      </c>
      <c r="W32" s="17">
        <v>249.7</v>
      </c>
      <c r="X32" s="18">
        <v>217.7</v>
      </c>
      <c r="Y32" s="19">
        <v>217.9</v>
      </c>
      <c r="Z32" s="16">
        <v>241.5</v>
      </c>
      <c r="AA32" s="17">
        <v>248.8</v>
      </c>
      <c r="AB32" s="18">
        <v>235.4</v>
      </c>
      <c r="AC32" s="19">
        <v>256.89999999999998</v>
      </c>
      <c r="AD32" s="16"/>
      <c r="AE32" s="17"/>
      <c r="AF32" s="18"/>
      <c r="AG32" s="19"/>
      <c r="AH32" s="16"/>
      <c r="AI32" s="17"/>
      <c r="AJ32" s="18"/>
      <c r="AK32" s="19"/>
      <c r="AL32" s="16"/>
      <c r="AM32" s="17"/>
      <c r="AN32" s="18"/>
      <c r="AO32" s="19">
        <v>546.79999999999995</v>
      </c>
      <c r="AP32" s="16">
        <v>510.7</v>
      </c>
      <c r="AQ32" s="17">
        <v>637.70000000000005</v>
      </c>
      <c r="AR32" s="18">
        <v>642.5</v>
      </c>
      <c r="AS32" s="19">
        <v>643.79999999999995</v>
      </c>
      <c r="AT32" s="16">
        <v>633.6</v>
      </c>
      <c r="AU32" s="17">
        <v>694.8</v>
      </c>
      <c r="AV32" s="18">
        <v>703</v>
      </c>
      <c r="AW32" s="19">
        <v>772.5</v>
      </c>
      <c r="AX32" s="12"/>
      <c r="AY32" s="13"/>
      <c r="AZ32" s="14"/>
      <c r="BA32" s="15"/>
      <c r="BB32" s="12">
        <v>753.5</v>
      </c>
      <c r="BC32" s="13">
        <v>776.4</v>
      </c>
      <c r="BD32" s="14">
        <v>898.7</v>
      </c>
      <c r="BE32" s="15">
        <v>919.2</v>
      </c>
      <c r="BF32" s="12">
        <v>969</v>
      </c>
      <c r="BG32" s="13">
        <v>1028.5999999999999</v>
      </c>
      <c r="BH32" s="14">
        <v>1059.7</v>
      </c>
      <c r="BI32" s="15">
        <v>1080.5999999999999</v>
      </c>
      <c r="BJ32" s="12">
        <v>1301.9000000000001</v>
      </c>
      <c r="BK32" s="57"/>
      <c r="BL32" s="57"/>
      <c r="BM32" s="13"/>
      <c r="BN32" s="93">
        <v>1864.1</v>
      </c>
      <c r="BO32" s="95">
        <v>1953.7</v>
      </c>
      <c r="BP32" s="91">
        <v>2214.1999999999998</v>
      </c>
      <c r="BQ32" s="89">
        <v>2294.6</v>
      </c>
      <c r="BR32" s="14">
        <v>2234.9</v>
      </c>
      <c r="BS32" s="15">
        <v>2396.8000000000002</v>
      </c>
      <c r="BT32" s="12">
        <v>2724.3</v>
      </c>
      <c r="BU32" s="57">
        <v>3407.3</v>
      </c>
      <c r="BV32" s="57">
        <v>3759.1</v>
      </c>
      <c r="BW32" s="13">
        <v>5150.8999999999996</v>
      </c>
      <c r="BX32" s="14">
        <v>4673</v>
      </c>
      <c r="BY32" s="15">
        <v>4925.8</v>
      </c>
      <c r="BZ32" s="91">
        <v>4984.3999999999996</v>
      </c>
      <c r="CA32" s="89">
        <v>5316.7</v>
      </c>
      <c r="CB32" s="14">
        <v>5443</v>
      </c>
      <c r="CC32" s="15">
        <v>5473</v>
      </c>
      <c r="CD32" s="24">
        <v>6406.3</v>
      </c>
      <c r="CE32" s="25">
        <v>6415.1</v>
      </c>
      <c r="CF32" s="14">
        <v>6979.7</v>
      </c>
      <c r="CG32" s="15">
        <v>8039.6</v>
      </c>
      <c r="CH32" s="15">
        <v>8039.7</v>
      </c>
      <c r="CI32" s="15">
        <v>8039.8</v>
      </c>
      <c r="CJ32" s="91">
        <v>8897.5</v>
      </c>
      <c r="CK32" s="89">
        <v>8917.7000000000007</v>
      </c>
      <c r="CL32" s="14">
        <v>9369.4</v>
      </c>
      <c r="CM32" s="15">
        <v>9871.2000000000007</v>
      </c>
      <c r="CN32" s="24">
        <v>11818.3</v>
      </c>
      <c r="CO32" s="25">
        <v>11848.5</v>
      </c>
      <c r="CP32" s="28"/>
      <c r="CQ32" s="29"/>
    </row>
    <row r="33" spans="1:95" x14ac:dyDescent="0.55000000000000004">
      <c r="A33" s="7">
        <v>31</v>
      </c>
      <c r="B33" s="16">
        <v>103.2</v>
      </c>
      <c r="C33" s="17">
        <v>103.3</v>
      </c>
      <c r="D33" s="18">
        <v>103.5</v>
      </c>
      <c r="E33" s="19">
        <v>103.5</v>
      </c>
      <c r="F33" s="16">
        <v>110.7</v>
      </c>
      <c r="G33" s="17">
        <v>110.9</v>
      </c>
      <c r="H33" s="18">
        <v>110.9</v>
      </c>
      <c r="I33" s="19">
        <v>110.9</v>
      </c>
      <c r="J33" s="16">
        <v>115.5</v>
      </c>
      <c r="K33" s="17">
        <v>115.6</v>
      </c>
      <c r="L33" s="18">
        <v>115.9</v>
      </c>
      <c r="M33" s="19">
        <v>116.1</v>
      </c>
      <c r="N33" s="16">
        <v>128.1</v>
      </c>
      <c r="O33" s="17">
        <v>128.1</v>
      </c>
      <c r="P33" s="18">
        <v>148.6</v>
      </c>
      <c r="Q33" s="19">
        <v>148.6</v>
      </c>
      <c r="R33" s="16">
        <v>175.9</v>
      </c>
      <c r="S33" s="17">
        <v>176</v>
      </c>
      <c r="T33" s="18">
        <v>201.6</v>
      </c>
      <c r="U33" s="19">
        <v>201.8</v>
      </c>
      <c r="V33" s="16">
        <v>231.4</v>
      </c>
      <c r="W33" s="17">
        <v>231.4</v>
      </c>
      <c r="X33" s="18">
        <v>233.5</v>
      </c>
      <c r="Y33" s="19">
        <v>233.3</v>
      </c>
      <c r="Z33" s="16">
        <v>236.6</v>
      </c>
      <c r="AA33" s="17">
        <v>236.3</v>
      </c>
      <c r="AB33" s="18">
        <v>267.2</v>
      </c>
      <c r="AC33" s="19">
        <v>267.3</v>
      </c>
      <c r="AD33" s="16"/>
      <c r="AE33" s="17"/>
      <c r="AF33" s="18"/>
      <c r="AG33" s="19"/>
      <c r="AH33" s="16"/>
      <c r="AI33" s="17"/>
      <c r="AJ33" s="18"/>
      <c r="AK33" s="19"/>
      <c r="AL33" s="16"/>
      <c r="AM33" s="17"/>
      <c r="AN33" s="18"/>
      <c r="AO33" s="19">
        <v>355.6</v>
      </c>
      <c r="AP33" s="16">
        <v>358.1</v>
      </c>
      <c r="AQ33" s="17">
        <v>358.7</v>
      </c>
      <c r="AR33" s="18">
        <v>359.4</v>
      </c>
      <c r="AS33" s="19">
        <v>360.1</v>
      </c>
      <c r="AT33" s="16">
        <v>373.7</v>
      </c>
      <c r="AU33" s="17">
        <v>374.2</v>
      </c>
      <c r="AV33" s="18">
        <v>371.6</v>
      </c>
      <c r="AW33" s="19">
        <v>372</v>
      </c>
      <c r="AX33" s="12"/>
      <c r="AY33" s="13"/>
      <c r="AZ33" s="14"/>
      <c r="BA33" s="15"/>
      <c r="BB33" s="12">
        <v>486</v>
      </c>
      <c r="BC33" s="13">
        <v>486.4</v>
      </c>
      <c r="BD33" s="14">
        <v>444.2</v>
      </c>
      <c r="BE33" s="15">
        <v>444.5</v>
      </c>
      <c r="BF33" s="12">
        <v>453.6</v>
      </c>
      <c r="BG33" s="13">
        <v>453.9</v>
      </c>
      <c r="BH33" s="14">
        <v>498.4</v>
      </c>
      <c r="BI33" s="15">
        <v>498.8</v>
      </c>
      <c r="BJ33" s="12">
        <v>535.9</v>
      </c>
      <c r="BK33" s="57"/>
      <c r="BL33" s="57"/>
      <c r="BM33" s="13"/>
      <c r="BN33" s="87">
        <v>595.4</v>
      </c>
      <c r="BO33" s="94">
        <v>597.6</v>
      </c>
      <c r="BP33" s="88">
        <v>688.5</v>
      </c>
      <c r="BQ33" s="92">
        <v>693.3</v>
      </c>
      <c r="BR33" s="14">
        <v>652.79999999999995</v>
      </c>
      <c r="BS33" s="15">
        <v>655.4</v>
      </c>
      <c r="BT33" s="12">
        <v>713.5</v>
      </c>
      <c r="BU33" s="57">
        <v>856.6</v>
      </c>
      <c r="BV33" s="57">
        <v>997.6</v>
      </c>
      <c r="BW33" s="13">
        <v>1097.4000000000001</v>
      </c>
      <c r="BX33" s="14">
        <v>1108.5999999999999</v>
      </c>
      <c r="BY33" s="15">
        <v>1115</v>
      </c>
      <c r="BZ33" s="88">
        <v>1321.3</v>
      </c>
      <c r="CA33" s="92">
        <v>1339.7</v>
      </c>
      <c r="CB33" s="14">
        <v>1449.3</v>
      </c>
      <c r="CC33" s="15">
        <v>1471.4</v>
      </c>
      <c r="CD33" s="24">
        <v>1792.2</v>
      </c>
      <c r="CE33" s="25">
        <v>1798.4</v>
      </c>
      <c r="CF33" s="14">
        <v>1965.7</v>
      </c>
      <c r="CG33" s="15">
        <v>2152.3000000000002</v>
      </c>
      <c r="CH33" s="15">
        <v>2152.4</v>
      </c>
      <c r="CI33" s="15">
        <v>2152.5</v>
      </c>
      <c r="CJ33" s="88">
        <v>2588.3000000000002</v>
      </c>
      <c r="CK33" s="92">
        <v>2602.5</v>
      </c>
      <c r="CL33" s="14">
        <v>2626</v>
      </c>
      <c r="CM33" s="15">
        <v>2635.8</v>
      </c>
      <c r="CN33" s="24">
        <v>3172.4</v>
      </c>
      <c r="CO33" s="25">
        <v>3192.7</v>
      </c>
      <c r="CP33" s="28"/>
      <c r="CQ33" s="29"/>
    </row>
    <row r="34" spans="1:95" x14ac:dyDescent="0.55000000000000004">
      <c r="A34" s="7">
        <v>32</v>
      </c>
      <c r="B34" s="16">
        <v>109.7</v>
      </c>
      <c r="C34" s="17">
        <v>110.3</v>
      </c>
      <c r="D34" s="18">
        <v>118</v>
      </c>
      <c r="E34" s="19">
        <v>118.4</v>
      </c>
      <c r="F34" s="16">
        <v>129.6</v>
      </c>
      <c r="G34" s="17">
        <v>130.19999999999999</v>
      </c>
      <c r="H34" s="18">
        <v>134.4</v>
      </c>
      <c r="I34" s="19">
        <v>134.4</v>
      </c>
      <c r="J34" s="16">
        <v>144.9</v>
      </c>
      <c r="K34" s="17">
        <v>145.19999999999999</v>
      </c>
      <c r="L34" s="18">
        <v>145.69999999999999</v>
      </c>
      <c r="M34" s="19">
        <v>145.80000000000001</v>
      </c>
      <c r="N34" s="16">
        <v>163.1</v>
      </c>
      <c r="O34" s="17">
        <v>163.1</v>
      </c>
      <c r="P34" s="18">
        <v>171.8</v>
      </c>
      <c r="Q34" s="19">
        <v>171.9</v>
      </c>
      <c r="R34" s="16">
        <v>189.4</v>
      </c>
      <c r="S34" s="17">
        <v>189.8</v>
      </c>
      <c r="T34" s="18">
        <v>194.8</v>
      </c>
      <c r="U34" s="19">
        <v>195.6</v>
      </c>
      <c r="V34" s="16">
        <v>213.7</v>
      </c>
      <c r="W34" s="17">
        <v>214.1</v>
      </c>
      <c r="X34" s="18">
        <v>213.3</v>
      </c>
      <c r="Y34" s="19">
        <v>213.5</v>
      </c>
      <c r="Z34" s="16">
        <v>207.1</v>
      </c>
      <c r="AA34" s="17">
        <v>207.6</v>
      </c>
      <c r="AB34" s="18">
        <v>208.5</v>
      </c>
      <c r="AC34" s="19">
        <v>209</v>
      </c>
      <c r="AD34" s="16"/>
      <c r="AE34" s="17"/>
      <c r="AF34" s="18"/>
      <c r="AG34" s="19"/>
      <c r="AH34" s="16"/>
      <c r="AI34" s="17"/>
      <c r="AJ34" s="18"/>
      <c r="AK34" s="19"/>
      <c r="AL34" s="16"/>
      <c r="AM34" s="17"/>
      <c r="AN34" s="18"/>
      <c r="AO34" s="19">
        <v>392.8</v>
      </c>
      <c r="AP34" s="16">
        <v>413.6</v>
      </c>
      <c r="AQ34" s="17">
        <v>419.2</v>
      </c>
      <c r="AR34" s="18">
        <v>434.9</v>
      </c>
      <c r="AS34" s="19">
        <v>438.1</v>
      </c>
      <c r="AT34" s="16">
        <v>468.8</v>
      </c>
      <c r="AU34" s="17">
        <v>471.2</v>
      </c>
      <c r="AV34" s="18">
        <v>470</v>
      </c>
      <c r="AW34" s="19">
        <v>475.1</v>
      </c>
      <c r="AX34" s="12"/>
      <c r="AY34" s="13"/>
      <c r="AZ34" s="14"/>
      <c r="BA34" s="15"/>
      <c r="BB34" s="12">
        <v>539.5</v>
      </c>
      <c r="BC34" s="13">
        <v>541.1</v>
      </c>
      <c r="BD34" s="14">
        <v>554.1</v>
      </c>
      <c r="BE34" s="15">
        <v>555.6</v>
      </c>
      <c r="BF34" s="12">
        <v>607.1</v>
      </c>
      <c r="BG34" s="13">
        <v>627.1</v>
      </c>
      <c r="BH34" s="14">
        <v>614.20000000000005</v>
      </c>
      <c r="BI34" s="15">
        <v>615.9</v>
      </c>
      <c r="BJ34" s="12">
        <v>808.5</v>
      </c>
      <c r="BK34" s="57"/>
      <c r="BL34" s="57"/>
      <c r="BM34" s="13"/>
      <c r="BN34" s="93">
        <v>1068.2</v>
      </c>
      <c r="BO34" s="95">
        <v>1107.2</v>
      </c>
      <c r="BP34" s="91">
        <v>1275.0999999999999</v>
      </c>
      <c r="BQ34" s="92">
        <v>1318.3</v>
      </c>
      <c r="BR34" s="14">
        <v>1408.5</v>
      </c>
      <c r="BS34" s="15">
        <v>1417</v>
      </c>
      <c r="BT34" s="12">
        <v>1677.6</v>
      </c>
      <c r="BU34" s="57">
        <v>1792</v>
      </c>
      <c r="BV34" s="57">
        <v>1956.2</v>
      </c>
      <c r="BW34" s="13">
        <v>2349.9</v>
      </c>
      <c r="BX34" s="14">
        <v>2326.1999999999998</v>
      </c>
      <c r="BY34" s="15">
        <v>2472.8000000000002</v>
      </c>
      <c r="BZ34" s="91">
        <v>2849.7</v>
      </c>
      <c r="CA34" s="92">
        <v>3032.9</v>
      </c>
      <c r="CB34" s="14">
        <v>3180.9</v>
      </c>
      <c r="CC34" s="15">
        <v>3263.9</v>
      </c>
      <c r="CD34" s="24">
        <v>4090.6</v>
      </c>
      <c r="CE34" s="25">
        <v>4415</v>
      </c>
      <c r="CF34" s="14">
        <v>4805.6000000000004</v>
      </c>
      <c r="CG34" s="15">
        <v>5834.3</v>
      </c>
      <c r="CH34" s="15">
        <v>5834.5</v>
      </c>
      <c r="CI34" s="15">
        <v>5834.7</v>
      </c>
      <c r="CJ34" s="91">
        <v>6673.4</v>
      </c>
      <c r="CK34" s="92">
        <v>6724.6</v>
      </c>
      <c r="CL34" s="14">
        <v>6880.9</v>
      </c>
      <c r="CM34" s="15">
        <v>7061.4</v>
      </c>
      <c r="CN34" s="24">
        <v>7399.1</v>
      </c>
      <c r="CO34" s="25">
        <v>7476.8</v>
      </c>
      <c r="CP34" s="28"/>
      <c r="CQ34" s="29"/>
    </row>
    <row r="35" spans="1:95" x14ac:dyDescent="0.55000000000000004">
      <c r="A35" s="7">
        <v>33</v>
      </c>
      <c r="B35" s="16">
        <v>106.1</v>
      </c>
      <c r="C35" s="17">
        <v>107</v>
      </c>
      <c r="D35" s="18">
        <v>107.5</v>
      </c>
      <c r="E35" s="19">
        <v>108</v>
      </c>
      <c r="F35" s="16">
        <v>111.6</v>
      </c>
      <c r="G35" s="17">
        <v>112.4</v>
      </c>
      <c r="H35" s="18">
        <v>132.6</v>
      </c>
      <c r="I35" s="19">
        <v>132.6</v>
      </c>
      <c r="J35" s="16">
        <v>134.19999999999999</v>
      </c>
      <c r="K35" s="17">
        <v>134.6</v>
      </c>
      <c r="L35" s="18">
        <v>150.4</v>
      </c>
      <c r="M35" s="19">
        <v>150.6</v>
      </c>
      <c r="N35" s="16">
        <v>171.8</v>
      </c>
      <c r="O35" s="17">
        <v>176.6</v>
      </c>
      <c r="P35" s="18">
        <v>180.8</v>
      </c>
      <c r="Q35" s="19">
        <v>180.9</v>
      </c>
      <c r="R35" s="16">
        <v>221.8</v>
      </c>
      <c r="S35" s="17">
        <v>221.2</v>
      </c>
      <c r="T35" s="18">
        <v>226.2</v>
      </c>
      <c r="U35" s="19">
        <v>230.8</v>
      </c>
      <c r="V35" s="16">
        <v>254.3</v>
      </c>
      <c r="W35" s="17">
        <v>254.9</v>
      </c>
      <c r="X35" s="18">
        <v>256.3</v>
      </c>
      <c r="Y35" s="19">
        <v>234.4</v>
      </c>
      <c r="Z35" s="16">
        <v>303</v>
      </c>
      <c r="AA35" s="17">
        <v>310.39999999999998</v>
      </c>
      <c r="AB35" s="18">
        <v>305.5</v>
      </c>
      <c r="AC35" s="19">
        <v>323.8</v>
      </c>
      <c r="AD35" s="16"/>
      <c r="AE35" s="17"/>
      <c r="AF35" s="18"/>
      <c r="AG35" s="19"/>
      <c r="AH35" s="16"/>
      <c r="AI35" s="17"/>
      <c r="AJ35" s="18"/>
      <c r="AK35" s="19"/>
      <c r="AL35" s="16"/>
      <c r="AM35" s="17"/>
      <c r="AN35" s="18"/>
      <c r="AO35" s="19">
        <v>662.3</v>
      </c>
      <c r="AP35" s="16">
        <v>729</v>
      </c>
      <c r="AQ35" s="17">
        <v>689</v>
      </c>
      <c r="AR35" s="18">
        <v>708.9</v>
      </c>
      <c r="AS35" s="19">
        <v>711.5</v>
      </c>
      <c r="AT35" s="16">
        <v>781.6</v>
      </c>
      <c r="AU35" s="17">
        <v>790.2</v>
      </c>
      <c r="AV35" s="18">
        <v>795.9</v>
      </c>
      <c r="AW35" s="19">
        <v>797.2</v>
      </c>
      <c r="AX35" s="12"/>
      <c r="AY35" s="13"/>
      <c r="AZ35" s="14"/>
      <c r="BA35" s="15"/>
      <c r="BB35" s="12">
        <v>791.5</v>
      </c>
      <c r="BC35" s="13">
        <v>798.9</v>
      </c>
      <c r="BD35" s="14">
        <v>858.8</v>
      </c>
      <c r="BE35" s="15">
        <v>927.4</v>
      </c>
      <c r="BF35" s="12">
        <v>939.5</v>
      </c>
      <c r="BG35" s="13">
        <v>999.7</v>
      </c>
      <c r="BH35" s="14">
        <v>1104.2</v>
      </c>
      <c r="BI35" s="15">
        <v>1131</v>
      </c>
      <c r="BJ35" s="12">
        <v>1215.5</v>
      </c>
      <c r="BK35" s="57"/>
      <c r="BL35" s="57"/>
      <c r="BM35" s="13"/>
      <c r="BN35" s="87">
        <v>1882.5</v>
      </c>
      <c r="BO35" s="95">
        <v>1924.9</v>
      </c>
      <c r="BP35" s="91">
        <v>2344.8000000000002</v>
      </c>
      <c r="BQ35" s="92">
        <v>2168.1999999999998</v>
      </c>
      <c r="BR35" s="14">
        <v>2182.6</v>
      </c>
      <c r="BS35" s="15">
        <v>2667.9</v>
      </c>
      <c r="BT35" s="12">
        <v>3081.2</v>
      </c>
      <c r="BU35" s="57">
        <v>3879.3</v>
      </c>
      <c r="BV35" s="57">
        <v>4273.3999999999996</v>
      </c>
      <c r="BW35" s="13">
        <v>4318.8999999999996</v>
      </c>
      <c r="BX35" s="14">
        <v>5591.8</v>
      </c>
      <c r="BY35" s="15">
        <v>6005.9</v>
      </c>
      <c r="BZ35" s="91">
        <v>7020.1</v>
      </c>
      <c r="CA35" s="92">
        <v>7433.1</v>
      </c>
      <c r="CB35" s="14">
        <v>7667.1</v>
      </c>
      <c r="CC35" s="15">
        <v>7585.9</v>
      </c>
      <c r="CD35" s="24">
        <v>8467.7999999999993</v>
      </c>
      <c r="CE35" s="25">
        <v>8152.2</v>
      </c>
      <c r="CF35" s="14">
        <v>9062</v>
      </c>
      <c r="CG35" s="15">
        <v>11156</v>
      </c>
      <c r="CH35" s="15">
        <v>11399.8</v>
      </c>
      <c r="CI35" s="15">
        <v>11730.5</v>
      </c>
      <c r="CJ35" s="91">
        <v>11946.5</v>
      </c>
      <c r="CK35" s="92">
        <v>11902.7</v>
      </c>
      <c r="CL35" s="14">
        <v>12091.9</v>
      </c>
      <c r="CM35" s="15">
        <v>12616.6</v>
      </c>
      <c r="CN35" s="24">
        <v>14782.4</v>
      </c>
      <c r="CO35" s="25">
        <v>14335.4</v>
      </c>
      <c r="CP35" s="28"/>
      <c r="CQ35" s="29"/>
    </row>
    <row r="36" spans="1:95" x14ac:dyDescent="0.55000000000000004">
      <c r="A36" s="7">
        <v>34</v>
      </c>
      <c r="B36" s="16">
        <v>104.2</v>
      </c>
      <c r="C36" s="17">
        <v>103.5</v>
      </c>
      <c r="D36" s="18">
        <v>106.3</v>
      </c>
      <c r="E36" s="19">
        <v>115.1</v>
      </c>
      <c r="F36" s="16">
        <v>140.6</v>
      </c>
      <c r="G36" s="17">
        <v>146.80000000000001</v>
      </c>
      <c r="H36" s="18">
        <v>144.30000000000001</v>
      </c>
      <c r="I36" s="19">
        <v>141.19999999999999</v>
      </c>
      <c r="J36" s="16">
        <v>140.5</v>
      </c>
      <c r="K36" s="17">
        <v>137.1</v>
      </c>
      <c r="L36" s="18">
        <v>139.1</v>
      </c>
      <c r="M36" s="19">
        <v>137.69999999999999</v>
      </c>
      <c r="N36" s="16">
        <v>150.19999999999999</v>
      </c>
      <c r="O36" s="17">
        <v>159.4</v>
      </c>
      <c r="P36" s="18">
        <v>172</v>
      </c>
      <c r="Q36" s="19">
        <v>171.7</v>
      </c>
      <c r="R36" s="16">
        <v>186.9</v>
      </c>
      <c r="S36" s="17">
        <v>186.2</v>
      </c>
      <c r="T36" s="18">
        <v>200.8</v>
      </c>
      <c r="U36" s="19">
        <v>212.5</v>
      </c>
      <c r="V36" s="16">
        <v>220.2</v>
      </c>
      <c r="W36" s="17">
        <v>221.2</v>
      </c>
      <c r="X36" s="18">
        <v>217.7</v>
      </c>
      <c r="Y36" s="19">
        <v>195.7</v>
      </c>
      <c r="Z36" s="16">
        <v>194.3</v>
      </c>
      <c r="AA36" s="17">
        <v>199.9</v>
      </c>
      <c r="AB36" s="18">
        <v>201.2</v>
      </c>
      <c r="AC36" s="19">
        <v>210.8</v>
      </c>
      <c r="AD36" s="16"/>
      <c r="AE36" s="17"/>
      <c r="AF36" s="18"/>
      <c r="AG36" s="19"/>
      <c r="AH36" s="16"/>
      <c r="AI36" s="17"/>
      <c r="AJ36" s="18"/>
      <c r="AK36" s="19"/>
      <c r="AL36" s="16"/>
      <c r="AM36" s="17"/>
      <c r="AN36" s="18"/>
      <c r="AO36" s="19">
        <v>397.4</v>
      </c>
      <c r="AP36" s="16">
        <v>423.1</v>
      </c>
      <c r="AQ36" s="17">
        <v>410.4</v>
      </c>
      <c r="AR36" s="18">
        <v>402.9</v>
      </c>
      <c r="AS36" s="19">
        <v>406.4</v>
      </c>
      <c r="AT36" s="16">
        <v>455</v>
      </c>
      <c r="AU36" s="17">
        <v>458.6</v>
      </c>
      <c r="AV36" s="18">
        <v>438.9</v>
      </c>
      <c r="AW36" s="19">
        <v>441.8</v>
      </c>
      <c r="AX36" s="12"/>
      <c r="AY36" s="13"/>
      <c r="AZ36" s="14"/>
      <c r="BA36" s="15"/>
      <c r="BB36" s="12">
        <v>485.9</v>
      </c>
      <c r="BC36" s="13">
        <v>489.2</v>
      </c>
      <c r="BD36" s="14">
        <v>512.6</v>
      </c>
      <c r="BE36" s="15">
        <v>514.70000000000005</v>
      </c>
      <c r="BF36" s="12">
        <v>540</v>
      </c>
      <c r="BG36" s="13">
        <v>564.6</v>
      </c>
      <c r="BH36" s="14">
        <v>608.6</v>
      </c>
      <c r="BI36" s="15">
        <v>638.1</v>
      </c>
      <c r="BJ36" s="12">
        <v>708.2</v>
      </c>
      <c r="BK36" s="57"/>
      <c r="BL36" s="57"/>
      <c r="BM36" s="13"/>
      <c r="BN36" s="93">
        <v>892.7</v>
      </c>
      <c r="BO36" s="95">
        <v>907.7</v>
      </c>
      <c r="BP36" s="12">
        <v>1067.5</v>
      </c>
      <c r="BQ36" s="92">
        <v>974.7</v>
      </c>
      <c r="BR36" s="14">
        <v>1000.3</v>
      </c>
      <c r="BS36" s="15">
        <v>1149.5999999999999</v>
      </c>
      <c r="BT36" s="12">
        <v>1318.2</v>
      </c>
      <c r="BU36" s="57">
        <v>1688.8</v>
      </c>
      <c r="BV36" s="57">
        <v>1834.6</v>
      </c>
      <c r="BW36" s="13">
        <v>1917.9</v>
      </c>
      <c r="BX36" s="14">
        <v>1990.9</v>
      </c>
      <c r="BY36" s="15">
        <v>2090</v>
      </c>
      <c r="BZ36" s="12">
        <v>2501.9</v>
      </c>
      <c r="CA36" s="92">
        <v>2644.9</v>
      </c>
      <c r="CB36" s="14">
        <v>2760.4</v>
      </c>
      <c r="CC36" s="15">
        <v>2774.8</v>
      </c>
      <c r="CD36" s="24">
        <v>3420.6</v>
      </c>
      <c r="CE36" s="25">
        <v>3546.3</v>
      </c>
      <c r="CF36" s="14">
        <v>4350.8999999999996</v>
      </c>
      <c r="CG36" s="15">
        <v>4006.4</v>
      </c>
      <c r="CH36" s="15">
        <v>4028.9</v>
      </c>
      <c r="CI36" s="15">
        <v>4053.8</v>
      </c>
      <c r="CJ36" s="12">
        <v>4447</v>
      </c>
      <c r="CK36" s="92">
        <v>4533.1000000000004</v>
      </c>
      <c r="CL36" s="14">
        <v>5041.8999999999996</v>
      </c>
      <c r="CM36" s="15">
        <v>5180.6000000000004</v>
      </c>
      <c r="CN36" s="24">
        <v>6274.5</v>
      </c>
      <c r="CO36" s="25">
        <v>6544.5</v>
      </c>
      <c r="CP36" s="28"/>
      <c r="CQ36" s="29"/>
    </row>
    <row r="37" spans="1:95" s="2" customFormat="1" ht="22.5" customHeight="1" x14ac:dyDescent="0.55000000000000004">
      <c r="A37" s="7">
        <v>35</v>
      </c>
      <c r="B37" s="16">
        <v>109</v>
      </c>
      <c r="C37" s="17">
        <v>112.8</v>
      </c>
      <c r="D37" s="18">
        <v>114.9</v>
      </c>
      <c r="E37" s="19">
        <v>117</v>
      </c>
      <c r="F37" s="16">
        <v>133.4</v>
      </c>
      <c r="G37" s="17">
        <v>137.1</v>
      </c>
      <c r="H37" s="18">
        <v>139.80000000000001</v>
      </c>
      <c r="I37" s="19">
        <v>139.80000000000001</v>
      </c>
      <c r="J37" s="16">
        <v>147.80000000000001</v>
      </c>
      <c r="K37" s="17">
        <v>149.9</v>
      </c>
      <c r="L37" s="18">
        <v>152.5</v>
      </c>
      <c r="M37" s="19">
        <v>153.30000000000001</v>
      </c>
      <c r="N37" s="16">
        <v>166.8</v>
      </c>
      <c r="O37" s="17">
        <v>170.5</v>
      </c>
      <c r="P37" s="18">
        <v>171.4</v>
      </c>
      <c r="Q37" s="19">
        <v>171.7</v>
      </c>
      <c r="R37" s="16">
        <v>189.7</v>
      </c>
      <c r="S37" s="17">
        <v>192.2</v>
      </c>
      <c r="T37" s="18">
        <v>198.6</v>
      </c>
      <c r="U37" s="19">
        <v>203</v>
      </c>
      <c r="V37" s="16">
        <v>226</v>
      </c>
      <c r="W37" s="17">
        <v>228.4</v>
      </c>
      <c r="X37" s="18">
        <v>233.1</v>
      </c>
      <c r="Y37" s="19">
        <v>234.3</v>
      </c>
      <c r="Z37" s="16">
        <v>251.6</v>
      </c>
      <c r="AA37" s="17">
        <v>255.7</v>
      </c>
      <c r="AB37" s="18">
        <v>259.39999999999998</v>
      </c>
      <c r="AC37" s="19">
        <v>264.5</v>
      </c>
      <c r="AD37" s="16"/>
      <c r="AE37" s="17"/>
      <c r="AF37" s="18"/>
      <c r="AG37" s="19"/>
      <c r="AH37" s="16"/>
      <c r="AI37" s="17"/>
      <c r="AJ37" s="18"/>
      <c r="AK37" s="19"/>
      <c r="AL37" s="16"/>
      <c r="AM37" s="17"/>
      <c r="AN37" s="18"/>
      <c r="AO37" s="19">
        <v>429.7</v>
      </c>
      <c r="AP37" s="16">
        <v>486.1</v>
      </c>
      <c r="AQ37" s="17">
        <v>495.3</v>
      </c>
      <c r="AR37" s="18">
        <v>510.1</v>
      </c>
      <c r="AS37" s="19">
        <v>524.1</v>
      </c>
      <c r="AT37" s="16">
        <v>607.9</v>
      </c>
      <c r="AU37" s="17">
        <v>618.6</v>
      </c>
      <c r="AV37" s="18">
        <v>628.1</v>
      </c>
      <c r="AW37" s="19">
        <v>637.79999999999995</v>
      </c>
      <c r="AX37" s="12"/>
      <c r="AY37" s="13"/>
      <c r="AZ37" s="14"/>
      <c r="BA37" s="15"/>
      <c r="BB37" s="12">
        <v>778.8</v>
      </c>
      <c r="BC37" s="13">
        <v>786</v>
      </c>
      <c r="BD37" s="14">
        <v>793.2</v>
      </c>
      <c r="BE37" s="15">
        <v>800.4</v>
      </c>
      <c r="BF37" s="12">
        <v>871.2</v>
      </c>
      <c r="BG37" s="13">
        <v>875.6</v>
      </c>
      <c r="BH37" s="14">
        <v>888.4</v>
      </c>
      <c r="BI37" s="15">
        <v>896.4</v>
      </c>
      <c r="BJ37" s="12">
        <v>1029.0999999999999</v>
      </c>
      <c r="BK37" s="57"/>
      <c r="BL37" s="57"/>
      <c r="BM37" s="13"/>
      <c r="BN37" s="93">
        <v>1112.3</v>
      </c>
      <c r="BO37" s="95">
        <v>1141</v>
      </c>
      <c r="BP37" s="91">
        <v>1390.2</v>
      </c>
      <c r="BQ37" s="89">
        <v>1452.4</v>
      </c>
      <c r="BR37" s="14">
        <v>1479.2</v>
      </c>
      <c r="BS37" s="15">
        <v>1514</v>
      </c>
      <c r="BT37" s="12">
        <v>1848.6</v>
      </c>
      <c r="BU37" s="57">
        <v>2019.7</v>
      </c>
      <c r="BV37" s="57">
        <v>2033.3</v>
      </c>
      <c r="BW37" s="13">
        <v>2063.6</v>
      </c>
      <c r="BX37" s="14">
        <v>2266.5</v>
      </c>
      <c r="BY37" s="15">
        <v>2380</v>
      </c>
      <c r="BZ37" s="91">
        <v>3124.9</v>
      </c>
      <c r="CA37" s="89">
        <v>3272.5</v>
      </c>
      <c r="CB37" s="14">
        <v>3279.6</v>
      </c>
      <c r="CC37" s="15">
        <v>3296.3</v>
      </c>
      <c r="CD37" s="24">
        <v>4285.2</v>
      </c>
      <c r="CE37" s="25">
        <v>4367.6000000000004</v>
      </c>
      <c r="CF37" s="14">
        <v>4641.2</v>
      </c>
      <c r="CG37" s="15">
        <v>4812.6000000000004</v>
      </c>
      <c r="CH37" s="15">
        <v>4812.6000000000004</v>
      </c>
      <c r="CI37" s="15">
        <v>4812.6000000000004</v>
      </c>
      <c r="CJ37" s="91">
        <v>5948.4</v>
      </c>
      <c r="CK37" s="89">
        <v>6150.5</v>
      </c>
      <c r="CL37" s="14">
        <v>6309.3</v>
      </c>
      <c r="CM37" s="15">
        <v>6472.9</v>
      </c>
      <c r="CN37" s="24">
        <v>8058.8</v>
      </c>
      <c r="CO37" s="25">
        <v>8375.9</v>
      </c>
      <c r="CP37" s="28"/>
      <c r="CQ37" s="29"/>
    </row>
    <row r="38" spans="1:95" s="2" customFormat="1" ht="1.5" customHeight="1" x14ac:dyDescent="0.55000000000000004">
      <c r="A38" s="7"/>
      <c r="B38" s="16"/>
      <c r="C38" s="17"/>
      <c r="D38" s="18"/>
      <c r="E38" s="19"/>
      <c r="F38" s="16"/>
      <c r="G38" s="17"/>
      <c r="H38" s="18"/>
      <c r="I38" s="19"/>
      <c r="J38" s="16"/>
      <c r="K38" s="17"/>
      <c r="L38" s="18"/>
      <c r="M38" s="19"/>
      <c r="N38" s="16"/>
      <c r="O38" s="17"/>
      <c r="P38" s="18"/>
      <c r="Q38" s="19"/>
      <c r="R38" s="16"/>
      <c r="S38" s="17"/>
      <c r="T38" s="18"/>
      <c r="U38" s="19"/>
      <c r="V38" s="16"/>
      <c r="W38" s="17"/>
      <c r="X38" s="18"/>
      <c r="Y38" s="19"/>
      <c r="Z38" s="16"/>
      <c r="AA38" s="17"/>
      <c r="AB38" s="18"/>
      <c r="AC38" s="19"/>
      <c r="AD38" s="16"/>
      <c r="AE38" s="17"/>
      <c r="AF38" s="18"/>
      <c r="AG38" s="19"/>
      <c r="AH38" s="16"/>
      <c r="AI38" s="17"/>
      <c r="AJ38" s="18"/>
      <c r="AK38" s="19"/>
      <c r="AL38" s="16"/>
      <c r="AM38" s="17"/>
      <c r="AN38" s="18"/>
      <c r="AO38" s="19"/>
      <c r="AP38" s="16"/>
      <c r="AQ38" s="17"/>
      <c r="AR38" s="18"/>
      <c r="AS38" s="19"/>
      <c r="AT38" s="16"/>
      <c r="AU38" s="17"/>
      <c r="AV38" s="18"/>
      <c r="AW38" s="19"/>
      <c r="AX38" s="12"/>
      <c r="AY38" s="13"/>
      <c r="AZ38" s="14"/>
      <c r="BA38" s="15"/>
      <c r="BB38" s="12"/>
      <c r="BC38" s="13"/>
      <c r="BD38" s="14"/>
      <c r="BE38" s="15"/>
      <c r="BF38" s="12"/>
      <c r="BG38" s="13"/>
      <c r="BH38" s="14"/>
      <c r="BI38" s="15"/>
      <c r="BJ38" s="12"/>
      <c r="BK38" s="57"/>
      <c r="BL38" s="57"/>
      <c r="BM38" s="13"/>
      <c r="BN38" s="14"/>
      <c r="BO38" s="30"/>
      <c r="BP38" s="12"/>
      <c r="BQ38" s="13"/>
      <c r="BR38" s="14"/>
      <c r="BS38" s="15"/>
      <c r="BT38" s="12">
        <v>0</v>
      </c>
      <c r="BU38" s="57">
        <v>0</v>
      </c>
      <c r="BV38" s="57">
        <v>0</v>
      </c>
      <c r="BW38" s="13">
        <v>0</v>
      </c>
      <c r="BX38" s="14"/>
      <c r="BY38" s="15"/>
      <c r="BZ38" s="12"/>
      <c r="CA38" s="13"/>
      <c r="CB38" s="14"/>
      <c r="CC38" s="15"/>
      <c r="CD38" s="24"/>
      <c r="CE38" s="25"/>
      <c r="CF38" s="169"/>
      <c r="CG38" s="170"/>
      <c r="CH38" s="170"/>
      <c r="CI38" s="170"/>
      <c r="CJ38" s="12"/>
      <c r="CK38" s="13"/>
      <c r="CL38" s="14"/>
      <c r="CM38" s="15"/>
      <c r="CN38" s="24"/>
      <c r="CO38" s="25"/>
      <c r="CP38" s="28"/>
      <c r="CQ38" s="29"/>
    </row>
    <row r="39" spans="1:95" s="2" customFormat="1" ht="1.5" customHeight="1" x14ac:dyDescent="0.55000000000000004">
      <c r="A39" s="7"/>
      <c r="B39" s="16"/>
      <c r="C39" s="17"/>
      <c r="D39" s="18"/>
      <c r="E39" s="19"/>
      <c r="F39" s="16"/>
      <c r="G39" s="17"/>
      <c r="H39" s="18"/>
      <c r="I39" s="19"/>
      <c r="J39" s="16"/>
      <c r="K39" s="17"/>
      <c r="L39" s="18"/>
      <c r="M39" s="19"/>
      <c r="N39" s="16"/>
      <c r="O39" s="17"/>
      <c r="P39" s="18"/>
      <c r="Q39" s="19"/>
      <c r="R39" s="16"/>
      <c r="S39" s="17"/>
      <c r="T39" s="18"/>
      <c r="U39" s="19"/>
      <c r="V39" s="16"/>
      <c r="W39" s="17"/>
      <c r="X39" s="18"/>
      <c r="Y39" s="19"/>
      <c r="Z39" s="16"/>
      <c r="AA39" s="17"/>
      <c r="AB39" s="18"/>
      <c r="AC39" s="19"/>
      <c r="AD39" s="16"/>
      <c r="AE39" s="17"/>
      <c r="AF39" s="18"/>
      <c r="AG39" s="19"/>
      <c r="AH39" s="16"/>
      <c r="AI39" s="17"/>
      <c r="AJ39" s="18"/>
      <c r="AK39" s="19"/>
      <c r="AL39" s="16"/>
      <c r="AM39" s="17"/>
      <c r="AN39" s="18"/>
      <c r="AO39" s="19"/>
      <c r="AP39" s="16"/>
      <c r="AQ39" s="17"/>
      <c r="AR39" s="18"/>
      <c r="AS39" s="19"/>
      <c r="AT39" s="16"/>
      <c r="AU39" s="17"/>
      <c r="AV39" s="18"/>
      <c r="AW39" s="19"/>
      <c r="AX39" s="12"/>
      <c r="AY39" s="13"/>
      <c r="AZ39" s="14"/>
      <c r="BA39" s="15"/>
      <c r="BB39" s="12"/>
      <c r="BC39" s="13"/>
      <c r="BD39" s="14"/>
      <c r="BE39" s="15"/>
      <c r="BF39" s="12"/>
      <c r="BG39" s="13"/>
      <c r="BH39" s="14"/>
      <c r="BI39" s="15"/>
      <c r="BJ39" s="12"/>
      <c r="BK39" s="57"/>
      <c r="BL39" s="57"/>
      <c r="BM39" s="13"/>
      <c r="BN39" s="14"/>
      <c r="BO39" s="30"/>
      <c r="BP39" s="12"/>
      <c r="BQ39" s="13"/>
      <c r="BR39" s="14"/>
      <c r="BS39" s="15"/>
      <c r="BT39" s="12">
        <v>0</v>
      </c>
      <c r="BU39" s="57">
        <v>0</v>
      </c>
      <c r="BV39" s="57">
        <v>0</v>
      </c>
      <c r="BW39" s="13">
        <v>0</v>
      </c>
      <c r="BX39" s="14"/>
      <c r="BY39" s="15"/>
      <c r="BZ39" s="12"/>
      <c r="CA39" s="13"/>
      <c r="CB39" s="14"/>
      <c r="CC39" s="15"/>
      <c r="CD39" s="24"/>
      <c r="CE39" s="25"/>
      <c r="CF39" s="169"/>
      <c r="CG39" s="170"/>
      <c r="CH39" s="170"/>
      <c r="CI39" s="170"/>
      <c r="CJ39" s="12"/>
      <c r="CK39" s="13"/>
      <c r="CL39" s="14"/>
      <c r="CM39" s="15"/>
      <c r="CN39" s="24"/>
      <c r="CO39" s="25"/>
      <c r="CP39" s="28"/>
      <c r="CQ39" s="29"/>
    </row>
    <row r="40" spans="1:95" s="2" customFormat="1" ht="1.5" customHeight="1" x14ac:dyDescent="0.55000000000000004">
      <c r="A40" s="7"/>
      <c r="B40" s="16"/>
      <c r="C40" s="17"/>
      <c r="D40" s="18"/>
      <c r="E40" s="19"/>
      <c r="F40" s="16"/>
      <c r="G40" s="17"/>
      <c r="H40" s="18"/>
      <c r="I40" s="19"/>
      <c r="J40" s="16"/>
      <c r="K40" s="17"/>
      <c r="L40" s="18"/>
      <c r="M40" s="19"/>
      <c r="N40" s="16"/>
      <c r="O40" s="17"/>
      <c r="P40" s="18"/>
      <c r="Q40" s="19"/>
      <c r="R40" s="16"/>
      <c r="S40" s="17"/>
      <c r="T40" s="18"/>
      <c r="U40" s="19"/>
      <c r="V40" s="16"/>
      <c r="W40" s="17"/>
      <c r="X40" s="18"/>
      <c r="Y40" s="19"/>
      <c r="Z40" s="16"/>
      <c r="AA40" s="17"/>
      <c r="AB40" s="18"/>
      <c r="AC40" s="19"/>
      <c r="AD40" s="16"/>
      <c r="AE40" s="17"/>
      <c r="AF40" s="18"/>
      <c r="AG40" s="19"/>
      <c r="AH40" s="16"/>
      <c r="AI40" s="17"/>
      <c r="AJ40" s="18"/>
      <c r="AK40" s="19"/>
      <c r="AL40" s="16"/>
      <c r="AM40" s="17"/>
      <c r="AN40" s="18"/>
      <c r="AO40" s="19"/>
      <c r="AP40" s="16"/>
      <c r="AQ40" s="17"/>
      <c r="AR40" s="18"/>
      <c r="AS40" s="19"/>
      <c r="AT40" s="16"/>
      <c r="AU40" s="17"/>
      <c r="AV40" s="18"/>
      <c r="AW40" s="19"/>
      <c r="AX40" s="12"/>
      <c r="AY40" s="13"/>
      <c r="AZ40" s="14"/>
      <c r="BA40" s="15"/>
      <c r="BB40" s="12"/>
      <c r="BC40" s="13"/>
      <c r="BD40" s="14"/>
      <c r="BE40" s="15"/>
      <c r="BF40" s="12"/>
      <c r="BG40" s="13"/>
      <c r="BH40" s="14"/>
      <c r="BI40" s="15"/>
      <c r="BJ40" s="12"/>
      <c r="BK40" s="57"/>
      <c r="BL40" s="57"/>
      <c r="BM40" s="13"/>
      <c r="BN40" s="14"/>
      <c r="BO40" s="30"/>
      <c r="BP40" s="12"/>
      <c r="BQ40" s="13"/>
      <c r="BR40" s="14"/>
      <c r="BS40" s="15"/>
      <c r="BT40" s="12">
        <v>0</v>
      </c>
      <c r="BU40" s="57">
        <v>0</v>
      </c>
      <c r="BV40" s="57">
        <v>0</v>
      </c>
      <c r="BW40" s="13">
        <v>0</v>
      </c>
      <c r="BX40" s="14"/>
      <c r="BY40" s="15"/>
      <c r="BZ40" s="12"/>
      <c r="CA40" s="13"/>
      <c r="CB40" s="14"/>
      <c r="CC40" s="15"/>
      <c r="CD40" s="24"/>
      <c r="CE40" s="25"/>
      <c r="CF40" s="169"/>
      <c r="CG40" s="170"/>
      <c r="CH40" s="170"/>
      <c r="CI40" s="170"/>
      <c r="CJ40" s="12"/>
      <c r="CK40" s="13"/>
      <c r="CL40" s="14"/>
      <c r="CM40" s="15"/>
      <c r="CN40" s="24"/>
      <c r="CO40" s="25"/>
      <c r="CP40" s="28"/>
      <c r="CQ40" s="29"/>
    </row>
    <row r="41" spans="1:95" s="2" customFormat="1" ht="1.5" customHeight="1" x14ac:dyDescent="0.55000000000000004">
      <c r="A41" s="7"/>
      <c r="B41" s="16"/>
      <c r="C41" s="17"/>
      <c r="D41" s="18"/>
      <c r="E41" s="19"/>
      <c r="F41" s="16"/>
      <c r="G41" s="17"/>
      <c r="H41" s="18"/>
      <c r="I41" s="19"/>
      <c r="J41" s="16"/>
      <c r="K41" s="17"/>
      <c r="L41" s="18"/>
      <c r="M41" s="19"/>
      <c r="N41" s="16"/>
      <c r="O41" s="17"/>
      <c r="P41" s="18"/>
      <c r="Q41" s="19"/>
      <c r="R41" s="16"/>
      <c r="S41" s="17"/>
      <c r="T41" s="18"/>
      <c r="U41" s="19"/>
      <c r="V41" s="16"/>
      <c r="W41" s="17"/>
      <c r="X41" s="18"/>
      <c r="Y41" s="19"/>
      <c r="Z41" s="16"/>
      <c r="AA41" s="17"/>
      <c r="AB41" s="18"/>
      <c r="AC41" s="19"/>
      <c r="AD41" s="16"/>
      <c r="AE41" s="17"/>
      <c r="AF41" s="18"/>
      <c r="AG41" s="19"/>
      <c r="AH41" s="16"/>
      <c r="AI41" s="17"/>
      <c r="AJ41" s="18"/>
      <c r="AK41" s="19"/>
      <c r="AL41" s="16"/>
      <c r="AM41" s="17"/>
      <c r="AN41" s="18"/>
      <c r="AO41" s="19"/>
      <c r="AP41" s="16"/>
      <c r="AQ41" s="17"/>
      <c r="AR41" s="18"/>
      <c r="AS41" s="19"/>
      <c r="AT41" s="16"/>
      <c r="AU41" s="17"/>
      <c r="AV41" s="18"/>
      <c r="AW41" s="19"/>
      <c r="AX41" s="12"/>
      <c r="AY41" s="13"/>
      <c r="AZ41" s="14"/>
      <c r="BA41" s="15"/>
      <c r="BB41" s="12"/>
      <c r="BC41" s="13"/>
      <c r="BD41" s="14"/>
      <c r="BE41" s="15"/>
      <c r="BF41" s="12"/>
      <c r="BG41" s="13"/>
      <c r="BH41" s="14"/>
      <c r="BI41" s="15"/>
      <c r="BJ41" s="12"/>
      <c r="BK41" s="57"/>
      <c r="BL41" s="57"/>
      <c r="BM41" s="13"/>
      <c r="BN41" s="14"/>
      <c r="BO41" s="30"/>
      <c r="BP41" s="12"/>
      <c r="BQ41" s="13"/>
      <c r="BR41" s="14"/>
      <c r="BS41" s="15"/>
      <c r="BT41" s="12">
        <v>0</v>
      </c>
      <c r="BU41" s="57">
        <v>0</v>
      </c>
      <c r="BV41" s="57">
        <v>0</v>
      </c>
      <c r="BW41" s="13">
        <v>0</v>
      </c>
      <c r="BX41" s="14"/>
      <c r="BY41" s="15"/>
      <c r="BZ41" s="12"/>
      <c r="CA41" s="13"/>
      <c r="CB41" s="14"/>
      <c r="CC41" s="15"/>
      <c r="CD41" s="24"/>
      <c r="CE41" s="25"/>
      <c r="CF41" s="169"/>
      <c r="CG41" s="170"/>
      <c r="CH41" s="170"/>
      <c r="CI41" s="170"/>
      <c r="CJ41" s="12"/>
      <c r="CK41" s="13"/>
      <c r="CL41" s="14"/>
      <c r="CM41" s="15"/>
      <c r="CN41" s="24"/>
      <c r="CO41" s="25"/>
      <c r="CP41" s="28"/>
      <c r="CQ41" s="29"/>
    </row>
    <row r="42" spans="1:95" s="2" customFormat="1" ht="1.5" customHeight="1" x14ac:dyDescent="0.55000000000000004">
      <c r="A42" s="7"/>
      <c r="B42" s="16"/>
      <c r="C42" s="17"/>
      <c r="D42" s="18"/>
      <c r="E42" s="19"/>
      <c r="F42" s="16"/>
      <c r="G42" s="17"/>
      <c r="H42" s="18"/>
      <c r="I42" s="19"/>
      <c r="J42" s="16"/>
      <c r="K42" s="17"/>
      <c r="L42" s="18"/>
      <c r="M42" s="19"/>
      <c r="N42" s="16"/>
      <c r="O42" s="17"/>
      <c r="P42" s="18"/>
      <c r="Q42" s="19"/>
      <c r="R42" s="16"/>
      <c r="S42" s="17"/>
      <c r="T42" s="18"/>
      <c r="U42" s="19"/>
      <c r="V42" s="16"/>
      <c r="W42" s="17"/>
      <c r="X42" s="18"/>
      <c r="Y42" s="19"/>
      <c r="Z42" s="16"/>
      <c r="AA42" s="17"/>
      <c r="AB42" s="18"/>
      <c r="AC42" s="19"/>
      <c r="AD42" s="16"/>
      <c r="AE42" s="17"/>
      <c r="AF42" s="18"/>
      <c r="AG42" s="19"/>
      <c r="AH42" s="16"/>
      <c r="AI42" s="17"/>
      <c r="AJ42" s="18"/>
      <c r="AK42" s="19"/>
      <c r="AL42" s="16"/>
      <c r="AM42" s="17"/>
      <c r="AN42" s="18"/>
      <c r="AO42" s="19"/>
      <c r="AP42" s="16"/>
      <c r="AQ42" s="17"/>
      <c r="AR42" s="18"/>
      <c r="AS42" s="19"/>
      <c r="AT42" s="16"/>
      <c r="AU42" s="17"/>
      <c r="AV42" s="18"/>
      <c r="AW42" s="19"/>
      <c r="AX42" s="12"/>
      <c r="AY42" s="13"/>
      <c r="AZ42" s="14"/>
      <c r="BA42" s="15"/>
      <c r="BB42" s="12"/>
      <c r="BC42" s="13"/>
      <c r="BD42" s="14"/>
      <c r="BE42" s="15"/>
      <c r="BF42" s="12"/>
      <c r="BG42" s="13"/>
      <c r="BH42" s="14"/>
      <c r="BI42" s="15"/>
      <c r="BJ42" s="12"/>
      <c r="BK42" s="57"/>
      <c r="BL42" s="57"/>
      <c r="BM42" s="13"/>
      <c r="BN42" s="14"/>
      <c r="BO42" s="30"/>
      <c r="BP42" s="12"/>
      <c r="BQ42" s="13"/>
      <c r="BR42" s="14"/>
      <c r="BS42" s="15"/>
      <c r="BT42" s="12">
        <v>0</v>
      </c>
      <c r="BU42" s="57">
        <v>0</v>
      </c>
      <c r="BV42" s="57">
        <v>0</v>
      </c>
      <c r="BW42" s="13">
        <v>0</v>
      </c>
      <c r="BX42" s="14"/>
      <c r="BY42" s="15"/>
      <c r="BZ42" s="12"/>
      <c r="CA42" s="13"/>
      <c r="CB42" s="14"/>
      <c r="CC42" s="15"/>
      <c r="CD42" s="24"/>
      <c r="CE42" s="25"/>
      <c r="CF42" s="169"/>
      <c r="CG42" s="170"/>
      <c r="CH42" s="170"/>
      <c r="CI42" s="170"/>
      <c r="CJ42" s="12"/>
      <c r="CK42" s="13"/>
      <c r="CL42" s="14"/>
      <c r="CM42" s="15"/>
      <c r="CN42" s="24"/>
      <c r="CO42" s="25"/>
      <c r="CP42" s="28"/>
      <c r="CQ42" s="29"/>
    </row>
    <row r="43" spans="1:95" s="2" customFormat="1" ht="1.5" customHeight="1" x14ac:dyDescent="0.55000000000000004">
      <c r="A43" s="7"/>
      <c r="B43" s="16"/>
      <c r="C43" s="17"/>
      <c r="D43" s="18"/>
      <c r="E43" s="19"/>
      <c r="F43" s="16"/>
      <c r="G43" s="17"/>
      <c r="H43" s="18"/>
      <c r="I43" s="19"/>
      <c r="J43" s="16"/>
      <c r="K43" s="17"/>
      <c r="L43" s="18"/>
      <c r="M43" s="19"/>
      <c r="N43" s="16"/>
      <c r="O43" s="17"/>
      <c r="P43" s="18"/>
      <c r="Q43" s="19"/>
      <c r="R43" s="16"/>
      <c r="S43" s="17"/>
      <c r="T43" s="18"/>
      <c r="U43" s="19"/>
      <c r="V43" s="16"/>
      <c r="W43" s="17"/>
      <c r="X43" s="18"/>
      <c r="Y43" s="19"/>
      <c r="Z43" s="16"/>
      <c r="AA43" s="17"/>
      <c r="AB43" s="18"/>
      <c r="AC43" s="19"/>
      <c r="AD43" s="16"/>
      <c r="AE43" s="17"/>
      <c r="AF43" s="18"/>
      <c r="AG43" s="19"/>
      <c r="AH43" s="16"/>
      <c r="AI43" s="17"/>
      <c r="AJ43" s="18"/>
      <c r="AK43" s="19"/>
      <c r="AL43" s="16"/>
      <c r="AM43" s="17"/>
      <c r="AN43" s="18"/>
      <c r="AO43" s="19"/>
      <c r="AP43" s="16"/>
      <c r="AQ43" s="17"/>
      <c r="AR43" s="18"/>
      <c r="AS43" s="19"/>
      <c r="AT43" s="16"/>
      <c r="AU43" s="17"/>
      <c r="AV43" s="18"/>
      <c r="AW43" s="19"/>
      <c r="AX43" s="12"/>
      <c r="AY43" s="13"/>
      <c r="AZ43" s="14"/>
      <c r="BA43" s="15"/>
      <c r="BB43" s="12"/>
      <c r="BC43" s="13"/>
      <c r="BD43" s="14"/>
      <c r="BE43" s="15"/>
      <c r="BF43" s="12"/>
      <c r="BG43" s="13"/>
      <c r="BH43" s="14"/>
      <c r="BI43" s="15"/>
      <c r="BJ43" s="12"/>
      <c r="BK43" s="57"/>
      <c r="BL43" s="57"/>
      <c r="BM43" s="13"/>
      <c r="BN43" s="14"/>
      <c r="BO43" s="30"/>
      <c r="BP43" s="12"/>
      <c r="BQ43" s="13"/>
      <c r="BR43" s="14"/>
      <c r="BS43" s="15"/>
      <c r="BT43" s="12">
        <v>0</v>
      </c>
      <c r="BU43" s="57">
        <v>0</v>
      </c>
      <c r="BV43" s="57">
        <v>0</v>
      </c>
      <c r="BW43" s="13">
        <v>0</v>
      </c>
      <c r="BX43" s="14"/>
      <c r="BY43" s="15"/>
      <c r="BZ43" s="12"/>
      <c r="CA43" s="13"/>
      <c r="CB43" s="14"/>
      <c r="CC43" s="15"/>
      <c r="CD43" s="24"/>
      <c r="CE43" s="25"/>
      <c r="CF43" s="169"/>
      <c r="CG43" s="170"/>
      <c r="CH43" s="170"/>
      <c r="CI43" s="170"/>
      <c r="CJ43" s="12"/>
      <c r="CK43" s="13"/>
      <c r="CL43" s="14"/>
      <c r="CM43" s="15"/>
      <c r="CN43" s="24"/>
      <c r="CO43" s="25"/>
      <c r="CP43" s="28"/>
      <c r="CQ43" s="29"/>
    </row>
    <row r="44" spans="1:95" s="2" customFormat="1" ht="1.5" customHeight="1" x14ac:dyDescent="0.55000000000000004">
      <c r="A44" s="7"/>
      <c r="B44" s="16"/>
      <c r="C44" s="17"/>
      <c r="D44" s="18"/>
      <c r="E44" s="19"/>
      <c r="F44" s="16"/>
      <c r="G44" s="17"/>
      <c r="H44" s="18"/>
      <c r="I44" s="19"/>
      <c r="J44" s="16"/>
      <c r="K44" s="17"/>
      <c r="L44" s="18"/>
      <c r="M44" s="19"/>
      <c r="N44" s="16"/>
      <c r="O44" s="17"/>
      <c r="P44" s="18"/>
      <c r="Q44" s="19"/>
      <c r="R44" s="16"/>
      <c r="S44" s="17"/>
      <c r="T44" s="18"/>
      <c r="U44" s="19"/>
      <c r="V44" s="16"/>
      <c r="W44" s="17"/>
      <c r="X44" s="18"/>
      <c r="Y44" s="19"/>
      <c r="Z44" s="16"/>
      <c r="AA44" s="17"/>
      <c r="AB44" s="18"/>
      <c r="AC44" s="19"/>
      <c r="AD44" s="16"/>
      <c r="AE44" s="17"/>
      <c r="AF44" s="18"/>
      <c r="AG44" s="19"/>
      <c r="AH44" s="16"/>
      <c r="AI44" s="17"/>
      <c r="AJ44" s="18"/>
      <c r="AK44" s="19"/>
      <c r="AL44" s="16"/>
      <c r="AM44" s="17"/>
      <c r="AN44" s="18"/>
      <c r="AO44" s="19"/>
      <c r="AP44" s="16"/>
      <c r="AQ44" s="17"/>
      <c r="AR44" s="18"/>
      <c r="AS44" s="19"/>
      <c r="AT44" s="16"/>
      <c r="AU44" s="17"/>
      <c r="AV44" s="18"/>
      <c r="AW44" s="19"/>
      <c r="AX44" s="12"/>
      <c r="AY44" s="13"/>
      <c r="AZ44" s="14"/>
      <c r="BA44" s="15"/>
      <c r="BB44" s="12"/>
      <c r="BC44" s="13"/>
      <c r="BD44" s="14"/>
      <c r="BE44" s="15"/>
      <c r="BF44" s="12"/>
      <c r="BG44" s="13"/>
      <c r="BH44" s="14"/>
      <c r="BI44" s="15"/>
      <c r="BJ44" s="12"/>
      <c r="BK44" s="57"/>
      <c r="BL44" s="57"/>
      <c r="BM44" s="13"/>
      <c r="BN44" s="14"/>
      <c r="BO44" s="30"/>
      <c r="BP44" s="12"/>
      <c r="BQ44" s="13"/>
      <c r="BR44" s="14"/>
      <c r="BS44" s="15"/>
      <c r="BT44" s="12">
        <v>0</v>
      </c>
      <c r="BU44" s="57">
        <v>0</v>
      </c>
      <c r="BV44" s="57">
        <v>0</v>
      </c>
      <c r="BW44" s="13">
        <v>0</v>
      </c>
      <c r="BX44" s="14"/>
      <c r="BY44" s="15"/>
      <c r="BZ44" s="12"/>
      <c r="CA44" s="13"/>
      <c r="CB44" s="14"/>
      <c r="CC44" s="15"/>
      <c r="CD44" s="24"/>
      <c r="CE44" s="25"/>
      <c r="CF44" s="169"/>
      <c r="CG44" s="170"/>
      <c r="CH44" s="170"/>
      <c r="CI44" s="170"/>
      <c r="CJ44" s="12"/>
      <c r="CK44" s="13"/>
      <c r="CL44" s="14"/>
      <c r="CM44" s="15"/>
      <c r="CN44" s="24"/>
      <c r="CO44" s="25"/>
      <c r="CP44" s="28"/>
      <c r="CQ44" s="29"/>
    </row>
    <row r="45" spans="1:95" s="2" customFormat="1" ht="1.5" customHeight="1" x14ac:dyDescent="0.55000000000000004">
      <c r="A45" s="7"/>
      <c r="B45" s="16"/>
      <c r="C45" s="17"/>
      <c r="D45" s="18"/>
      <c r="E45" s="19"/>
      <c r="F45" s="16"/>
      <c r="G45" s="17"/>
      <c r="H45" s="18"/>
      <c r="I45" s="19"/>
      <c r="J45" s="16"/>
      <c r="K45" s="17"/>
      <c r="L45" s="18"/>
      <c r="M45" s="19"/>
      <c r="N45" s="16"/>
      <c r="O45" s="17"/>
      <c r="P45" s="18"/>
      <c r="Q45" s="19"/>
      <c r="R45" s="16"/>
      <c r="S45" s="17"/>
      <c r="T45" s="18"/>
      <c r="U45" s="19"/>
      <c r="V45" s="16"/>
      <c r="W45" s="17"/>
      <c r="X45" s="18"/>
      <c r="Y45" s="19"/>
      <c r="Z45" s="16"/>
      <c r="AA45" s="17"/>
      <c r="AB45" s="18"/>
      <c r="AC45" s="19"/>
      <c r="AD45" s="16"/>
      <c r="AE45" s="17"/>
      <c r="AF45" s="18"/>
      <c r="AG45" s="19"/>
      <c r="AH45" s="16"/>
      <c r="AI45" s="17"/>
      <c r="AJ45" s="18"/>
      <c r="AK45" s="19"/>
      <c r="AL45" s="16"/>
      <c r="AM45" s="17"/>
      <c r="AN45" s="18"/>
      <c r="AO45" s="19"/>
      <c r="AP45" s="16"/>
      <c r="AQ45" s="17"/>
      <c r="AR45" s="18"/>
      <c r="AS45" s="19"/>
      <c r="AT45" s="16"/>
      <c r="AU45" s="17"/>
      <c r="AV45" s="18"/>
      <c r="AW45" s="19"/>
      <c r="AX45" s="12"/>
      <c r="AY45" s="13"/>
      <c r="AZ45" s="14"/>
      <c r="BA45" s="15"/>
      <c r="BB45" s="12"/>
      <c r="BC45" s="13"/>
      <c r="BD45" s="14"/>
      <c r="BE45" s="15"/>
      <c r="BF45" s="12"/>
      <c r="BG45" s="13"/>
      <c r="BH45" s="14"/>
      <c r="BI45" s="15"/>
      <c r="BJ45" s="12"/>
      <c r="BK45" s="57"/>
      <c r="BL45" s="57"/>
      <c r="BM45" s="13"/>
      <c r="BN45" s="14"/>
      <c r="BO45" s="30"/>
      <c r="BP45" s="12"/>
      <c r="BQ45" s="13"/>
      <c r="BR45" s="14"/>
      <c r="BS45" s="15"/>
      <c r="BT45" s="12">
        <v>0</v>
      </c>
      <c r="BU45" s="57">
        <v>0</v>
      </c>
      <c r="BV45" s="57">
        <v>0</v>
      </c>
      <c r="BW45" s="13">
        <v>0</v>
      </c>
      <c r="BX45" s="14"/>
      <c r="BY45" s="15"/>
      <c r="BZ45" s="12"/>
      <c r="CA45" s="13"/>
      <c r="CB45" s="14"/>
      <c r="CC45" s="15"/>
      <c r="CD45" s="24"/>
      <c r="CE45" s="25"/>
      <c r="CF45" s="169"/>
      <c r="CG45" s="170"/>
      <c r="CH45" s="170"/>
      <c r="CI45" s="170"/>
      <c r="CJ45" s="12"/>
      <c r="CK45" s="13"/>
      <c r="CL45" s="14"/>
      <c r="CM45" s="15"/>
      <c r="CN45" s="24"/>
      <c r="CO45" s="25"/>
      <c r="CP45" s="28"/>
      <c r="CQ45" s="29"/>
    </row>
    <row r="46" spans="1:95" s="2" customFormat="1" ht="1.5" customHeight="1" x14ac:dyDescent="0.55000000000000004">
      <c r="A46" s="7"/>
      <c r="B46" s="16"/>
      <c r="C46" s="17"/>
      <c r="D46" s="18"/>
      <c r="E46" s="19"/>
      <c r="F46" s="16"/>
      <c r="G46" s="17"/>
      <c r="H46" s="18"/>
      <c r="I46" s="19"/>
      <c r="J46" s="16"/>
      <c r="K46" s="17"/>
      <c r="L46" s="18"/>
      <c r="M46" s="19"/>
      <c r="N46" s="16"/>
      <c r="O46" s="17"/>
      <c r="P46" s="18"/>
      <c r="Q46" s="19"/>
      <c r="R46" s="16"/>
      <c r="S46" s="17"/>
      <c r="T46" s="18"/>
      <c r="U46" s="19"/>
      <c r="V46" s="16"/>
      <c r="W46" s="17"/>
      <c r="X46" s="18"/>
      <c r="Y46" s="19"/>
      <c r="Z46" s="16"/>
      <c r="AA46" s="17"/>
      <c r="AB46" s="18"/>
      <c r="AC46" s="19"/>
      <c r="AD46" s="16"/>
      <c r="AE46" s="17"/>
      <c r="AF46" s="18"/>
      <c r="AG46" s="19"/>
      <c r="AH46" s="16"/>
      <c r="AI46" s="17"/>
      <c r="AJ46" s="18"/>
      <c r="AK46" s="19"/>
      <c r="AL46" s="16"/>
      <c r="AM46" s="17"/>
      <c r="AN46" s="18"/>
      <c r="AO46" s="19"/>
      <c r="AP46" s="16"/>
      <c r="AQ46" s="17"/>
      <c r="AR46" s="18"/>
      <c r="AS46" s="19"/>
      <c r="AT46" s="16"/>
      <c r="AU46" s="17"/>
      <c r="AV46" s="18"/>
      <c r="AW46" s="19"/>
      <c r="AX46" s="12"/>
      <c r="AY46" s="13"/>
      <c r="AZ46" s="14"/>
      <c r="BA46" s="15"/>
      <c r="BB46" s="12"/>
      <c r="BC46" s="13"/>
      <c r="BD46" s="14"/>
      <c r="BE46" s="15"/>
      <c r="BF46" s="12"/>
      <c r="BG46" s="13"/>
      <c r="BH46" s="14"/>
      <c r="BI46" s="15"/>
      <c r="BJ46" s="12"/>
      <c r="BK46" s="57"/>
      <c r="BL46" s="57"/>
      <c r="BM46" s="13"/>
      <c r="BN46" s="14"/>
      <c r="BO46" s="30"/>
      <c r="BP46" s="12"/>
      <c r="BQ46" s="13"/>
      <c r="BR46" s="14"/>
      <c r="BS46" s="15"/>
      <c r="BT46" s="12">
        <v>0</v>
      </c>
      <c r="BU46" s="57">
        <v>0</v>
      </c>
      <c r="BV46" s="57">
        <v>0</v>
      </c>
      <c r="BW46" s="13">
        <v>0</v>
      </c>
      <c r="BX46" s="14"/>
      <c r="BY46" s="15"/>
      <c r="BZ46" s="12"/>
      <c r="CA46" s="13"/>
      <c r="CB46" s="14"/>
      <c r="CC46" s="15"/>
      <c r="CD46" s="24"/>
      <c r="CE46" s="25"/>
      <c r="CF46" s="169"/>
      <c r="CG46" s="170"/>
      <c r="CH46" s="170"/>
      <c r="CI46" s="170"/>
      <c r="CJ46" s="12"/>
      <c r="CK46" s="13"/>
      <c r="CL46" s="14"/>
      <c r="CM46" s="15"/>
      <c r="CN46" s="24"/>
      <c r="CO46" s="25"/>
      <c r="CP46" s="28"/>
      <c r="CQ46" s="29"/>
    </row>
    <row r="47" spans="1:95" s="2" customFormat="1" ht="1.5" customHeight="1" x14ac:dyDescent="0.55000000000000004">
      <c r="A47" s="7"/>
      <c r="B47" s="16"/>
      <c r="C47" s="17"/>
      <c r="D47" s="18"/>
      <c r="E47" s="19"/>
      <c r="F47" s="16"/>
      <c r="G47" s="17"/>
      <c r="H47" s="18"/>
      <c r="I47" s="19"/>
      <c r="J47" s="16"/>
      <c r="K47" s="17"/>
      <c r="L47" s="18"/>
      <c r="M47" s="19"/>
      <c r="N47" s="16"/>
      <c r="O47" s="17"/>
      <c r="P47" s="18"/>
      <c r="Q47" s="19"/>
      <c r="R47" s="16"/>
      <c r="S47" s="17"/>
      <c r="T47" s="18"/>
      <c r="U47" s="19"/>
      <c r="V47" s="16"/>
      <c r="W47" s="17"/>
      <c r="X47" s="18"/>
      <c r="Y47" s="19"/>
      <c r="Z47" s="16"/>
      <c r="AA47" s="17"/>
      <c r="AB47" s="18"/>
      <c r="AC47" s="19"/>
      <c r="AD47" s="16"/>
      <c r="AE47" s="17"/>
      <c r="AF47" s="18"/>
      <c r="AG47" s="19"/>
      <c r="AH47" s="16"/>
      <c r="AI47" s="17"/>
      <c r="AJ47" s="18"/>
      <c r="AK47" s="19"/>
      <c r="AL47" s="16"/>
      <c r="AM47" s="17"/>
      <c r="AN47" s="18"/>
      <c r="AO47" s="19"/>
      <c r="AP47" s="16"/>
      <c r="AQ47" s="17"/>
      <c r="AR47" s="18"/>
      <c r="AS47" s="19"/>
      <c r="AT47" s="16"/>
      <c r="AU47" s="17"/>
      <c r="AV47" s="18"/>
      <c r="AW47" s="19"/>
      <c r="AX47" s="12"/>
      <c r="AY47" s="13"/>
      <c r="AZ47" s="14"/>
      <c r="BA47" s="15"/>
      <c r="BB47" s="12"/>
      <c r="BC47" s="13"/>
      <c r="BD47" s="14"/>
      <c r="BE47" s="15"/>
      <c r="BF47" s="12"/>
      <c r="BG47" s="13"/>
      <c r="BH47" s="14"/>
      <c r="BI47" s="15"/>
      <c r="BJ47" s="12"/>
      <c r="BK47" s="57"/>
      <c r="BL47" s="57"/>
      <c r="BM47" s="13"/>
      <c r="BN47" s="14"/>
      <c r="BO47" s="30"/>
      <c r="BP47" s="12"/>
      <c r="BQ47" s="13"/>
      <c r="BR47" s="14"/>
      <c r="BS47" s="15"/>
      <c r="BT47" s="12">
        <v>0</v>
      </c>
      <c r="BU47" s="57">
        <v>0</v>
      </c>
      <c r="BV47" s="57">
        <v>0</v>
      </c>
      <c r="BW47" s="13">
        <v>0</v>
      </c>
      <c r="BX47" s="14"/>
      <c r="BY47" s="15"/>
      <c r="BZ47" s="12"/>
      <c r="CA47" s="13"/>
      <c r="CB47" s="14"/>
      <c r="CC47" s="15"/>
      <c r="CD47" s="24"/>
      <c r="CE47" s="25"/>
      <c r="CF47" s="169"/>
      <c r="CG47" s="170"/>
      <c r="CH47" s="170"/>
      <c r="CI47" s="170"/>
      <c r="CJ47" s="12"/>
      <c r="CK47" s="13"/>
      <c r="CL47" s="14"/>
      <c r="CM47" s="15"/>
      <c r="CN47" s="24"/>
      <c r="CO47" s="25"/>
      <c r="CP47" s="28"/>
      <c r="CQ47" s="29"/>
    </row>
    <row r="48" spans="1:95" s="2" customFormat="1" ht="1.5" customHeight="1" x14ac:dyDescent="0.55000000000000004">
      <c r="A48" s="7"/>
      <c r="B48" s="16"/>
      <c r="C48" s="17"/>
      <c r="D48" s="18"/>
      <c r="E48" s="19"/>
      <c r="F48" s="16"/>
      <c r="G48" s="17"/>
      <c r="H48" s="18"/>
      <c r="I48" s="19"/>
      <c r="J48" s="16"/>
      <c r="K48" s="17"/>
      <c r="L48" s="18"/>
      <c r="M48" s="19"/>
      <c r="N48" s="16"/>
      <c r="O48" s="17"/>
      <c r="P48" s="18"/>
      <c r="Q48" s="19"/>
      <c r="R48" s="16"/>
      <c r="S48" s="17"/>
      <c r="T48" s="18"/>
      <c r="U48" s="19"/>
      <c r="V48" s="16"/>
      <c r="W48" s="17"/>
      <c r="X48" s="18"/>
      <c r="Y48" s="19"/>
      <c r="Z48" s="16"/>
      <c r="AA48" s="17"/>
      <c r="AB48" s="18"/>
      <c r="AC48" s="19"/>
      <c r="AD48" s="16"/>
      <c r="AE48" s="17"/>
      <c r="AF48" s="18"/>
      <c r="AG48" s="19"/>
      <c r="AH48" s="16"/>
      <c r="AI48" s="17"/>
      <c r="AJ48" s="18"/>
      <c r="AK48" s="19"/>
      <c r="AL48" s="16"/>
      <c r="AM48" s="17"/>
      <c r="AN48" s="18"/>
      <c r="AO48" s="19"/>
      <c r="AP48" s="16"/>
      <c r="AQ48" s="17"/>
      <c r="AR48" s="18"/>
      <c r="AS48" s="19"/>
      <c r="AT48" s="16"/>
      <c r="AU48" s="17"/>
      <c r="AV48" s="18"/>
      <c r="AW48" s="19"/>
      <c r="AX48" s="12"/>
      <c r="AY48" s="13"/>
      <c r="AZ48" s="14"/>
      <c r="BA48" s="15"/>
      <c r="BB48" s="12"/>
      <c r="BC48" s="13"/>
      <c r="BD48" s="14"/>
      <c r="BE48" s="15"/>
      <c r="BF48" s="12"/>
      <c r="BG48" s="13"/>
      <c r="BH48" s="14"/>
      <c r="BI48" s="15"/>
      <c r="BJ48" s="12"/>
      <c r="BK48" s="57"/>
      <c r="BL48" s="57"/>
      <c r="BM48" s="13"/>
      <c r="BN48" s="14"/>
      <c r="BO48" s="30"/>
      <c r="BP48" s="12"/>
      <c r="BQ48" s="13"/>
      <c r="BR48" s="14"/>
      <c r="BS48" s="15"/>
      <c r="BT48" s="12">
        <v>0</v>
      </c>
      <c r="BU48" s="57">
        <v>0</v>
      </c>
      <c r="BV48" s="57">
        <v>0</v>
      </c>
      <c r="BW48" s="13">
        <v>0</v>
      </c>
      <c r="BX48" s="14"/>
      <c r="BY48" s="15"/>
      <c r="BZ48" s="12"/>
      <c r="CA48" s="13"/>
      <c r="CB48" s="14"/>
      <c r="CC48" s="15"/>
      <c r="CD48" s="24"/>
      <c r="CE48" s="25"/>
      <c r="CF48" s="169"/>
      <c r="CG48" s="170"/>
      <c r="CH48" s="170"/>
      <c r="CI48" s="170"/>
      <c r="CJ48" s="12"/>
      <c r="CK48" s="13"/>
      <c r="CL48" s="14"/>
      <c r="CM48" s="15"/>
      <c r="CN48" s="24"/>
      <c r="CO48" s="25"/>
      <c r="CP48" s="28"/>
      <c r="CQ48" s="29"/>
    </row>
    <row r="49" spans="1:95" s="2" customFormat="1" ht="1.5" customHeight="1" x14ac:dyDescent="0.55000000000000004">
      <c r="A49" s="7"/>
      <c r="B49" s="16"/>
      <c r="C49" s="17"/>
      <c r="D49" s="18"/>
      <c r="E49" s="19"/>
      <c r="F49" s="16"/>
      <c r="G49" s="17"/>
      <c r="H49" s="18"/>
      <c r="I49" s="19"/>
      <c r="J49" s="16"/>
      <c r="K49" s="17"/>
      <c r="L49" s="18"/>
      <c r="M49" s="19"/>
      <c r="N49" s="16"/>
      <c r="O49" s="17"/>
      <c r="P49" s="18"/>
      <c r="Q49" s="19"/>
      <c r="R49" s="16"/>
      <c r="S49" s="17"/>
      <c r="T49" s="18"/>
      <c r="U49" s="19"/>
      <c r="V49" s="16"/>
      <c r="W49" s="17"/>
      <c r="X49" s="18"/>
      <c r="Y49" s="19"/>
      <c r="Z49" s="16"/>
      <c r="AA49" s="17"/>
      <c r="AB49" s="18"/>
      <c r="AC49" s="19"/>
      <c r="AD49" s="16"/>
      <c r="AE49" s="17"/>
      <c r="AF49" s="18"/>
      <c r="AG49" s="19"/>
      <c r="AH49" s="16"/>
      <c r="AI49" s="17"/>
      <c r="AJ49" s="18"/>
      <c r="AK49" s="19"/>
      <c r="AL49" s="16"/>
      <c r="AM49" s="17"/>
      <c r="AN49" s="18"/>
      <c r="AO49" s="19"/>
      <c r="AP49" s="16"/>
      <c r="AQ49" s="17"/>
      <c r="AR49" s="18"/>
      <c r="AS49" s="19"/>
      <c r="AT49" s="16"/>
      <c r="AU49" s="17"/>
      <c r="AV49" s="18"/>
      <c r="AW49" s="19"/>
      <c r="AX49" s="12"/>
      <c r="AY49" s="13"/>
      <c r="AZ49" s="14"/>
      <c r="BA49" s="15"/>
      <c r="BB49" s="12"/>
      <c r="BC49" s="13"/>
      <c r="BD49" s="14"/>
      <c r="BE49" s="15"/>
      <c r="BF49" s="12"/>
      <c r="BG49" s="13"/>
      <c r="BH49" s="14"/>
      <c r="BI49" s="15"/>
      <c r="BJ49" s="12"/>
      <c r="BK49" s="57"/>
      <c r="BL49" s="57"/>
      <c r="BM49" s="13"/>
      <c r="BN49" s="14"/>
      <c r="BO49" s="30"/>
      <c r="BP49" s="12"/>
      <c r="BQ49" s="13"/>
      <c r="BR49" s="14"/>
      <c r="BS49" s="15"/>
      <c r="BT49" s="12">
        <v>0</v>
      </c>
      <c r="BU49" s="57">
        <v>0</v>
      </c>
      <c r="BV49" s="57">
        <v>0</v>
      </c>
      <c r="BW49" s="13">
        <v>0</v>
      </c>
      <c r="BX49" s="14"/>
      <c r="BY49" s="15"/>
      <c r="BZ49" s="12"/>
      <c r="CA49" s="13"/>
      <c r="CB49" s="14"/>
      <c r="CC49" s="15"/>
      <c r="CD49" s="24"/>
      <c r="CE49" s="25"/>
      <c r="CF49" s="169"/>
      <c r="CG49" s="170"/>
      <c r="CH49" s="170"/>
      <c r="CI49" s="170"/>
      <c r="CJ49" s="12"/>
      <c r="CK49" s="13"/>
      <c r="CL49" s="14"/>
      <c r="CM49" s="15"/>
      <c r="CN49" s="24"/>
      <c r="CO49" s="25"/>
      <c r="CP49" s="28"/>
      <c r="CQ49" s="29"/>
    </row>
    <row r="50" spans="1:95" s="2" customFormat="1" ht="1.5" customHeight="1" x14ac:dyDescent="0.55000000000000004">
      <c r="A50" s="7"/>
      <c r="B50" s="16"/>
      <c r="C50" s="17"/>
      <c r="D50" s="18"/>
      <c r="E50" s="19"/>
      <c r="F50" s="16"/>
      <c r="G50" s="17"/>
      <c r="H50" s="18"/>
      <c r="I50" s="19"/>
      <c r="J50" s="16"/>
      <c r="K50" s="17"/>
      <c r="L50" s="18"/>
      <c r="M50" s="19"/>
      <c r="N50" s="16"/>
      <c r="O50" s="17"/>
      <c r="P50" s="18"/>
      <c r="Q50" s="19"/>
      <c r="R50" s="16"/>
      <c r="S50" s="17"/>
      <c r="T50" s="18"/>
      <c r="U50" s="19"/>
      <c r="V50" s="16"/>
      <c r="W50" s="17"/>
      <c r="X50" s="18"/>
      <c r="Y50" s="19"/>
      <c r="Z50" s="16"/>
      <c r="AA50" s="17"/>
      <c r="AB50" s="18"/>
      <c r="AC50" s="19"/>
      <c r="AD50" s="16"/>
      <c r="AE50" s="17"/>
      <c r="AF50" s="18"/>
      <c r="AG50" s="19"/>
      <c r="AH50" s="16"/>
      <c r="AI50" s="17"/>
      <c r="AJ50" s="18"/>
      <c r="AK50" s="19"/>
      <c r="AL50" s="16"/>
      <c r="AM50" s="17"/>
      <c r="AN50" s="18"/>
      <c r="AO50" s="19"/>
      <c r="AP50" s="16"/>
      <c r="AQ50" s="17"/>
      <c r="AR50" s="18"/>
      <c r="AS50" s="19"/>
      <c r="AT50" s="16"/>
      <c r="AU50" s="17"/>
      <c r="AV50" s="18"/>
      <c r="AW50" s="19"/>
      <c r="AX50" s="12"/>
      <c r="AY50" s="13"/>
      <c r="AZ50" s="14"/>
      <c r="BA50" s="15"/>
      <c r="BB50" s="12"/>
      <c r="BC50" s="13"/>
      <c r="BD50" s="14"/>
      <c r="BE50" s="15"/>
      <c r="BF50" s="12"/>
      <c r="BG50" s="13"/>
      <c r="BH50" s="14"/>
      <c r="BI50" s="15"/>
      <c r="BJ50" s="12"/>
      <c r="BK50" s="57"/>
      <c r="BL50" s="57"/>
      <c r="BM50" s="13"/>
      <c r="BN50" s="14"/>
      <c r="BO50" s="30"/>
      <c r="BP50" s="12"/>
      <c r="BQ50" s="13"/>
      <c r="BR50" s="14"/>
      <c r="BS50" s="15"/>
      <c r="BT50" s="12">
        <v>0</v>
      </c>
      <c r="BU50" s="57">
        <v>0</v>
      </c>
      <c r="BV50" s="57">
        <v>0</v>
      </c>
      <c r="BW50" s="13">
        <v>0</v>
      </c>
      <c r="BX50" s="14"/>
      <c r="BY50" s="15"/>
      <c r="BZ50" s="12"/>
      <c r="CA50" s="13"/>
      <c r="CB50" s="14"/>
      <c r="CC50" s="15"/>
      <c r="CD50" s="24"/>
      <c r="CE50" s="25"/>
      <c r="CF50" s="169"/>
      <c r="CG50" s="170"/>
      <c r="CH50" s="170"/>
      <c r="CI50" s="170"/>
      <c r="CJ50" s="12"/>
      <c r="CK50" s="13"/>
      <c r="CL50" s="14"/>
      <c r="CM50" s="15"/>
      <c r="CN50" s="24"/>
      <c r="CO50" s="25"/>
      <c r="CP50" s="28"/>
      <c r="CQ50" s="29"/>
    </row>
    <row r="51" spans="1:95" s="2" customFormat="1" ht="1.5" customHeight="1" x14ac:dyDescent="0.55000000000000004">
      <c r="A51" s="7"/>
      <c r="B51" s="16"/>
      <c r="C51" s="17"/>
      <c r="D51" s="18"/>
      <c r="E51" s="19"/>
      <c r="F51" s="16"/>
      <c r="G51" s="17"/>
      <c r="H51" s="18"/>
      <c r="I51" s="19"/>
      <c r="J51" s="16"/>
      <c r="K51" s="17"/>
      <c r="L51" s="18"/>
      <c r="M51" s="19"/>
      <c r="N51" s="16"/>
      <c r="O51" s="17"/>
      <c r="P51" s="18"/>
      <c r="Q51" s="19"/>
      <c r="R51" s="16"/>
      <c r="S51" s="17"/>
      <c r="T51" s="18"/>
      <c r="U51" s="19"/>
      <c r="V51" s="16"/>
      <c r="W51" s="17"/>
      <c r="X51" s="18"/>
      <c r="Y51" s="19"/>
      <c r="Z51" s="16"/>
      <c r="AA51" s="17"/>
      <c r="AB51" s="18"/>
      <c r="AC51" s="19"/>
      <c r="AD51" s="16"/>
      <c r="AE51" s="17"/>
      <c r="AF51" s="18"/>
      <c r="AG51" s="19"/>
      <c r="AH51" s="16"/>
      <c r="AI51" s="17"/>
      <c r="AJ51" s="18"/>
      <c r="AK51" s="19"/>
      <c r="AL51" s="16"/>
      <c r="AM51" s="17"/>
      <c r="AN51" s="18"/>
      <c r="AO51" s="19"/>
      <c r="AP51" s="16"/>
      <c r="AQ51" s="17"/>
      <c r="AR51" s="18"/>
      <c r="AS51" s="19"/>
      <c r="AT51" s="16"/>
      <c r="AU51" s="17"/>
      <c r="AV51" s="18"/>
      <c r="AW51" s="19"/>
      <c r="AX51" s="12"/>
      <c r="AY51" s="13"/>
      <c r="AZ51" s="14"/>
      <c r="BA51" s="15"/>
      <c r="BB51" s="12"/>
      <c r="BC51" s="13"/>
      <c r="BD51" s="14"/>
      <c r="BE51" s="15"/>
      <c r="BF51" s="12"/>
      <c r="BG51" s="13"/>
      <c r="BH51" s="14"/>
      <c r="BI51" s="15"/>
      <c r="BJ51" s="12"/>
      <c r="BK51" s="57"/>
      <c r="BL51" s="57"/>
      <c r="BM51" s="13"/>
      <c r="BN51" s="14"/>
      <c r="BO51" s="30"/>
      <c r="BP51" s="12"/>
      <c r="BQ51" s="13"/>
      <c r="BR51" s="14"/>
      <c r="BS51" s="15"/>
      <c r="BT51" s="12">
        <v>0</v>
      </c>
      <c r="BU51" s="57">
        <v>0</v>
      </c>
      <c r="BV51" s="57">
        <v>0</v>
      </c>
      <c r="BW51" s="13">
        <v>0</v>
      </c>
      <c r="BX51" s="14"/>
      <c r="BY51" s="15"/>
      <c r="BZ51" s="12"/>
      <c r="CA51" s="13"/>
      <c r="CB51" s="14"/>
      <c r="CC51" s="15"/>
      <c r="CD51" s="24"/>
      <c r="CE51" s="25"/>
      <c r="CF51" s="169"/>
      <c r="CG51" s="170"/>
      <c r="CH51" s="170"/>
      <c r="CI51" s="170"/>
      <c r="CJ51" s="12"/>
      <c r="CK51" s="13"/>
      <c r="CL51" s="14"/>
      <c r="CM51" s="15"/>
      <c r="CN51" s="24"/>
      <c r="CO51" s="25"/>
      <c r="CP51" s="28"/>
      <c r="CQ51" s="29"/>
    </row>
    <row r="52" spans="1:95" s="2" customFormat="1" ht="1.5" customHeight="1" x14ac:dyDescent="0.55000000000000004">
      <c r="A52" s="7"/>
      <c r="B52" s="16"/>
      <c r="C52" s="17"/>
      <c r="D52" s="18"/>
      <c r="E52" s="19"/>
      <c r="F52" s="16"/>
      <c r="G52" s="17"/>
      <c r="H52" s="18"/>
      <c r="I52" s="19"/>
      <c r="J52" s="16"/>
      <c r="K52" s="17"/>
      <c r="L52" s="18"/>
      <c r="M52" s="19"/>
      <c r="N52" s="16"/>
      <c r="O52" s="17"/>
      <c r="P52" s="18"/>
      <c r="Q52" s="19"/>
      <c r="R52" s="16"/>
      <c r="S52" s="17"/>
      <c r="T52" s="18"/>
      <c r="U52" s="19"/>
      <c r="V52" s="16"/>
      <c r="W52" s="17"/>
      <c r="X52" s="18"/>
      <c r="Y52" s="19"/>
      <c r="Z52" s="16"/>
      <c r="AA52" s="17"/>
      <c r="AB52" s="18"/>
      <c r="AC52" s="19"/>
      <c r="AD52" s="16"/>
      <c r="AE52" s="17"/>
      <c r="AF52" s="18"/>
      <c r="AG52" s="19"/>
      <c r="AH52" s="16"/>
      <c r="AI52" s="17"/>
      <c r="AJ52" s="18"/>
      <c r="AK52" s="19"/>
      <c r="AL52" s="16"/>
      <c r="AM52" s="17"/>
      <c r="AN52" s="18"/>
      <c r="AO52" s="19"/>
      <c r="AP52" s="16"/>
      <c r="AQ52" s="17"/>
      <c r="AR52" s="18"/>
      <c r="AS52" s="19"/>
      <c r="AT52" s="16"/>
      <c r="AU52" s="17"/>
      <c r="AV52" s="18"/>
      <c r="AW52" s="19"/>
      <c r="AX52" s="12"/>
      <c r="AY52" s="13"/>
      <c r="AZ52" s="14"/>
      <c r="BA52" s="15"/>
      <c r="BB52" s="12"/>
      <c r="BC52" s="13"/>
      <c r="BD52" s="14"/>
      <c r="BE52" s="15"/>
      <c r="BF52" s="12"/>
      <c r="BG52" s="13"/>
      <c r="BH52" s="14"/>
      <c r="BI52" s="15"/>
      <c r="BJ52" s="12"/>
      <c r="BK52" s="57"/>
      <c r="BL52" s="57"/>
      <c r="BM52" s="13"/>
      <c r="BN52" s="14"/>
      <c r="BO52" s="30"/>
      <c r="BP52" s="12"/>
      <c r="BQ52" s="13"/>
      <c r="BR52" s="14"/>
      <c r="BS52" s="15"/>
      <c r="BT52" s="12">
        <v>0</v>
      </c>
      <c r="BU52" s="57">
        <v>0</v>
      </c>
      <c r="BV52" s="57">
        <v>0</v>
      </c>
      <c r="BW52" s="13">
        <v>0</v>
      </c>
      <c r="BX52" s="14"/>
      <c r="BY52" s="15"/>
      <c r="BZ52" s="12"/>
      <c r="CA52" s="13"/>
      <c r="CB52" s="14"/>
      <c r="CC52" s="15"/>
      <c r="CD52" s="24"/>
      <c r="CE52" s="25"/>
      <c r="CF52" s="169"/>
      <c r="CG52" s="170"/>
      <c r="CH52" s="170"/>
      <c r="CI52" s="170"/>
      <c r="CJ52" s="12"/>
      <c r="CK52" s="13"/>
      <c r="CL52" s="14"/>
      <c r="CM52" s="15"/>
      <c r="CN52" s="24"/>
      <c r="CO52" s="25"/>
      <c r="CP52" s="28"/>
      <c r="CQ52" s="29"/>
    </row>
    <row r="53" spans="1:95" s="2" customFormat="1" ht="1.5" customHeight="1" x14ac:dyDescent="0.55000000000000004">
      <c r="A53" s="7"/>
      <c r="B53" s="16"/>
      <c r="C53" s="17"/>
      <c r="D53" s="18"/>
      <c r="E53" s="19"/>
      <c r="F53" s="16"/>
      <c r="G53" s="17"/>
      <c r="H53" s="18"/>
      <c r="I53" s="19"/>
      <c r="J53" s="16"/>
      <c r="K53" s="17"/>
      <c r="L53" s="18"/>
      <c r="M53" s="19"/>
      <c r="N53" s="16"/>
      <c r="O53" s="17"/>
      <c r="P53" s="18"/>
      <c r="Q53" s="19"/>
      <c r="R53" s="16"/>
      <c r="S53" s="17"/>
      <c r="T53" s="18"/>
      <c r="U53" s="19"/>
      <c r="V53" s="16"/>
      <c r="W53" s="17"/>
      <c r="X53" s="18"/>
      <c r="Y53" s="19"/>
      <c r="Z53" s="16"/>
      <c r="AA53" s="17"/>
      <c r="AB53" s="18"/>
      <c r="AC53" s="19"/>
      <c r="AD53" s="16"/>
      <c r="AE53" s="17"/>
      <c r="AF53" s="18"/>
      <c r="AG53" s="19"/>
      <c r="AH53" s="16"/>
      <c r="AI53" s="17"/>
      <c r="AJ53" s="18"/>
      <c r="AK53" s="19"/>
      <c r="AL53" s="16"/>
      <c r="AM53" s="17"/>
      <c r="AN53" s="18"/>
      <c r="AO53" s="19"/>
      <c r="AP53" s="16"/>
      <c r="AQ53" s="17"/>
      <c r="AR53" s="18"/>
      <c r="AS53" s="19"/>
      <c r="AT53" s="16"/>
      <c r="AU53" s="17"/>
      <c r="AV53" s="18"/>
      <c r="AW53" s="19"/>
      <c r="AX53" s="12"/>
      <c r="AY53" s="13"/>
      <c r="AZ53" s="14"/>
      <c r="BA53" s="15"/>
      <c r="BB53" s="12"/>
      <c r="BC53" s="13"/>
      <c r="BD53" s="14"/>
      <c r="BE53" s="15"/>
      <c r="BF53" s="12"/>
      <c r="BG53" s="13"/>
      <c r="BH53" s="14"/>
      <c r="BI53" s="15"/>
      <c r="BJ53" s="12"/>
      <c r="BK53" s="57"/>
      <c r="BL53" s="57"/>
      <c r="BM53" s="13"/>
      <c r="BN53" s="14"/>
      <c r="BO53" s="30"/>
      <c r="BP53" s="12"/>
      <c r="BQ53" s="13"/>
      <c r="BR53" s="14"/>
      <c r="BS53" s="15"/>
      <c r="BT53" s="12">
        <v>0</v>
      </c>
      <c r="BU53" s="57">
        <v>0</v>
      </c>
      <c r="BV53" s="57">
        <v>0</v>
      </c>
      <c r="BW53" s="13">
        <v>0</v>
      </c>
      <c r="BX53" s="14"/>
      <c r="BY53" s="15"/>
      <c r="BZ53" s="12"/>
      <c r="CA53" s="13"/>
      <c r="CB53" s="14"/>
      <c r="CC53" s="15"/>
      <c r="CD53" s="24"/>
      <c r="CE53" s="25"/>
      <c r="CF53" s="169"/>
      <c r="CG53" s="170"/>
      <c r="CH53" s="170"/>
      <c r="CI53" s="170"/>
      <c r="CJ53" s="12"/>
      <c r="CK53" s="13"/>
      <c r="CL53" s="14"/>
      <c r="CM53" s="15"/>
      <c r="CN53" s="24"/>
      <c r="CO53" s="25"/>
      <c r="CP53" s="28"/>
      <c r="CQ53" s="29"/>
    </row>
    <row r="54" spans="1:95" s="2" customFormat="1" ht="1.5" customHeight="1" x14ac:dyDescent="0.55000000000000004">
      <c r="A54" s="7"/>
      <c r="B54" s="16"/>
      <c r="C54" s="17"/>
      <c r="D54" s="18"/>
      <c r="E54" s="19"/>
      <c r="F54" s="16"/>
      <c r="G54" s="17"/>
      <c r="H54" s="18"/>
      <c r="I54" s="19"/>
      <c r="J54" s="16"/>
      <c r="K54" s="17"/>
      <c r="L54" s="18"/>
      <c r="M54" s="19"/>
      <c r="N54" s="16"/>
      <c r="O54" s="17"/>
      <c r="P54" s="18"/>
      <c r="Q54" s="19"/>
      <c r="R54" s="16"/>
      <c r="S54" s="17"/>
      <c r="T54" s="18"/>
      <c r="U54" s="19"/>
      <c r="V54" s="16"/>
      <c r="W54" s="17"/>
      <c r="X54" s="18"/>
      <c r="Y54" s="19"/>
      <c r="Z54" s="16"/>
      <c r="AA54" s="17"/>
      <c r="AB54" s="18"/>
      <c r="AC54" s="19"/>
      <c r="AD54" s="16"/>
      <c r="AE54" s="17"/>
      <c r="AF54" s="18"/>
      <c r="AG54" s="19"/>
      <c r="AH54" s="16"/>
      <c r="AI54" s="17"/>
      <c r="AJ54" s="18"/>
      <c r="AK54" s="19"/>
      <c r="AL54" s="16"/>
      <c r="AM54" s="17"/>
      <c r="AN54" s="18"/>
      <c r="AO54" s="19"/>
      <c r="AP54" s="16"/>
      <c r="AQ54" s="17"/>
      <c r="AR54" s="18"/>
      <c r="AS54" s="19"/>
      <c r="AT54" s="16"/>
      <c r="AU54" s="17"/>
      <c r="AV54" s="18"/>
      <c r="AW54" s="19"/>
      <c r="AX54" s="12"/>
      <c r="AY54" s="13"/>
      <c r="AZ54" s="14"/>
      <c r="BA54" s="15"/>
      <c r="BB54" s="12"/>
      <c r="BC54" s="13"/>
      <c r="BD54" s="14"/>
      <c r="BE54" s="15"/>
      <c r="BF54" s="12"/>
      <c r="BG54" s="13"/>
      <c r="BH54" s="14"/>
      <c r="BI54" s="15"/>
      <c r="BJ54" s="12"/>
      <c r="BK54" s="57"/>
      <c r="BL54" s="57"/>
      <c r="BM54" s="13"/>
      <c r="BN54" s="14"/>
      <c r="BO54" s="30"/>
      <c r="BP54" s="12"/>
      <c r="BQ54" s="13"/>
      <c r="BR54" s="14"/>
      <c r="BS54" s="15"/>
      <c r="BT54" s="12">
        <v>0</v>
      </c>
      <c r="BU54" s="57">
        <v>0</v>
      </c>
      <c r="BV54" s="57">
        <v>0</v>
      </c>
      <c r="BW54" s="13">
        <v>0</v>
      </c>
      <c r="BX54" s="14"/>
      <c r="BY54" s="15"/>
      <c r="BZ54" s="12"/>
      <c r="CA54" s="13"/>
      <c r="CB54" s="14"/>
      <c r="CC54" s="15"/>
      <c r="CD54" s="24"/>
      <c r="CE54" s="25"/>
      <c r="CF54" s="169"/>
      <c r="CG54" s="170"/>
      <c r="CH54" s="170"/>
      <c r="CI54" s="170"/>
      <c r="CJ54" s="12"/>
      <c r="CK54" s="13"/>
      <c r="CL54" s="14"/>
      <c r="CM54" s="15"/>
      <c r="CN54" s="24"/>
      <c r="CO54" s="25"/>
      <c r="CP54" s="28"/>
      <c r="CQ54" s="29"/>
    </row>
    <row r="55" spans="1:95" s="2" customFormat="1" ht="1.5" customHeight="1" x14ac:dyDescent="0.55000000000000004">
      <c r="A55" s="7"/>
      <c r="B55" s="16"/>
      <c r="C55" s="17"/>
      <c r="D55" s="18"/>
      <c r="E55" s="19"/>
      <c r="F55" s="16"/>
      <c r="G55" s="17"/>
      <c r="H55" s="18"/>
      <c r="I55" s="19"/>
      <c r="J55" s="16"/>
      <c r="K55" s="17"/>
      <c r="L55" s="18"/>
      <c r="M55" s="19"/>
      <c r="N55" s="16"/>
      <c r="O55" s="17"/>
      <c r="P55" s="18"/>
      <c r="Q55" s="19"/>
      <c r="R55" s="16"/>
      <c r="S55" s="17"/>
      <c r="T55" s="18"/>
      <c r="U55" s="19"/>
      <c r="V55" s="16"/>
      <c r="W55" s="17"/>
      <c r="X55" s="18"/>
      <c r="Y55" s="19"/>
      <c r="Z55" s="16"/>
      <c r="AA55" s="17"/>
      <c r="AB55" s="18"/>
      <c r="AC55" s="19"/>
      <c r="AD55" s="16"/>
      <c r="AE55" s="17"/>
      <c r="AF55" s="18"/>
      <c r="AG55" s="19"/>
      <c r="AH55" s="16"/>
      <c r="AI55" s="17"/>
      <c r="AJ55" s="18"/>
      <c r="AK55" s="19"/>
      <c r="AL55" s="16"/>
      <c r="AM55" s="17"/>
      <c r="AN55" s="18"/>
      <c r="AO55" s="19"/>
      <c r="AP55" s="16"/>
      <c r="AQ55" s="17"/>
      <c r="AR55" s="18"/>
      <c r="AS55" s="19"/>
      <c r="AT55" s="16"/>
      <c r="AU55" s="17"/>
      <c r="AV55" s="18"/>
      <c r="AW55" s="19"/>
      <c r="AX55" s="12"/>
      <c r="AY55" s="13"/>
      <c r="AZ55" s="14"/>
      <c r="BA55" s="15"/>
      <c r="BB55" s="12"/>
      <c r="BC55" s="13"/>
      <c r="BD55" s="14"/>
      <c r="BE55" s="15"/>
      <c r="BF55" s="12"/>
      <c r="BG55" s="13"/>
      <c r="BH55" s="14"/>
      <c r="BI55" s="15"/>
      <c r="BJ55" s="12"/>
      <c r="BK55" s="57"/>
      <c r="BL55" s="57"/>
      <c r="BM55" s="13"/>
      <c r="BN55" s="14"/>
      <c r="BO55" s="30"/>
      <c r="BP55" s="12"/>
      <c r="BQ55" s="13"/>
      <c r="BR55" s="14"/>
      <c r="BS55" s="15"/>
      <c r="BT55" s="12">
        <v>0</v>
      </c>
      <c r="BU55" s="57">
        <v>0</v>
      </c>
      <c r="BV55" s="57">
        <v>0</v>
      </c>
      <c r="BW55" s="13">
        <v>0</v>
      </c>
      <c r="BX55" s="14"/>
      <c r="BY55" s="15"/>
      <c r="BZ55" s="12"/>
      <c r="CA55" s="13"/>
      <c r="CB55" s="14"/>
      <c r="CC55" s="15"/>
      <c r="CD55" s="24"/>
      <c r="CE55" s="25"/>
      <c r="CF55" s="169"/>
      <c r="CG55" s="170"/>
      <c r="CH55" s="170"/>
      <c r="CI55" s="170"/>
      <c r="CJ55" s="12"/>
      <c r="CK55" s="13"/>
      <c r="CL55" s="14"/>
      <c r="CM55" s="15"/>
      <c r="CN55" s="24"/>
      <c r="CO55" s="25"/>
      <c r="CP55" s="28"/>
      <c r="CQ55" s="29"/>
    </row>
    <row r="56" spans="1:95" s="2" customFormat="1" ht="1.5" customHeight="1" x14ac:dyDescent="0.55000000000000004">
      <c r="A56" s="7"/>
      <c r="B56" s="16"/>
      <c r="C56" s="17"/>
      <c r="D56" s="18"/>
      <c r="E56" s="19"/>
      <c r="F56" s="16"/>
      <c r="G56" s="17"/>
      <c r="H56" s="18"/>
      <c r="I56" s="19"/>
      <c r="J56" s="16"/>
      <c r="K56" s="17"/>
      <c r="L56" s="18"/>
      <c r="M56" s="19"/>
      <c r="N56" s="16"/>
      <c r="O56" s="17"/>
      <c r="P56" s="18"/>
      <c r="Q56" s="19"/>
      <c r="R56" s="16"/>
      <c r="S56" s="17"/>
      <c r="T56" s="18"/>
      <c r="U56" s="19"/>
      <c r="V56" s="16"/>
      <c r="W56" s="17"/>
      <c r="X56" s="18"/>
      <c r="Y56" s="19"/>
      <c r="Z56" s="16"/>
      <c r="AA56" s="17"/>
      <c r="AB56" s="18"/>
      <c r="AC56" s="19"/>
      <c r="AD56" s="16"/>
      <c r="AE56" s="17"/>
      <c r="AF56" s="18"/>
      <c r="AG56" s="19"/>
      <c r="AH56" s="16"/>
      <c r="AI56" s="17"/>
      <c r="AJ56" s="18"/>
      <c r="AK56" s="19"/>
      <c r="AL56" s="16"/>
      <c r="AM56" s="17"/>
      <c r="AN56" s="18"/>
      <c r="AO56" s="19"/>
      <c r="AP56" s="16"/>
      <c r="AQ56" s="17"/>
      <c r="AR56" s="18"/>
      <c r="AS56" s="19"/>
      <c r="AT56" s="16"/>
      <c r="AU56" s="17"/>
      <c r="AV56" s="18"/>
      <c r="AW56" s="19"/>
      <c r="AX56" s="12"/>
      <c r="AY56" s="13"/>
      <c r="AZ56" s="14"/>
      <c r="BA56" s="15"/>
      <c r="BB56" s="12"/>
      <c r="BC56" s="13"/>
      <c r="BD56" s="14"/>
      <c r="BE56" s="15"/>
      <c r="BF56" s="12"/>
      <c r="BG56" s="13"/>
      <c r="BH56" s="14"/>
      <c r="BI56" s="15"/>
      <c r="BJ56" s="12"/>
      <c r="BK56" s="57"/>
      <c r="BL56" s="57"/>
      <c r="BM56" s="13"/>
      <c r="BN56" s="14"/>
      <c r="BO56" s="30"/>
      <c r="BP56" s="12"/>
      <c r="BQ56" s="13"/>
      <c r="BR56" s="14"/>
      <c r="BS56" s="15"/>
      <c r="BT56" s="12">
        <v>0</v>
      </c>
      <c r="BU56" s="57">
        <v>0</v>
      </c>
      <c r="BV56" s="57">
        <v>0</v>
      </c>
      <c r="BW56" s="13">
        <v>0</v>
      </c>
      <c r="BX56" s="14"/>
      <c r="BY56" s="15"/>
      <c r="BZ56" s="12"/>
      <c r="CA56" s="13"/>
      <c r="CB56" s="14"/>
      <c r="CC56" s="15"/>
      <c r="CD56" s="24"/>
      <c r="CE56" s="25"/>
      <c r="CF56" s="169"/>
      <c r="CG56" s="170"/>
      <c r="CH56" s="170"/>
      <c r="CI56" s="170"/>
      <c r="CJ56" s="12"/>
      <c r="CK56" s="13"/>
      <c r="CL56" s="14"/>
      <c r="CM56" s="15"/>
      <c r="CN56" s="24"/>
      <c r="CO56" s="25"/>
      <c r="CP56" s="28"/>
      <c r="CQ56" s="29"/>
    </row>
    <row r="57" spans="1:95" s="2" customFormat="1" ht="1.5" customHeight="1" x14ac:dyDescent="0.55000000000000004">
      <c r="A57" s="7"/>
      <c r="B57" s="16"/>
      <c r="C57" s="17"/>
      <c r="D57" s="18"/>
      <c r="E57" s="19"/>
      <c r="F57" s="16"/>
      <c r="G57" s="17"/>
      <c r="H57" s="18"/>
      <c r="I57" s="19"/>
      <c r="J57" s="16"/>
      <c r="K57" s="17"/>
      <c r="L57" s="18"/>
      <c r="M57" s="19"/>
      <c r="N57" s="16"/>
      <c r="O57" s="17"/>
      <c r="P57" s="18"/>
      <c r="Q57" s="19"/>
      <c r="R57" s="16"/>
      <c r="S57" s="17"/>
      <c r="T57" s="18"/>
      <c r="U57" s="19"/>
      <c r="V57" s="16"/>
      <c r="W57" s="17"/>
      <c r="X57" s="18"/>
      <c r="Y57" s="19"/>
      <c r="Z57" s="16"/>
      <c r="AA57" s="17"/>
      <c r="AB57" s="18"/>
      <c r="AC57" s="19"/>
      <c r="AD57" s="16"/>
      <c r="AE57" s="17"/>
      <c r="AF57" s="18"/>
      <c r="AG57" s="19"/>
      <c r="AH57" s="16"/>
      <c r="AI57" s="17"/>
      <c r="AJ57" s="18"/>
      <c r="AK57" s="19"/>
      <c r="AL57" s="16"/>
      <c r="AM57" s="17"/>
      <c r="AN57" s="18"/>
      <c r="AO57" s="19"/>
      <c r="AP57" s="16"/>
      <c r="AQ57" s="17"/>
      <c r="AR57" s="18"/>
      <c r="AS57" s="19"/>
      <c r="AT57" s="16"/>
      <c r="AU57" s="17"/>
      <c r="AV57" s="18"/>
      <c r="AW57" s="19"/>
      <c r="AX57" s="12"/>
      <c r="AY57" s="13"/>
      <c r="AZ57" s="14"/>
      <c r="BA57" s="15"/>
      <c r="BB57" s="12"/>
      <c r="BC57" s="13"/>
      <c r="BD57" s="14"/>
      <c r="BE57" s="15"/>
      <c r="BF57" s="12"/>
      <c r="BG57" s="13"/>
      <c r="BH57" s="14"/>
      <c r="BI57" s="15"/>
      <c r="BJ57" s="12"/>
      <c r="BK57" s="57"/>
      <c r="BL57" s="57"/>
      <c r="BM57" s="13"/>
      <c r="BN57" s="14"/>
      <c r="BO57" s="30"/>
      <c r="BP57" s="12"/>
      <c r="BQ57" s="13"/>
      <c r="BR57" s="14"/>
      <c r="BS57" s="15"/>
      <c r="BT57" s="12">
        <v>0</v>
      </c>
      <c r="BU57" s="57">
        <v>0</v>
      </c>
      <c r="BV57" s="57">
        <v>0</v>
      </c>
      <c r="BW57" s="13">
        <v>0</v>
      </c>
      <c r="BX57" s="14"/>
      <c r="BY57" s="15"/>
      <c r="BZ57" s="12"/>
      <c r="CA57" s="13"/>
      <c r="CB57" s="14"/>
      <c r="CC57" s="15"/>
      <c r="CD57" s="24"/>
      <c r="CE57" s="25"/>
      <c r="CF57" s="169"/>
      <c r="CG57" s="170"/>
      <c r="CH57" s="170"/>
      <c r="CI57" s="170"/>
      <c r="CJ57" s="12"/>
      <c r="CK57" s="13"/>
      <c r="CL57" s="14"/>
      <c r="CM57" s="15"/>
      <c r="CN57" s="24"/>
      <c r="CO57" s="25"/>
      <c r="CP57" s="28"/>
      <c r="CQ57" s="29"/>
    </row>
    <row r="58" spans="1:95" s="2" customFormat="1" ht="1.5" customHeight="1" x14ac:dyDescent="0.55000000000000004">
      <c r="A58" s="7"/>
      <c r="B58" s="16"/>
      <c r="C58" s="17"/>
      <c r="D58" s="18"/>
      <c r="E58" s="19"/>
      <c r="F58" s="16"/>
      <c r="G58" s="17"/>
      <c r="H58" s="18"/>
      <c r="I58" s="19"/>
      <c r="J58" s="16"/>
      <c r="K58" s="17"/>
      <c r="L58" s="18"/>
      <c r="M58" s="19"/>
      <c r="N58" s="16"/>
      <c r="O58" s="17"/>
      <c r="P58" s="18"/>
      <c r="Q58" s="19"/>
      <c r="R58" s="16"/>
      <c r="S58" s="17"/>
      <c r="T58" s="18"/>
      <c r="U58" s="19"/>
      <c r="V58" s="16"/>
      <c r="W58" s="17"/>
      <c r="X58" s="18"/>
      <c r="Y58" s="19"/>
      <c r="Z58" s="16"/>
      <c r="AA58" s="17"/>
      <c r="AB58" s="18"/>
      <c r="AC58" s="19"/>
      <c r="AD58" s="16"/>
      <c r="AE58" s="17"/>
      <c r="AF58" s="18"/>
      <c r="AG58" s="19"/>
      <c r="AH58" s="16"/>
      <c r="AI58" s="17"/>
      <c r="AJ58" s="18"/>
      <c r="AK58" s="19"/>
      <c r="AL58" s="16"/>
      <c r="AM58" s="17"/>
      <c r="AN58" s="18"/>
      <c r="AO58" s="19"/>
      <c r="AP58" s="16"/>
      <c r="AQ58" s="17"/>
      <c r="AR58" s="18"/>
      <c r="AS58" s="19"/>
      <c r="AT58" s="16"/>
      <c r="AU58" s="17"/>
      <c r="AV58" s="18"/>
      <c r="AW58" s="19"/>
      <c r="AX58" s="12"/>
      <c r="AY58" s="13"/>
      <c r="AZ58" s="14"/>
      <c r="BA58" s="15"/>
      <c r="BB58" s="12"/>
      <c r="BC58" s="13"/>
      <c r="BD58" s="14"/>
      <c r="BE58" s="15"/>
      <c r="BF58" s="12"/>
      <c r="BG58" s="13"/>
      <c r="BH58" s="14"/>
      <c r="BI58" s="15"/>
      <c r="BJ58" s="12"/>
      <c r="BK58" s="57"/>
      <c r="BL58" s="57"/>
      <c r="BM58" s="13"/>
      <c r="BN58" s="14"/>
      <c r="BO58" s="30"/>
      <c r="BP58" s="12"/>
      <c r="BQ58" s="13"/>
      <c r="BR58" s="14"/>
      <c r="BS58" s="15"/>
      <c r="BT58" s="12">
        <v>0</v>
      </c>
      <c r="BU58" s="57">
        <v>0</v>
      </c>
      <c r="BV58" s="57">
        <v>0</v>
      </c>
      <c r="BW58" s="13">
        <v>0</v>
      </c>
      <c r="BX58" s="14"/>
      <c r="BY58" s="15"/>
      <c r="BZ58" s="12"/>
      <c r="CA58" s="13"/>
      <c r="CB58" s="14"/>
      <c r="CC58" s="15"/>
      <c r="CD58" s="24"/>
      <c r="CE58" s="25"/>
      <c r="CF58" s="169"/>
      <c r="CG58" s="170"/>
      <c r="CH58" s="170"/>
      <c r="CI58" s="170"/>
      <c r="CJ58" s="12"/>
      <c r="CK58" s="13"/>
      <c r="CL58" s="14"/>
      <c r="CM58" s="15"/>
      <c r="CN58" s="24"/>
      <c r="CO58" s="25"/>
      <c r="CP58" s="28"/>
      <c r="CQ58" s="29"/>
    </row>
    <row r="59" spans="1:95" s="2" customFormat="1" ht="1.5" customHeight="1" x14ac:dyDescent="0.55000000000000004">
      <c r="A59" s="7"/>
      <c r="B59" s="16"/>
      <c r="C59" s="17"/>
      <c r="D59" s="18"/>
      <c r="E59" s="19"/>
      <c r="F59" s="16"/>
      <c r="G59" s="17"/>
      <c r="H59" s="18"/>
      <c r="I59" s="19"/>
      <c r="J59" s="16"/>
      <c r="K59" s="17"/>
      <c r="L59" s="18"/>
      <c r="M59" s="19"/>
      <c r="N59" s="16"/>
      <c r="O59" s="17"/>
      <c r="P59" s="18"/>
      <c r="Q59" s="19"/>
      <c r="R59" s="16"/>
      <c r="S59" s="17"/>
      <c r="T59" s="18"/>
      <c r="U59" s="19"/>
      <c r="V59" s="16"/>
      <c r="W59" s="17"/>
      <c r="X59" s="18"/>
      <c r="Y59" s="19"/>
      <c r="Z59" s="16"/>
      <c r="AA59" s="17"/>
      <c r="AB59" s="18"/>
      <c r="AC59" s="19"/>
      <c r="AD59" s="16"/>
      <c r="AE59" s="17"/>
      <c r="AF59" s="18"/>
      <c r="AG59" s="19"/>
      <c r="AH59" s="16"/>
      <c r="AI59" s="17"/>
      <c r="AJ59" s="18"/>
      <c r="AK59" s="19"/>
      <c r="AL59" s="16"/>
      <c r="AM59" s="17"/>
      <c r="AN59" s="18"/>
      <c r="AO59" s="19"/>
      <c r="AP59" s="16"/>
      <c r="AQ59" s="17"/>
      <c r="AR59" s="18"/>
      <c r="AS59" s="19"/>
      <c r="AT59" s="16"/>
      <c r="AU59" s="17"/>
      <c r="AV59" s="18"/>
      <c r="AW59" s="19"/>
      <c r="AX59" s="12"/>
      <c r="AY59" s="13"/>
      <c r="AZ59" s="14"/>
      <c r="BA59" s="15"/>
      <c r="BB59" s="12"/>
      <c r="BC59" s="13"/>
      <c r="BD59" s="14"/>
      <c r="BE59" s="15"/>
      <c r="BF59" s="12"/>
      <c r="BG59" s="13"/>
      <c r="BH59" s="14"/>
      <c r="BI59" s="15"/>
      <c r="BJ59" s="12"/>
      <c r="BK59" s="57"/>
      <c r="BL59" s="57"/>
      <c r="BM59" s="13"/>
      <c r="BN59" s="14"/>
      <c r="BO59" s="30"/>
      <c r="BP59" s="12"/>
      <c r="BQ59" s="13"/>
      <c r="BR59" s="14"/>
      <c r="BS59" s="15"/>
      <c r="BT59" s="12">
        <v>0</v>
      </c>
      <c r="BU59" s="57">
        <v>0</v>
      </c>
      <c r="BV59" s="57">
        <v>0</v>
      </c>
      <c r="BW59" s="13">
        <v>0</v>
      </c>
      <c r="BX59" s="14"/>
      <c r="BY59" s="15"/>
      <c r="BZ59" s="12"/>
      <c r="CA59" s="13"/>
      <c r="CB59" s="14"/>
      <c r="CC59" s="15"/>
      <c r="CD59" s="24"/>
      <c r="CE59" s="25"/>
      <c r="CF59" s="169"/>
      <c r="CG59" s="170"/>
      <c r="CH59" s="170"/>
      <c r="CI59" s="170"/>
      <c r="CJ59" s="12"/>
      <c r="CK59" s="13"/>
      <c r="CL59" s="14"/>
      <c r="CM59" s="15"/>
      <c r="CN59" s="24"/>
      <c r="CO59" s="25"/>
      <c r="CP59" s="28"/>
      <c r="CQ59" s="29"/>
    </row>
    <row r="60" spans="1:95" s="2" customFormat="1" ht="1.5" customHeight="1" x14ac:dyDescent="0.55000000000000004">
      <c r="A60" s="7"/>
      <c r="B60" s="16"/>
      <c r="C60" s="17"/>
      <c r="D60" s="18"/>
      <c r="E60" s="19"/>
      <c r="F60" s="16"/>
      <c r="G60" s="17"/>
      <c r="H60" s="18"/>
      <c r="I60" s="19"/>
      <c r="J60" s="16"/>
      <c r="K60" s="17"/>
      <c r="L60" s="18"/>
      <c r="M60" s="19"/>
      <c r="N60" s="16"/>
      <c r="O60" s="17"/>
      <c r="P60" s="18"/>
      <c r="Q60" s="19"/>
      <c r="R60" s="16"/>
      <c r="S60" s="17"/>
      <c r="T60" s="18"/>
      <c r="U60" s="19"/>
      <c r="V60" s="16"/>
      <c r="W60" s="17"/>
      <c r="X60" s="18"/>
      <c r="Y60" s="19"/>
      <c r="Z60" s="16"/>
      <c r="AA60" s="17"/>
      <c r="AB60" s="18"/>
      <c r="AC60" s="19"/>
      <c r="AD60" s="16"/>
      <c r="AE60" s="17"/>
      <c r="AF60" s="18"/>
      <c r="AG60" s="19"/>
      <c r="AH60" s="16"/>
      <c r="AI60" s="17"/>
      <c r="AJ60" s="18"/>
      <c r="AK60" s="19"/>
      <c r="AL60" s="16"/>
      <c r="AM60" s="17"/>
      <c r="AN60" s="18"/>
      <c r="AO60" s="19"/>
      <c r="AP60" s="16"/>
      <c r="AQ60" s="17"/>
      <c r="AR60" s="18"/>
      <c r="AS60" s="19"/>
      <c r="AT60" s="16"/>
      <c r="AU60" s="17"/>
      <c r="AV60" s="18"/>
      <c r="AW60" s="19"/>
      <c r="AX60" s="12"/>
      <c r="AY60" s="13"/>
      <c r="AZ60" s="14"/>
      <c r="BA60" s="15"/>
      <c r="BB60" s="12"/>
      <c r="BC60" s="13"/>
      <c r="BD60" s="14"/>
      <c r="BE60" s="15"/>
      <c r="BF60" s="12"/>
      <c r="BG60" s="13"/>
      <c r="BH60" s="14"/>
      <c r="BI60" s="15"/>
      <c r="BJ60" s="12"/>
      <c r="BK60" s="57"/>
      <c r="BL60" s="57"/>
      <c r="BM60" s="13"/>
      <c r="BN60" s="14"/>
      <c r="BO60" s="30"/>
      <c r="BP60" s="12"/>
      <c r="BQ60" s="13"/>
      <c r="BR60" s="14"/>
      <c r="BS60" s="15"/>
      <c r="BT60" s="12">
        <v>0</v>
      </c>
      <c r="BU60" s="57">
        <v>0</v>
      </c>
      <c r="BV60" s="57">
        <v>0</v>
      </c>
      <c r="BW60" s="13">
        <v>0</v>
      </c>
      <c r="BX60" s="14"/>
      <c r="BY60" s="15"/>
      <c r="BZ60" s="12"/>
      <c r="CA60" s="13"/>
      <c r="CB60" s="14"/>
      <c r="CC60" s="15"/>
      <c r="CD60" s="24"/>
      <c r="CE60" s="25"/>
      <c r="CF60" s="169"/>
      <c r="CG60" s="170"/>
      <c r="CH60" s="170"/>
      <c r="CI60" s="170"/>
      <c r="CJ60" s="12"/>
      <c r="CK60" s="13"/>
      <c r="CL60" s="14"/>
      <c r="CM60" s="15"/>
      <c r="CN60" s="24"/>
      <c r="CO60" s="25"/>
      <c r="CP60" s="28"/>
      <c r="CQ60" s="29"/>
    </row>
    <row r="61" spans="1:95" s="2" customFormat="1" ht="1.5" customHeight="1" x14ac:dyDescent="0.55000000000000004">
      <c r="A61" s="7"/>
      <c r="B61" s="16"/>
      <c r="C61" s="17"/>
      <c r="D61" s="18"/>
      <c r="E61" s="19"/>
      <c r="F61" s="16"/>
      <c r="G61" s="17"/>
      <c r="H61" s="18"/>
      <c r="I61" s="19"/>
      <c r="J61" s="16"/>
      <c r="K61" s="17"/>
      <c r="L61" s="18"/>
      <c r="M61" s="19"/>
      <c r="N61" s="16"/>
      <c r="O61" s="17"/>
      <c r="P61" s="18"/>
      <c r="Q61" s="19"/>
      <c r="R61" s="16"/>
      <c r="S61" s="17"/>
      <c r="T61" s="18"/>
      <c r="U61" s="19"/>
      <c r="V61" s="16"/>
      <c r="W61" s="17"/>
      <c r="X61" s="18"/>
      <c r="Y61" s="19"/>
      <c r="Z61" s="16"/>
      <c r="AA61" s="17"/>
      <c r="AB61" s="18"/>
      <c r="AC61" s="19"/>
      <c r="AD61" s="16"/>
      <c r="AE61" s="17"/>
      <c r="AF61" s="18"/>
      <c r="AG61" s="19"/>
      <c r="AH61" s="16"/>
      <c r="AI61" s="17"/>
      <c r="AJ61" s="18"/>
      <c r="AK61" s="19"/>
      <c r="AL61" s="16"/>
      <c r="AM61" s="17"/>
      <c r="AN61" s="18"/>
      <c r="AO61" s="19"/>
      <c r="AP61" s="16"/>
      <c r="AQ61" s="17"/>
      <c r="AR61" s="18"/>
      <c r="AS61" s="19"/>
      <c r="AT61" s="16"/>
      <c r="AU61" s="17"/>
      <c r="AV61" s="18"/>
      <c r="AW61" s="19"/>
      <c r="AX61" s="12"/>
      <c r="AY61" s="13"/>
      <c r="AZ61" s="14"/>
      <c r="BA61" s="15"/>
      <c r="BB61" s="12"/>
      <c r="BC61" s="13"/>
      <c r="BD61" s="14"/>
      <c r="BE61" s="15"/>
      <c r="BF61" s="12"/>
      <c r="BG61" s="13"/>
      <c r="BH61" s="14"/>
      <c r="BI61" s="15"/>
      <c r="BJ61" s="12"/>
      <c r="BK61" s="57"/>
      <c r="BL61" s="57"/>
      <c r="BM61" s="13"/>
      <c r="BN61" s="14"/>
      <c r="BO61" s="30"/>
      <c r="BP61" s="12"/>
      <c r="BQ61" s="13"/>
      <c r="BR61" s="14"/>
      <c r="BS61" s="15"/>
      <c r="BT61" s="12">
        <v>0</v>
      </c>
      <c r="BU61" s="57">
        <v>0</v>
      </c>
      <c r="BV61" s="57">
        <v>0</v>
      </c>
      <c r="BW61" s="13">
        <v>0</v>
      </c>
      <c r="BX61" s="14"/>
      <c r="BY61" s="15"/>
      <c r="BZ61" s="12"/>
      <c r="CA61" s="13"/>
      <c r="CB61" s="14"/>
      <c r="CC61" s="15"/>
      <c r="CD61" s="24"/>
      <c r="CE61" s="25"/>
      <c r="CF61" s="169"/>
      <c r="CG61" s="170"/>
      <c r="CH61" s="170"/>
      <c r="CI61" s="170"/>
      <c r="CJ61" s="12"/>
      <c r="CK61" s="13"/>
      <c r="CL61" s="14"/>
      <c r="CM61" s="15"/>
      <c r="CN61" s="24"/>
      <c r="CO61" s="25"/>
      <c r="CP61" s="28"/>
      <c r="CQ61" s="29"/>
    </row>
    <row r="62" spans="1:95" s="2" customFormat="1" ht="1.5" customHeight="1" x14ac:dyDescent="0.55000000000000004">
      <c r="A62" s="7"/>
      <c r="B62" s="16"/>
      <c r="C62" s="17"/>
      <c r="D62" s="18"/>
      <c r="E62" s="19"/>
      <c r="F62" s="16"/>
      <c r="G62" s="17"/>
      <c r="H62" s="18"/>
      <c r="I62" s="19"/>
      <c r="J62" s="16"/>
      <c r="K62" s="17"/>
      <c r="L62" s="18"/>
      <c r="M62" s="19"/>
      <c r="N62" s="16"/>
      <c r="O62" s="17"/>
      <c r="P62" s="18"/>
      <c r="Q62" s="19"/>
      <c r="R62" s="16"/>
      <c r="S62" s="17"/>
      <c r="T62" s="18"/>
      <c r="U62" s="19"/>
      <c r="V62" s="16"/>
      <c r="W62" s="17"/>
      <c r="X62" s="18"/>
      <c r="Y62" s="19"/>
      <c r="Z62" s="16"/>
      <c r="AA62" s="17"/>
      <c r="AB62" s="18"/>
      <c r="AC62" s="19"/>
      <c r="AD62" s="16"/>
      <c r="AE62" s="17"/>
      <c r="AF62" s="18"/>
      <c r="AG62" s="19"/>
      <c r="AH62" s="16"/>
      <c r="AI62" s="17"/>
      <c r="AJ62" s="18"/>
      <c r="AK62" s="19"/>
      <c r="AL62" s="16"/>
      <c r="AM62" s="17"/>
      <c r="AN62" s="18"/>
      <c r="AO62" s="19"/>
      <c r="AP62" s="16"/>
      <c r="AQ62" s="17"/>
      <c r="AR62" s="18"/>
      <c r="AS62" s="19"/>
      <c r="AT62" s="16"/>
      <c r="AU62" s="17"/>
      <c r="AV62" s="18"/>
      <c r="AW62" s="19"/>
      <c r="AX62" s="12"/>
      <c r="AY62" s="13"/>
      <c r="AZ62" s="14"/>
      <c r="BA62" s="15"/>
      <c r="BB62" s="12"/>
      <c r="BC62" s="13"/>
      <c r="BD62" s="14"/>
      <c r="BE62" s="15"/>
      <c r="BF62" s="12"/>
      <c r="BG62" s="13"/>
      <c r="BH62" s="14"/>
      <c r="BI62" s="15"/>
      <c r="BJ62" s="12"/>
      <c r="BK62" s="57"/>
      <c r="BL62" s="57"/>
      <c r="BM62" s="13"/>
      <c r="BN62" s="14"/>
      <c r="BO62" s="30"/>
      <c r="BP62" s="12"/>
      <c r="BQ62" s="13"/>
      <c r="BR62" s="14"/>
      <c r="BS62" s="15"/>
      <c r="BT62" s="12">
        <v>0</v>
      </c>
      <c r="BU62" s="57">
        <v>0</v>
      </c>
      <c r="BV62" s="57">
        <v>0</v>
      </c>
      <c r="BW62" s="13">
        <v>0</v>
      </c>
      <c r="BX62" s="14"/>
      <c r="BY62" s="15"/>
      <c r="BZ62" s="12"/>
      <c r="CA62" s="13"/>
      <c r="CB62" s="14"/>
      <c r="CC62" s="15"/>
      <c r="CD62" s="24"/>
      <c r="CE62" s="25"/>
      <c r="CF62" s="169"/>
      <c r="CG62" s="170"/>
      <c r="CH62" s="170"/>
      <c r="CI62" s="170"/>
      <c r="CJ62" s="12"/>
      <c r="CK62" s="13"/>
      <c r="CL62" s="14"/>
      <c r="CM62" s="15"/>
      <c r="CN62" s="24"/>
      <c r="CO62" s="25"/>
      <c r="CP62" s="28"/>
      <c r="CQ62" s="29"/>
    </row>
    <row r="63" spans="1:95" s="2" customFormat="1" ht="1.5" customHeight="1" x14ac:dyDescent="0.55000000000000004">
      <c r="A63" s="7"/>
      <c r="B63" s="16"/>
      <c r="C63" s="17"/>
      <c r="D63" s="18"/>
      <c r="E63" s="19"/>
      <c r="F63" s="16"/>
      <c r="G63" s="17"/>
      <c r="H63" s="18"/>
      <c r="I63" s="19"/>
      <c r="J63" s="16"/>
      <c r="K63" s="17"/>
      <c r="L63" s="18"/>
      <c r="M63" s="19"/>
      <c r="N63" s="16"/>
      <c r="O63" s="17"/>
      <c r="P63" s="18"/>
      <c r="Q63" s="19"/>
      <c r="R63" s="16"/>
      <c r="S63" s="17"/>
      <c r="T63" s="18"/>
      <c r="U63" s="19"/>
      <c r="V63" s="16"/>
      <c r="W63" s="17"/>
      <c r="X63" s="18"/>
      <c r="Y63" s="19"/>
      <c r="Z63" s="16"/>
      <c r="AA63" s="17"/>
      <c r="AB63" s="18"/>
      <c r="AC63" s="19"/>
      <c r="AD63" s="16"/>
      <c r="AE63" s="17"/>
      <c r="AF63" s="18"/>
      <c r="AG63" s="19"/>
      <c r="AH63" s="16"/>
      <c r="AI63" s="17"/>
      <c r="AJ63" s="18"/>
      <c r="AK63" s="19"/>
      <c r="AL63" s="16"/>
      <c r="AM63" s="17"/>
      <c r="AN63" s="18"/>
      <c r="AO63" s="19"/>
      <c r="AP63" s="16"/>
      <c r="AQ63" s="17"/>
      <c r="AR63" s="18"/>
      <c r="AS63" s="19"/>
      <c r="AT63" s="16"/>
      <c r="AU63" s="17"/>
      <c r="AV63" s="18"/>
      <c r="AW63" s="19"/>
      <c r="AX63" s="12"/>
      <c r="AY63" s="13"/>
      <c r="AZ63" s="14"/>
      <c r="BA63" s="15"/>
      <c r="BB63" s="12"/>
      <c r="BC63" s="13"/>
      <c r="BD63" s="14"/>
      <c r="BE63" s="15"/>
      <c r="BF63" s="12"/>
      <c r="BG63" s="13"/>
      <c r="BH63" s="14"/>
      <c r="BI63" s="15"/>
      <c r="BJ63" s="12"/>
      <c r="BK63" s="57"/>
      <c r="BL63" s="57"/>
      <c r="BM63" s="13"/>
      <c r="BN63" s="14"/>
      <c r="BO63" s="30"/>
      <c r="BP63" s="12"/>
      <c r="BQ63" s="13"/>
      <c r="BR63" s="14"/>
      <c r="BS63" s="15"/>
      <c r="BT63" s="12">
        <v>0</v>
      </c>
      <c r="BU63" s="57">
        <v>0</v>
      </c>
      <c r="BV63" s="57">
        <v>0</v>
      </c>
      <c r="BW63" s="13">
        <v>0</v>
      </c>
      <c r="BX63" s="14"/>
      <c r="BY63" s="15"/>
      <c r="BZ63" s="12"/>
      <c r="CA63" s="13"/>
      <c r="CB63" s="14"/>
      <c r="CC63" s="15"/>
      <c r="CD63" s="24"/>
      <c r="CE63" s="25"/>
      <c r="CF63" s="169"/>
      <c r="CG63" s="170"/>
      <c r="CH63" s="170"/>
      <c r="CI63" s="170"/>
      <c r="CJ63" s="12"/>
      <c r="CK63" s="13"/>
      <c r="CL63" s="14"/>
      <c r="CM63" s="15"/>
      <c r="CN63" s="24"/>
      <c r="CO63" s="25"/>
      <c r="CP63" s="28"/>
      <c r="CQ63" s="29"/>
    </row>
    <row r="64" spans="1:95" s="2" customFormat="1" ht="1.5" customHeight="1" x14ac:dyDescent="0.55000000000000004">
      <c r="A64" s="7"/>
      <c r="B64" s="16"/>
      <c r="C64" s="17"/>
      <c r="D64" s="18"/>
      <c r="E64" s="19"/>
      <c r="F64" s="16"/>
      <c r="G64" s="17"/>
      <c r="H64" s="18"/>
      <c r="I64" s="19"/>
      <c r="J64" s="16"/>
      <c r="K64" s="17"/>
      <c r="L64" s="18"/>
      <c r="M64" s="19"/>
      <c r="N64" s="16"/>
      <c r="O64" s="17"/>
      <c r="P64" s="18"/>
      <c r="Q64" s="19"/>
      <c r="R64" s="16"/>
      <c r="S64" s="17"/>
      <c r="T64" s="18"/>
      <c r="U64" s="19"/>
      <c r="V64" s="16"/>
      <c r="W64" s="17"/>
      <c r="X64" s="18"/>
      <c r="Y64" s="19"/>
      <c r="Z64" s="16"/>
      <c r="AA64" s="17"/>
      <c r="AB64" s="18"/>
      <c r="AC64" s="19"/>
      <c r="AD64" s="16"/>
      <c r="AE64" s="17"/>
      <c r="AF64" s="18"/>
      <c r="AG64" s="19"/>
      <c r="AH64" s="16"/>
      <c r="AI64" s="17"/>
      <c r="AJ64" s="18"/>
      <c r="AK64" s="19"/>
      <c r="AL64" s="16"/>
      <c r="AM64" s="17"/>
      <c r="AN64" s="18"/>
      <c r="AO64" s="19"/>
      <c r="AP64" s="16"/>
      <c r="AQ64" s="17"/>
      <c r="AR64" s="18"/>
      <c r="AS64" s="19"/>
      <c r="AT64" s="16"/>
      <c r="AU64" s="17"/>
      <c r="AV64" s="18"/>
      <c r="AW64" s="19"/>
      <c r="AX64" s="12"/>
      <c r="AY64" s="13"/>
      <c r="AZ64" s="14"/>
      <c r="BA64" s="15"/>
      <c r="BB64" s="12"/>
      <c r="BC64" s="13"/>
      <c r="BD64" s="14"/>
      <c r="BE64" s="15"/>
      <c r="BF64" s="12"/>
      <c r="BG64" s="13"/>
      <c r="BH64" s="14"/>
      <c r="BI64" s="15"/>
      <c r="BJ64" s="12"/>
      <c r="BK64" s="57"/>
      <c r="BL64" s="57"/>
      <c r="BM64" s="13"/>
      <c r="BN64" s="14"/>
      <c r="BO64" s="30"/>
      <c r="BP64" s="12"/>
      <c r="BQ64" s="13"/>
      <c r="BR64" s="14"/>
      <c r="BS64" s="15"/>
      <c r="BT64" s="12">
        <v>0</v>
      </c>
      <c r="BU64" s="57">
        <v>0</v>
      </c>
      <c r="BV64" s="57">
        <v>0</v>
      </c>
      <c r="BW64" s="13">
        <v>0</v>
      </c>
      <c r="BX64" s="14"/>
      <c r="BY64" s="15"/>
      <c r="BZ64" s="12"/>
      <c r="CA64" s="13"/>
      <c r="CB64" s="14"/>
      <c r="CC64" s="15"/>
      <c r="CD64" s="24"/>
      <c r="CE64" s="25"/>
      <c r="CF64" s="169"/>
      <c r="CG64" s="170"/>
      <c r="CH64" s="170"/>
      <c r="CI64" s="170"/>
      <c r="CJ64" s="12"/>
      <c r="CK64" s="13"/>
      <c r="CL64" s="14"/>
      <c r="CM64" s="15"/>
      <c r="CN64" s="24"/>
      <c r="CO64" s="25"/>
      <c r="CP64" s="28"/>
      <c r="CQ64" s="29"/>
    </row>
    <row r="65" spans="1:95" s="2" customFormat="1" ht="1.5" customHeight="1" x14ac:dyDescent="0.55000000000000004">
      <c r="A65" s="7"/>
      <c r="B65" s="16"/>
      <c r="C65" s="17"/>
      <c r="D65" s="18"/>
      <c r="E65" s="19"/>
      <c r="F65" s="16"/>
      <c r="G65" s="17"/>
      <c r="H65" s="18"/>
      <c r="I65" s="19"/>
      <c r="J65" s="16"/>
      <c r="K65" s="17"/>
      <c r="L65" s="18"/>
      <c r="M65" s="19"/>
      <c r="N65" s="16"/>
      <c r="O65" s="17"/>
      <c r="P65" s="18"/>
      <c r="Q65" s="19"/>
      <c r="R65" s="16"/>
      <c r="S65" s="17"/>
      <c r="T65" s="18"/>
      <c r="U65" s="19"/>
      <c r="V65" s="16"/>
      <c r="W65" s="17"/>
      <c r="X65" s="18"/>
      <c r="Y65" s="19"/>
      <c r="Z65" s="16"/>
      <c r="AA65" s="17"/>
      <c r="AB65" s="18"/>
      <c r="AC65" s="19"/>
      <c r="AD65" s="16"/>
      <c r="AE65" s="17"/>
      <c r="AF65" s="18"/>
      <c r="AG65" s="19"/>
      <c r="AH65" s="16"/>
      <c r="AI65" s="17"/>
      <c r="AJ65" s="18"/>
      <c r="AK65" s="19"/>
      <c r="AL65" s="16"/>
      <c r="AM65" s="17"/>
      <c r="AN65" s="18"/>
      <c r="AO65" s="19"/>
      <c r="AP65" s="16"/>
      <c r="AQ65" s="17"/>
      <c r="AR65" s="18"/>
      <c r="AS65" s="19"/>
      <c r="AT65" s="16"/>
      <c r="AU65" s="17"/>
      <c r="AV65" s="18"/>
      <c r="AW65" s="19"/>
      <c r="AX65" s="12"/>
      <c r="AY65" s="13"/>
      <c r="AZ65" s="14"/>
      <c r="BA65" s="15"/>
      <c r="BB65" s="12"/>
      <c r="BC65" s="13"/>
      <c r="BD65" s="14"/>
      <c r="BE65" s="15"/>
      <c r="BF65" s="12"/>
      <c r="BG65" s="13"/>
      <c r="BH65" s="14"/>
      <c r="BI65" s="15"/>
      <c r="BJ65" s="12"/>
      <c r="BK65" s="57"/>
      <c r="BL65" s="57"/>
      <c r="BM65" s="13"/>
      <c r="BN65" s="14"/>
      <c r="BO65" s="30"/>
      <c r="BP65" s="12"/>
      <c r="BQ65" s="13"/>
      <c r="BR65" s="14"/>
      <c r="BS65" s="15"/>
      <c r="BT65" s="12">
        <v>0</v>
      </c>
      <c r="BU65" s="57">
        <v>0</v>
      </c>
      <c r="BV65" s="57">
        <v>0</v>
      </c>
      <c r="BW65" s="13">
        <v>0</v>
      </c>
      <c r="BX65" s="14"/>
      <c r="BY65" s="15"/>
      <c r="BZ65" s="12"/>
      <c r="CA65" s="13"/>
      <c r="CB65" s="14"/>
      <c r="CC65" s="15"/>
      <c r="CD65" s="24"/>
      <c r="CE65" s="25"/>
      <c r="CF65" s="169"/>
      <c r="CG65" s="170"/>
      <c r="CH65" s="170"/>
      <c r="CI65" s="170"/>
      <c r="CJ65" s="12"/>
      <c r="CK65" s="13"/>
      <c r="CL65" s="14"/>
      <c r="CM65" s="15"/>
      <c r="CN65" s="24"/>
      <c r="CO65" s="25"/>
      <c r="CP65" s="28"/>
      <c r="CQ65" s="29"/>
    </row>
    <row r="66" spans="1:95" s="2" customFormat="1" ht="1.5" customHeight="1" x14ac:dyDescent="0.55000000000000004">
      <c r="A66" s="7"/>
      <c r="B66" s="16"/>
      <c r="C66" s="17"/>
      <c r="D66" s="18"/>
      <c r="E66" s="19"/>
      <c r="F66" s="16"/>
      <c r="G66" s="17"/>
      <c r="H66" s="18"/>
      <c r="I66" s="19"/>
      <c r="J66" s="16"/>
      <c r="K66" s="17"/>
      <c r="L66" s="18"/>
      <c r="M66" s="19"/>
      <c r="N66" s="16"/>
      <c r="O66" s="17"/>
      <c r="P66" s="18"/>
      <c r="Q66" s="19"/>
      <c r="R66" s="16"/>
      <c r="S66" s="17"/>
      <c r="T66" s="18"/>
      <c r="U66" s="19"/>
      <c r="V66" s="16"/>
      <c r="W66" s="17"/>
      <c r="X66" s="18"/>
      <c r="Y66" s="19"/>
      <c r="Z66" s="16"/>
      <c r="AA66" s="17"/>
      <c r="AB66" s="18"/>
      <c r="AC66" s="19"/>
      <c r="AD66" s="16"/>
      <c r="AE66" s="17"/>
      <c r="AF66" s="18"/>
      <c r="AG66" s="19"/>
      <c r="AH66" s="16"/>
      <c r="AI66" s="17"/>
      <c r="AJ66" s="18"/>
      <c r="AK66" s="19"/>
      <c r="AL66" s="16"/>
      <c r="AM66" s="17"/>
      <c r="AN66" s="18"/>
      <c r="AO66" s="19"/>
      <c r="AP66" s="16"/>
      <c r="AQ66" s="17"/>
      <c r="AR66" s="18"/>
      <c r="AS66" s="19"/>
      <c r="AT66" s="16"/>
      <c r="AU66" s="17"/>
      <c r="AV66" s="18"/>
      <c r="AW66" s="19"/>
      <c r="AX66" s="12"/>
      <c r="AY66" s="13"/>
      <c r="AZ66" s="14"/>
      <c r="BA66" s="15"/>
      <c r="BB66" s="12"/>
      <c r="BC66" s="13"/>
      <c r="BD66" s="14"/>
      <c r="BE66" s="15"/>
      <c r="BF66" s="12"/>
      <c r="BG66" s="13"/>
      <c r="BH66" s="14"/>
      <c r="BI66" s="15"/>
      <c r="BJ66" s="12"/>
      <c r="BK66" s="57"/>
      <c r="BL66" s="57"/>
      <c r="BM66" s="13"/>
      <c r="BN66" s="14"/>
      <c r="BO66" s="30"/>
      <c r="BP66" s="12"/>
      <c r="BQ66" s="13"/>
      <c r="BR66" s="14"/>
      <c r="BS66" s="15"/>
      <c r="BT66" s="12">
        <v>0</v>
      </c>
      <c r="BU66" s="57">
        <v>0</v>
      </c>
      <c r="BV66" s="57">
        <v>0</v>
      </c>
      <c r="BW66" s="13">
        <v>0</v>
      </c>
      <c r="BX66" s="14"/>
      <c r="BY66" s="15"/>
      <c r="BZ66" s="12"/>
      <c r="CA66" s="13"/>
      <c r="CB66" s="14"/>
      <c r="CC66" s="15"/>
      <c r="CD66" s="24"/>
      <c r="CE66" s="25"/>
      <c r="CF66" s="169"/>
      <c r="CG66" s="170"/>
      <c r="CH66" s="170"/>
      <c r="CI66" s="170"/>
      <c r="CJ66" s="12"/>
      <c r="CK66" s="13"/>
      <c r="CL66" s="14"/>
      <c r="CM66" s="15"/>
      <c r="CN66" s="24"/>
      <c r="CO66" s="25"/>
      <c r="CP66" s="28"/>
      <c r="CQ66" s="29"/>
    </row>
    <row r="67" spans="1:95" s="2" customFormat="1" ht="1.5" customHeight="1" x14ac:dyDescent="0.55000000000000004">
      <c r="A67" s="7"/>
      <c r="B67" s="16"/>
      <c r="C67" s="17"/>
      <c r="D67" s="18"/>
      <c r="E67" s="19"/>
      <c r="F67" s="16"/>
      <c r="G67" s="17"/>
      <c r="H67" s="18"/>
      <c r="I67" s="19"/>
      <c r="J67" s="16"/>
      <c r="K67" s="17"/>
      <c r="L67" s="18"/>
      <c r="M67" s="19"/>
      <c r="N67" s="16"/>
      <c r="O67" s="17"/>
      <c r="P67" s="18"/>
      <c r="Q67" s="19"/>
      <c r="R67" s="16"/>
      <c r="S67" s="17"/>
      <c r="T67" s="18"/>
      <c r="U67" s="19"/>
      <c r="V67" s="16"/>
      <c r="W67" s="17"/>
      <c r="X67" s="18"/>
      <c r="Y67" s="19"/>
      <c r="Z67" s="16"/>
      <c r="AA67" s="17"/>
      <c r="AB67" s="18"/>
      <c r="AC67" s="19"/>
      <c r="AD67" s="16"/>
      <c r="AE67" s="17"/>
      <c r="AF67" s="18"/>
      <c r="AG67" s="19"/>
      <c r="AH67" s="16"/>
      <c r="AI67" s="17"/>
      <c r="AJ67" s="18"/>
      <c r="AK67" s="19"/>
      <c r="AL67" s="16"/>
      <c r="AM67" s="17"/>
      <c r="AN67" s="18"/>
      <c r="AO67" s="19"/>
      <c r="AP67" s="16"/>
      <c r="AQ67" s="17"/>
      <c r="AR67" s="18"/>
      <c r="AS67" s="19"/>
      <c r="AT67" s="16"/>
      <c r="AU67" s="17"/>
      <c r="AV67" s="18"/>
      <c r="AW67" s="19"/>
      <c r="AX67" s="12"/>
      <c r="AY67" s="13"/>
      <c r="AZ67" s="14"/>
      <c r="BA67" s="15"/>
      <c r="BB67" s="12"/>
      <c r="BC67" s="13"/>
      <c r="BD67" s="14"/>
      <c r="BE67" s="15"/>
      <c r="BF67" s="12"/>
      <c r="BG67" s="13"/>
      <c r="BH67" s="14"/>
      <c r="BI67" s="15"/>
      <c r="BJ67" s="12"/>
      <c r="BK67" s="57"/>
      <c r="BL67" s="57"/>
      <c r="BM67" s="13"/>
      <c r="BN67" s="14"/>
      <c r="BO67" s="30"/>
      <c r="BP67" s="12"/>
      <c r="BQ67" s="13"/>
      <c r="BR67" s="14"/>
      <c r="BS67" s="15"/>
      <c r="BT67" s="12">
        <v>0</v>
      </c>
      <c r="BU67" s="57">
        <v>0</v>
      </c>
      <c r="BV67" s="57">
        <v>0</v>
      </c>
      <c r="BW67" s="13">
        <v>0</v>
      </c>
      <c r="BX67" s="14"/>
      <c r="BY67" s="15"/>
      <c r="BZ67" s="12"/>
      <c r="CA67" s="13"/>
      <c r="CB67" s="14"/>
      <c r="CC67" s="15"/>
      <c r="CD67" s="24"/>
      <c r="CE67" s="25"/>
      <c r="CF67" s="169"/>
      <c r="CG67" s="170"/>
      <c r="CH67" s="170"/>
      <c r="CI67" s="170"/>
      <c r="CJ67" s="12"/>
      <c r="CK67" s="13"/>
      <c r="CL67" s="14"/>
      <c r="CM67" s="15"/>
      <c r="CN67" s="24"/>
      <c r="CO67" s="25"/>
      <c r="CP67" s="28"/>
      <c r="CQ67" s="29"/>
    </row>
    <row r="68" spans="1:95" s="2" customFormat="1" ht="1.5" customHeight="1" x14ac:dyDescent="0.55000000000000004">
      <c r="A68" s="7"/>
      <c r="B68" s="16"/>
      <c r="C68" s="17"/>
      <c r="D68" s="18"/>
      <c r="E68" s="19"/>
      <c r="F68" s="16"/>
      <c r="G68" s="17"/>
      <c r="H68" s="18"/>
      <c r="I68" s="19"/>
      <c r="J68" s="16"/>
      <c r="K68" s="17"/>
      <c r="L68" s="18"/>
      <c r="M68" s="19"/>
      <c r="N68" s="16"/>
      <c r="O68" s="17"/>
      <c r="P68" s="18"/>
      <c r="Q68" s="19"/>
      <c r="R68" s="16"/>
      <c r="S68" s="17"/>
      <c r="T68" s="18"/>
      <c r="U68" s="19"/>
      <c r="V68" s="16"/>
      <c r="W68" s="17"/>
      <c r="X68" s="18"/>
      <c r="Y68" s="19"/>
      <c r="Z68" s="16"/>
      <c r="AA68" s="17"/>
      <c r="AB68" s="18"/>
      <c r="AC68" s="19"/>
      <c r="AD68" s="16"/>
      <c r="AE68" s="17"/>
      <c r="AF68" s="18"/>
      <c r="AG68" s="19"/>
      <c r="AH68" s="16"/>
      <c r="AI68" s="17"/>
      <c r="AJ68" s="18"/>
      <c r="AK68" s="19"/>
      <c r="AL68" s="16"/>
      <c r="AM68" s="17"/>
      <c r="AN68" s="18"/>
      <c r="AO68" s="19"/>
      <c r="AP68" s="16"/>
      <c r="AQ68" s="17"/>
      <c r="AR68" s="18"/>
      <c r="AS68" s="19"/>
      <c r="AT68" s="16"/>
      <c r="AU68" s="17"/>
      <c r="AV68" s="18"/>
      <c r="AW68" s="19"/>
      <c r="AX68" s="12"/>
      <c r="AY68" s="13"/>
      <c r="AZ68" s="14"/>
      <c r="BA68" s="15"/>
      <c r="BB68" s="12"/>
      <c r="BC68" s="13"/>
      <c r="BD68" s="14"/>
      <c r="BE68" s="15"/>
      <c r="BF68" s="12"/>
      <c r="BG68" s="13"/>
      <c r="BH68" s="14"/>
      <c r="BI68" s="15"/>
      <c r="BJ68" s="12"/>
      <c r="BK68" s="57"/>
      <c r="BL68" s="57"/>
      <c r="BM68" s="13"/>
      <c r="BN68" s="14"/>
      <c r="BO68" s="30"/>
      <c r="BP68" s="12"/>
      <c r="BQ68" s="13"/>
      <c r="BR68" s="14"/>
      <c r="BS68" s="15"/>
      <c r="BT68" s="12">
        <v>0</v>
      </c>
      <c r="BU68" s="57">
        <v>0</v>
      </c>
      <c r="BV68" s="57">
        <v>0</v>
      </c>
      <c r="BW68" s="13">
        <v>0</v>
      </c>
      <c r="BX68" s="14"/>
      <c r="BY68" s="15"/>
      <c r="BZ68" s="12"/>
      <c r="CA68" s="13"/>
      <c r="CB68" s="14"/>
      <c r="CC68" s="15"/>
      <c r="CD68" s="24"/>
      <c r="CE68" s="25"/>
      <c r="CF68" s="169"/>
      <c r="CG68" s="170"/>
      <c r="CH68" s="170"/>
      <c r="CI68" s="170"/>
      <c r="CJ68" s="12"/>
      <c r="CK68" s="13"/>
      <c r="CL68" s="14"/>
      <c r="CM68" s="15"/>
      <c r="CN68" s="24"/>
      <c r="CO68" s="25"/>
      <c r="CP68" s="28"/>
      <c r="CQ68" s="29"/>
    </row>
    <row r="69" spans="1:95" s="2" customFormat="1" ht="1.5" customHeight="1" x14ac:dyDescent="0.55000000000000004">
      <c r="A69" s="7"/>
      <c r="B69" s="16"/>
      <c r="C69" s="17"/>
      <c r="D69" s="18"/>
      <c r="E69" s="19"/>
      <c r="F69" s="16"/>
      <c r="G69" s="17"/>
      <c r="H69" s="18"/>
      <c r="I69" s="19"/>
      <c r="J69" s="16"/>
      <c r="K69" s="17"/>
      <c r="L69" s="18"/>
      <c r="M69" s="19"/>
      <c r="N69" s="16"/>
      <c r="O69" s="17"/>
      <c r="P69" s="18"/>
      <c r="Q69" s="19"/>
      <c r="R69" s="16"/>
      <c r="S69" s="17"/>
      <c r="T69" s="18"/>
      <c r="U69" s="19"/>
      <c r="V69" s="16"/>
      <c r="W69" s="17"/>
      <c r="X69" s="18"/>
      <c r="Y69" s="19"/>
      <c r="Z69" s="16"/>
      <c r="AA69" s="17"/>
      <c r="AB69" s="18"/>
      <c r="AC69" s="19"/>
      <c r="AD69" s="16"/>
      <c r="AE69" s="17"/>
      <c r="AF69" s="18"/>
      <c r="AG69" s="19"/>
      <c r="AH69" s="16"/>
      <c r="AI69" s="17"/>
      <c r="AJ69" s="18"/>
      <c r="AK69" s="19"/>
      <c r="AL69" s="16"/>
      <c r="AM69" s="17"/>
      <c r="AN69" s="18"/>
      <c r="AO69" s="19"/>
      <c r="AP69" s="16"/>
      <c r="AQ69" s="17"/>
      <c r="AR69" s="18"/>
      <c r="AS69" s="19"/>
      <c r="AT69" s="16"/>
      <c r="AU69" s="17"/>
      <c r="AV69" s="18"/>
      <c r="AW69" s="19"/>
      <c r="AX69" s="12"/>
      <c r="AY69" s="13"/>
      <c r="AZ69" s="14"/>
      <c r="BA69" s="15"/>
      <c r="BB69" s="12"/>
      <c r="BC69" s="13"/>
      <c r="BD69" s="14"/>
      <c r="BE69" s="15"/>
      <c r="BF69" s="12"/>
      <c r="BG69" s="13"/>
      <c r="BH69" s="14"/>
      <c r="BI69" s="15"/>
      <c r="BJ69" s="12"/>
      <c r="BK69" s="57"/>
      <c r="BL69" s="57"/>
      <c r="BM69" s="13"/>
      <c r="BN69" s="14"/>
      <c r="BO69" s="30"/>
      <c r="BP69" s="12"/>
      <c r="BQ69" s="13"/>
      <c r="BR69" s="14"/>
      <c r="BS69" s="15"/>
      <c r="BT69" s="12">
        <v>0</v>
      </c>
      <c r="BU69" s="57">
        <v>0</v>
      </c>
      <c r="BV69" s="57">
        <v>0</v>
      </c>
      <c r="BW69" s="13">
        <v>0</v>
      </c>
      <c r="BX69" s="14"/>
      <c r="BY69" s="15"/>
      <c r="BZ69" s="12"/>
      <c r="CA69" s="13"/>
      <c r="CB69" s="14"/>
      <c r="CC69" s="15"/>
      <c r="CD69" s="24"/>
      <c r="CE69" s="25"/>
      <c r="CF69" s="169"/>
      <c r="CG69" s="170"/>
      <c r="CH69" s="170"/>
      <c r="CI69" s="170"/>
      <c r="CJ69" s="12"/>
      <c r="CK69" s="13"/>
      <c r="CL69" s="14"/>
      <c r="CM69" s="15"/>
      <c r="CN69" s="24"/>
      <c r="CO69" s="25"/>
      <c r="CP69" s="28"/>
      <c r="CQ69" s="29"/>
    </row>
    <row r="70" spans="1:95" s="2" customFormat="1" ht="1.5" customHeight="1" x14ac:dyDescent="0.55000000000000004">
      <c r="A70" s="7"/>
      <c r="B70" s="16"/>
      <c r="C70" s="17"/>
      <c r="D70" s="18"/>
      <c r="E70" s="19"/>
      <c r="F70" s="16"/>
      <c r="G70" s="17"/>
      <c r="H70" s="18"/>
      <c r="I70" s="19"/>
      <c r="J70" s="16"/>
      <c r="K70" s="17"/>
      <c r="L70" s="18"/>
      <c r="M70" s="19"/>
      <c r="N70" s="16"/>
      <c r="O70" s="17"/>
      <c r="P70" s="18"/>
      <c r="Q70" s="19"/>
      <c r="R70" s="16"/>
      <c r="S70" s="17"/>
      <c r="T70" s="18"/>
      <c r="U70" s="19"/>
      <c r="V70" s="16"/>
      <c r="W70" s="17"/>
      <c r="X70" s="18"/>
      <c r="Y70" s="19"/>
      <c r="Z70" s="16"/>
      <c r="AA70" s="17"/>
      <c r="AB70" s="18"/>
      <c r="AC70" s="19"/>
      <c r="AD70" s="16"/>
      <c r="AE70" s="17"/>
      <c r="AF70" s="18"/>
      <c r="AG70" s="19"/>
      <c r="AH70" s="16"/>
      <c r="AI70" s="17"/>
      <c r="AJ70" s="18"/>
      <c r="AK70" s="19"/>
      <c r="AL70" s="16"/>
      <c r="AM70" s="17"/>
      <c r="AN70" s="18"/>
      <c r="AO70" s="19"/>
      <c r="AP70" s="16"/>
      <c r="AQ70" s="17"/>
      <c r="AR70" s="18"/>
      <c r="AS70" s="19"/>
      <c r="AT70" s="16"/>
      <c r="AU70" s="17"/>
      <c r="AV70" s="18"/>
      <c r="AW70" s="19"/>
      <c r="AX70" s="12"/>
      <c r="AY70" s="13"/>
      <c r="AZ70" s="14"/>
      <c r="BA70" s="15"/>
      <c r="BB70" s="12"/>
      <c r="BC70" s="13"/>
      <c r="BD70" s="14"/>
      <c r="BE70" s="15"/>
      <c r="BF70" s="12"/>
      <c r="BG70" s="13"/>
      <c r="BH70" s="14"/>
      <c r="BI70" s="15"/>
      <c r="BJ70" s="12"/>
      <c r="BK70" s="57"/>
      <c r="BL70" s="57"/>
      <c r="BM70" s="13"/>
      <c r="BN70" s="14"/>
      <c r="BO70" s="30"/>
      <c r="BP70" s="12"/>
      <c r="BQ70" s="13"/>
      <c r="BR70" s="14"/>
      <c r="BS70" s="15"/>
      <c r="BT70" s="12">
        <v>0</v>
      </c>
      <c r="BU70" s="57">
        <v>0</v>
      </c>
      <c r="BV70" s="57">
        <v>0</v>
      </c>
      <c r="BW70" s="13">
        <v>0</v>
      </c>
      <c r="BX70" s="14"/>
      <c r="BY70" s="15"/>
      <c r="BZ70" s="12"/>
      <c r="CA70" s="13"/>
      <c r="CB70" s="14"/>
      <c r="CC70" s="15"/>
      <c r="CD70" s="24"/>
      <c r="CE70" s="25"/>
      <c r="CF70" s="169"/>
      <c r="CG70" s="170"/>
      <c r="CH70" s="170"/>
      <c r="CI70" s="170"/>
      <c r="CJ70" s="12"/>
      <c r="CK70" s="13"/>
      <c r="CL70" s="14"/>
      <c r="CM70" s="15"/>
      <c r="CN70" s="24"/>
      <c r="CO70" s="25"/>
      <c r="CP70" s="28"/>
      <c r="CQ70" s="29"/>
    </row>
    <row r="71" spans="1:95" s="2" customFormat="1" ht="1.5" customHeight="1" x14ac:dyDescent="0.55000000000000004">
      <c r="A71" s="7"/>
      <c r="B71" s="16"/>
      <c r="C71" s="17"/>
      <c r="D71" s="18"/>
      <c r="E71" s="19"/>
      <c r="F71" s="16"/>
      <c r="G71" s="17"/>
      <c r="H71" s="18"/>
      <c r="I71" s="19"/>
      <c r="J71" s="16"/>
      <c r="K71" s="17"/>
      <c r="L71" s="18"/>
      <c r="M71" s="19"/>
      <c r="N71" s="16"/>
      <c r="O71" s="17"/>
      <c r="P71" s="18"/>
      <c r="Q71" s="19"/>
      <c r="R71" s="16"/>
      <c r="S71" s="17"/>
      <c r="T71" s="18"/>
      <c r="U71" s="19"/>
      <c r="V71" s="16"/>
      <c r="W71" s="17"/>
      <c r="X71" s="18"/>
      <c r="Y71" s="19"/>
      <c r="Z71" s="16"/>
      <c r="AA71" s="17"/>
      <c r="AB71" s="18"/>
      <c r="AC71" s="19"/>
      <c r="AD71" s="16"/>
      <c r="AE71" s="17"/>
      <c r="AF71" s="18"/>
      <c r="AG71" s="19"/>
      <c r="AH71" s="16"/>
      <c r="AI71" s="17"/>
      <c r="AJ71" s="18"/>
      <c r="AK71" s="19"/>
      <c r="AL71" s="16"/>
      <c r="AM71" s="17"/>
      <c r="AN71" s="18"/>
      <c r="AO71" s="19"/>
      <c r="AP71" s="16"/>
      <c r="AQ71" s="17"/>
      <c r="AR71" s="18"/>
      <c r="AS71" s="19"/>
      <c r="AT71" s="16"/>
      <c r="AU71" s="17"/>
      <c r="AV71" s="18"/>
      <c r="AW71" s="19"/>
      <c r="AX71" s="12"/>
      <c r="AY71" s="13"/>
      <c r="AZ71" s="14"/>
      <c r="BA71" s="15"/>
      <c r="BB71" s="12"/>
      <c r="BC71" s="13"/>
      <c r="BD71" s="14"/>
      <c r="BE71" s="15"/>
      <c r="BF71" s="12"/>
      <c r="BG71" s="13"/>
      <c r="BH71" s="14"/>
      <c r="BI71" s="15"/>
      <c r="BJ71" s="12"/>
      <c r="BK71" s="57"/>
      <c r="BL71" s="57"/>
      <c r="BM71" s="13"/>
      <c r="BN71" s="14"/>
      <c r="BO71" s="30"/>
      <c r="BP71" s="12"/>
      <c r="BQ71" s="13"/>
      <c r="BR71" s="14"/>
      <c r="BS71" s="15"/>
      <c r="BT71" s="12">
        <v>0</v>
      </c>
      <c r="BU71" s="57">
        <v>0</v>
      </c>
      <c r="BV71" s="57">
        <v>0</v>
      </c>
      <c r="BW71" s="13">
        <v>0</v>
      </c>
      <c r="BX71" s="14"/>
      <c r="BY71" s="15"/>
      <c r="BZ71" s="12"/>
      <c r="CA71" s="13"/>
      <c r="CB71" s="14"/>
      <c r="CC71" s="15"/>
      <c r="CD71" s="24"/>
      <c r="CE71" s="25"/>
      <c r="CF71" s="169"/>
      <c r="CG71" s="170"/>
      <c r="CH71" s="170"/>
      <c r="CI71" s="170"/>
      <c r="CJ71" s="12"/>
      <c r="CK71" s="13"/>
      <c r="CL71" s="14"/>
      <c r="CM71" s="15"/>
      <c r="CN71" s="24"/>
      <c r="CO71" s="25"/>
      <c r="CP71" s="28"/>
      <c r="CQ71" s="29"/>
    </row>
    <row r="72" spans="1:95" s="2" customFormat="1" ht="1.5" customHeight="1" x14ac:dyDescent="0.55000000000000004">
      <c r="A72" s="7"/>
      <c r="B72" s="16"/>
      <c r="C72" s="17"/>
      <c r="D72" s="18"/>
      <c r="E72" s="19"/>
      <c r="F72" s="16"/>
      <c r="G72" s="17"/>
      <c r="H72" s="18"/>
      <c r="I72" s="19"/>
      <c r="J72" s="16"/>
      <c r="K72" s="17"/>
      <c r="L72" s="18"/>
      <c r="M72" s="19"/>
      <c r="N72" s="16"/>
      <c r="O72" s="17"/>
      <c r="P72" s="18"/>
      <c r="Q72" s="19"/>
      <c r="R72" s="16"/>
      <c r="S72" s="17"/>
      <c r="T72" s="18"/>
      <c r="U72" s="19"/>
      <c r="V72" s="16"/>
      <c r="W72" s="17"/>
      <c r="X72" s="18"/>
      <c r="Y72" s="19"/>
      <c r="Z72" s="16"/>
      <c r="AA72" s="17"/>
      <c r="AB72" s="18"/>
      <c r="AC72" s="19"/>
      <c r="AD72" s="16"/>
      <c r="AE72" s="17"/>
      <c r="AF72" s="18"/>
      <c r="AG72" s="19"/>
      <c r="AH72" s="16"/>
      <c r="AI72" s="17"/>
      <c r="AJ72" s="18"/>
      <c r="AK72" s="19"/>
      <c r="AL72" s="16"/>
      <c r="AM72" s="17"/>
      <c r="AN72" s="18"/>
      <c r="AO72" s="19"/>
      <c r="AP72" s="16"/>
      <c r="AQ72" s="17"/>
      <c r="AR72" s="18"/>
      <c r="AS72" s="19"/>
      <c r="AT72" s="16"/>
      <c r="AU72" s="17"/>
      <c r="AV72" s="18"/>
      <c r="AW72" s="19"/>
      <c r="AX72" s="12"/>
      <c r="AY72" s="13"/>
      <c r="AZ72" s="14"/>
      <c r="BA72" s="15"/>
      <c r="BB72" s="12"/>
      <c r="BC72" s="13"/>
      <c r="BD72" s="14"/>
      <c r="BE72" s="15"/>
      <c r="BF72" s="12"/>
      <c r="BG72" s="13"/>
      <c r="BH72" s="14"/>
      <c r="BI72" s="15"/>
      <c r="BJ72" s="12"/>
      <c r="BK72" s="57"/>
      <c r="BL72" s="57"/>
      <c r="BM72" s="13"/>
      <c r="BN72" s="14"/>
      <c r="BO72" s="30"/>
      <c r="BP72" s="12"/>
      <c r="BQ72" s="13"/>
      <c r="BR72" s="14"/>
      <c r="BS72" s="15"/>
      <c r="BT72" s="12">
        <v>0</v>
      </c>
      <c r="BU72" s="57">
        <v>0</v>
      </c>
      <c r="BV72" s="57">
        <v>0</v>
      </c>
      <c r="BW72" s="13">
        <v>0</v>
      </c>
      <c r="BX72" s="14"/>
      <c r="BY72" s="15"/>
      <c r="BZ72" s="12"/>
      <c r="CA72" s="13"/>
      <c r="CB72" s="14"/>
      <c r="CC72" s="15"/>
      <c r="CD72" s="24"/>
      <c r="CE72" s="25"/>
      <c r="CF72" s="169"/>
      <c r="CG72" s="170"/>
      <c r="CH72" s="170"/>
      <c r="CI72" s="170"/>
      <c r="CJ72" s="12"/>
      <c r="CK72" s="13"/>
      <c r="CL72" s="14"/>
      <c r="CM72" s="15"/>
      <c r="CN72" s="24"/>
      <c r="CO72" s="25"/>
      <c r="CP72" s="28"/>
      <c r="CQ72" s="29"/>
    </row>
    <row r="73" spans="1:95" s="2" customFormat="1" ht="1.5" customHeight="1" x14ac:dyDescent="0.55000000000000004">
      <c r="A73" s="7"/>
      <c r="B73" s="16"/>
      <c r="C73" s="17"/>
      <c r="D73" s="18"/>
      <c r="E73" s="19"/>
      <c r="F73" s="16"/>
      <c r="G73" s="17"/>
      <c r="H73" s="18"/>
      <c r="I73" s="19"/>
      <c r="J73" s="16"/>
      <c r="K73" s="17"/>
      <c r="L73" s="18"/>
      <c r="M73" s="19"/>
      <c r="N73" s="16"/>
      <c r="O73" s="17"/>
      <c r="P73" s="18"/>
      <c r="Q73" s="19"/>
      <c r="R73" s="16"/>
      <c r="S73" s="17"/>
      <c r="T73" s="18"/>
      <c r="U73" s="19"/>
      <c r="V73" s="16"/>
      <c r="W73" s="17"/>
      <c r="X73" s="18"/>
      <c r="Y73" s="19"/>
      <c r="Z73" s="16"/>
      <c r="AA73" s="17"/>
      <c r="AB73" s="18"/>
      <c r="AC73" s="19"/>
      <c r="AD73" s="16"/>
      <c r="AE73" s="17"/>
      <c r="AF73" s="18"/>
      <c r="AG73" s="19"/>
      <c r="AH73" s="16"/>
      <c r="AI73" s="17"/>
      <c r="AJ73" s="18"/>
      <c r="AK73" s="19"/>
      <c r="AL73" s="16"/>
      <c r="AM73" s="17"/>
      <c r="AN73" s="18"/>
      <c r="AO73" s="19"/>
      <c r="AP73" s="16"/>
      <c r="AQ73" s="17"/>
      <c r="AR73" s="18"/>
      <c r="AS73" s="19"/>
      <c r="AT73" s="16"/>
      <c r="AU73" s="17"/>
      <c r="AV73" s="18"/>
      <c r="AW73" s="19"/>
      <c r="AX73" s="12"/>
      <c r="AY73" s="13"/>
      <c r="AZ73" s="14"/>
      <c r="BA73" s="15"/>
      <c r="BB73" s="12"/>
      <c r="BC73" s="13"/>
      <c r="BD73" s="14"/>
      <c r="BE73" s="15"/>
      <c r="BF73" s="12"/>
      <c r="BG73" s="13"/>
      <c r="BH73" s="14"/>
      <c r="BI73" s="15"/>
      <c r="BJ73" s="12"/>
      <c r="BK73" s="57"/>
      <c r="BL73" s="57"/>
      <c r="BM73" s="13"/>
      <c r="BN73" s="14"/>
      <c r="BO73" s="30"/>
      <c r="BP73" s="12"/>
      <c r="BQ73" s="13"/>
      <c r="BR73" s="14"/>
      <c r="BS73" s="15"/>
      <c r="BT73" s="12">
        <v>0</v>
      </c>
      <c r="BU73" s="57">
        <v>0</v>
      </c>
      <c r="BV73" s="57">
        <v>0</v>
      </c>
      <c r="BW73" s="13">
        <v>0</v>
      </c>
      <c r="BX73" s="14"/>
      <c r="BY73" s="15"/>
      <c r="BZ73" s="12"/>
      <c r="CA73" s="13"/>
      <c r="CB73" s="14"/>
      <c r="CC73" s="15"/>
      <c r="CD73" s="24"/>
      <c r="CE73" s="25"/>
      <c r="CF73" s="169"/>
      <c r="CG73" s="170"/>
      <c r="CH73" s="170"/>
      <c r="CI73" s="170"/>
      <c r="CJ73" s="12"/>
      <c r="CK73" s="13"/>
      <c r="CL73" s="14"/>
      <c r="CM73" s="15"/>
      <c r="CN73" s="24"/>
      <c r="CO73" s="25"/>
      <c r="CP73" s="28"/>
      <c r="CQ73" s="29"/>
    </row>
    <row r="74" spans="1:95" s="2" customFormat="1" ht="1.5" customHeight="1" x14ac:dyDescent="0.55000000000000004">
      <c r="A74" s="7"/>
      <c r="B74" s="16"/>
      <c r="C74" s="17"/>
      <c r="D74" s="18"/>
      <c r="E74" s="19"/>
      <c r="F74" s="16"/>
      <c r="G74" s="17"/>
      <c r="H74" s="18"/>
      <c r="I74" s="19"/>
      <c r="J74" s="16"/>
      <c r="K74" s="17"/>
      <c r="L74" s="18"/>
      <c r="M74" s="19"/>
      <c r="N74" s="16"/>
      <c r="O74" s="17"/>
      <c r="P74" s="18"/>
      <c r="Q74" s="19"/>
      <c r="R74" s="16"/>
      <c r="S74" s="17"/>
      <c r="T74" s="18"/>
      <c r="U74" s="19"/>
      <c r="V74" s="16"/>
      <c r="W74" s="17"/>
      <c r="X74" s="18"/>
      <c r="Y74" s="19"/>
      <c r="Z74" s="16"/>
      <c r="AA74" s="17"/>
      <c r="AB74" s="18"/>
      <c r="AC74" s="19"/>
      <c r="AD74" s="16"/>
      <c r="AE74" s="17"/>
      <c r="AF74" s="18"/>
      <c r="AG74" s="19"/>
      <c r="AH74" s="16"/>
      <c r="AI74" s="17"/>
      <c r="AJ74" s="18"/>
      <c r="AK74" s="19"/>
      <c r="AL74" s="16"/>
      <c r="AM74" s="17"/>
      <c r="AN74" s="18"/>
      <c r="AO74" s="19"/>
      <c r="AP74" s="16"/>
      <c r="AQ74" s="17"/>
      <c r="AR74" s="18"/>
      <c r="AS74" s="19"/>
      <c r="AT74" s="16"/>
      <c r="AU74" s="17"/>
      <c r="AV74" s="18"/>
      <c r="AW74" s="19"/>
      <c r="AX74" s="12"/>
      <c r="AY74" s="13"/>
      <c r="AZ74" s="14"/>
      <c r="BA74" s="15"/>
      <c r="BB74" s="12"/>
      <c r="BC74" s="13"/>
      <c r="BD74" s="14"/>
      <c r="BE74" s="15"/>
      <c r="BF74" s="12"/>
      <c r="BG74" s="13"/>
      <c r="BH74" s="14"/>
      <c r="BI74" s="15"/>
      <c r="BJ74" s="12"/>
      <c r="BK74" s="57"/>
      <c r="BL74" s="57"/>
      <c r="BM74" s="13"/>
      <c r="BN74" s="14"/>
      <c r="BO74" s="30"/>
      <c r="BP74" s="12"/>
      <c r="BQ74" s="13"/>
      <c r="BR74" s="14"/>
      <c r="BS74" s="15"/>
      <c r="BT74" s="12">
        <v>0</v>
      </c>
      <c r="BU74" s="57">
        <v>0</v>
      </c>
      <c r="BV74" s="57">
        <v>0</v>
      </c>
      <c r="BW74" s="13">
        <v>0</v>
      </c>
      <c r="BX74" s="14"/>
      <c r="BY74" s="15"/>
      <c r="BZ74" s="12"/>
      <c r="CA74" s="13"/>
      <c r="CB74" s="14"/>
      <c r="CC74" s="15"/>
      <c r="CD74" s="24"/>
      <c r="CE74" s="25"/>
      <c r="CF74" s="169"/>
      <c r="CG74" s="170"/>
      <c r="CH74" s="170"/>
      <c r="CI74" s="170"/>
      <c r="CJ74" s="12"/>
      <c r="CK74" s="13"/>
      <c r="CL74" s="14"/>
      <c r="CM74" s="15"/>
      <c r="CN74" s="24"/>
      <c r="CO74" s="25"/>
      <c r="CP74" s="28"/>
      <c r="CQ74" s="29"/>
    </row>
    <row r="75" spans="1:95" s="2" customFormat="1" ht="1.5" customHeight="1" x14ac:dyDescent="0.55000000000000004">
      <c r="A75" s="7"/>
      <c r="B75" s="16"/>
      <c r="C75" s="17"/>
      <c r="D75" s="18"/>
      <c r="E75" s="19"/>
      <c r="F75" s="16"/>
      <c r="G75" s="17"/>
      <c r="H75" s="18"/>
      <c r="I75" s="19"/>
      <c r="J75" s="16"/>
      <c r="K75" s="17"/>
      <c r="L75" s="18"/>
      <c r="M75" s="19"/>
      <c r="N75" s="16"/>
      <c r="O75" s="17"/>
      <c r="P75" s="18"/>
      <c r="Q75" s="19"/>
      <c r="R75" s="16"/>
      <c r="S75" s="17"/>
      <c r="T75" s="18"/>
      <c r="U75" s="19"/>
      <c r="V75" s="16"/>
      <c r="W75" s="17"/>
      <c r="X75" s="18"/>
      <c r="Y75" s="19"/>
      <c r="Z75" s="16"/>
      <c r="AA75" s="17"/>
      <c r="AB75" s="18"/>
      <c r="AC75" s="19"/>
      <c r="AD75" s="16"/>
      <c r="AE75" s="17"/>
      <c r="AF75" s="18"/>
      <c r="AG75" s="19"/>
      <c r="AH75" s="16"/>
      <c r="AI75" s="17"/>
      <c r="AJ75" s="18"/>
      <c r="AK75" s="19"/>
      <c r="AL75" s="16"/>
      <c r="AM75" s="17"/>
      <c r="AN75" s="18"/>
      <c r="AO75" s="19"/>
      <c r="AP75" s="16"/>
      <c r="AQ75" s="17"/>
      <c r="AR75" s="18"/>
      <c r="AS75" s="19"/>
      <c r="AT75" s="16"/>
      <c r="AU75" s="17"/>
      <c r="AV75" s="18"/>
      <c r="AW75" s="19"/>
      <c r="AX75" s="12"/>
      <c r="AY75" s="13"/>
      <c r="AZ75" s="14"/>
      <c r="BA75" s="15"/>
      <c r="BB75" s="12"/>
      <c r="BC75" s="13"/>
      <c r="BD75" s="14"/>
      <c r="BE75" s="15"/>
      <c r="BF75" s="12"/>
      <c r="BG75" s="13"/>
      <c r="BH75" s="14"/>
      <c r="BI75" s="15"/>
      <c r="BJ75" s="12"/>
      <c r="BK75" s="57"/>
      <c r="BL75" s="57"/>
      <c r="BM75" s="13"/>
      <c r="BN75" s="14"/>
      <c r="BO75" s="30"/>
      <c r="BP75" s="12"/>
      <c r="BQ75" s="13"/>
      <c r="BR75" s="14"/>
      <c r="BS75" s="15"/>
      <c r="BT75" s="12">
        <v>0</v>
      </c>
      <c r="BU75" s="57">
        <v>0</v>
      </c>
      <c r="BV75" s="57">
        <v>0</v>
      </c>
      <c r="BW75" s="13">
        <v>0</v>
      </c>
      <c r="BX75" s="14"/>
      <c r="BY75" s="15"/>
      <c r="BZ75" s="12"/>
      <c r="CA75" s="13"/>
      <c r="CB75" s="14"/>
      <c r="CC75" s="15"/>
      <c r="CD75" s="24"/>
      <c r="CE75" s="25"/>
      <c r="CF75" s="169"/>
      <c r="CG75" s="170"/>
      <c r="CH75" s="170"/>
      <c r="CI75" s="170"/>
      <c r="CJ75" s="12"/>
      <c r="CK75" s="13"/>
      <c r="CL75" s="14"/>
      <c r="CM75" s="15"/>
      <c r="CN75" s="24"/>
      <c r="CO75" s="25"/>
      <c r="CP75" s="28"/>
      <c r="CQ75" s="29"/>
    </row>
    <row r="76" spans="1:95" s="2" customFormat="1" ht="1.5" customHeight="1" x14ac:dyDescent="0.55000000000000004">
      <c r="A76" s="7"/>
      <c r="B76" s="16"/>
      <c r="C76" s="17"/>
      <c r="D76" s="18"/>
      <c r="E76" s="19"/>
      <c r="F76" s="16"/>
      <c r="G76" s="17"/>
      <c r="H76" s="18"/>
      <c r="I76" s="19"/>
      <c r="J76" s="16"/>
      <c r="K76" s="17"/>
      <c r="L76" s="18"/>
      <c r="M76" s="19"/>
      <c r="N76" s="16"/>
      <c r="O76" s="17"/>
      <c r="P76" s="18"/>
      <c r="Q76" s="19"/>
      <c r="R76" s="16"/>
      <c r="S76" s="17"/>
      <c r="T76" s="18"/>
      <c r="U76" s="19"/>
      <c r="V76" s="16"/>
      <c r="W76" s="17"/>
      <c r="X76" s="18"/>
      <c r="Y76" s="19"/>
      <c r="Z76" s="16"/>
      <c r="AA76" s="17"/>
      <c r="AB76" s="18"/>
      <c r="AC76" s="19"/>
      <c r="AD76" s="16"/>
      <c r="AE76" s="17"/>
      <c r="AF76" s="18"/>
      <c r="AG76" s="19"/>
      <c r="AH76" s="16"/>
      <c r="AI76" s="17"/>
      <c r="AJ76" s="18"/>
      <c r="AK76" s="19"/>
      <c r="AL76" s="16"/>
      <c r="AM76" s="17"/>
      <c r="AN76" s="18"/>
      <c r="AO76" s="19"/>
      <c r="AP76" s="16"/>
      <c r="AQ76" s="17"/>
      <c r="AR76" s="18"/>
      <c r="AS76" s="19"/>
      <c r="AT76" s="16"/>
      <c r="AU76" s="17"/>
      <c r="AV76" s="18"/>
      <c r="AW76" s="19"/>
      <c r="AX76" s="12"/>
      <c r="AY76" s="13"/>
      <c r="AZ76" s="14"/>
      <c r="BA76" s="15"/>
      <c r="BB76" s="12"/>
      <c r="BC76" s="13"/>
      <c r="BD76" s="14"/>
      <c r="BE76" s="15"/>
      <c r="BF76" s="12"/>
      <c r="BG76" s="13"/>
      <c r="BH76" s="14"/>
      <c r="BI76" s="15"/>
      <c r="BJ76" s="12"/>
      <c r="BK76" s="57"/>
      <c r="BL76" s="57"/>
      <c r="BM76" s="13"/>
      <c r="BN76" s="14"/>
      <c r="BO76" s="30"/>
      <c r="BP76" s="12"/>
      <c r="BQ76" s="13"/>
      <c r="BR76" s="14"/>
      <c r="BS76" s="15"/>
      <c r="BT76" s="12">
        <v>0</v>
      </c>
      <c r="BU76" s="57">
        <v>0</v>
      </c>
      <c r="BV76" s="57">
        <v>0</v>
      </c>
      <c r="BW76" s="13">
        <v>0</v>
      </c>
      <c r="BX76" s="14"/>
      <c r="BY76" s="15"/>
      <c r="BZ76" s="12"/>
      <c r="CA76" s="13"/>
      <c r="CB76" s="14"/>
      <c r="CC76" s="15"/>
      <c r="CD76" s="24"/>
      <c r="CE76" s="25"/>
      <c r="CF76" s="169"/>
      <c r="CG76" s="170"/>
      <c r="CH76" s="170"/>
      <c r="CI76" s="170"/>
      <c r="CJ76" s="12"/>
      <c r="CK76" s="13"/>
      <c r="CL76" s="14"/>
      <c r="CM76" s="15"/>
      <c r="CN76" s="24"/>
      <c r="CO76" s="25"/>
      <c r="CP76" s="28"/>
      <c r="CQ76" s="29"/>
    </row>
    <row r="77" spans="1:95" s="2" customFormat="1" ht="1.5" customHeight="1" x14ac:dyDescent="0.55000000000000004">
      <c r="A77" s="7"/>
      <c r="B77" s="16"/>
      <c r="C77" s="17"/>
      <c r="D77" s="18"/>
      <c r="E77" s="19"/>
      <c r="F77" s="16"/>
      <c r="G77" s="17"/>
      <c r="H77" s="18"/>
      <c r="I77" s="19"/>
      <c r="J77" s="16"/>
      <c r="K77" s="17"/>
      <c r="L77" s="18"/>
      <c r="M77" s="19"/>
      <c r="N77" s="16"/>
      <c r="O77" s="17"/>
      <c r="P77" s="18"/>
      <c r="Q77" s="19"/>
      <c r="R77" s="16"/>
      <c r="S77" s="17"/>
      <c r="T77" s="18"/>
      <c r="U77" s="19"/>
      <c r="V77" s="16"/>
      <c r="W77" s="17"/>
      <c r="X77" s="18"/>
      <c r="Y77" s="19"/>
      <c r="Z77" s="16"/>
      <c r="AA77" s="17"/>
      <c r="AB77" s="18"/>
      <c r="AC77" s="19"/>
      <c r="AD77" s="16"/>
      <c r="AE77" s="17"/>
      <c r="AF77" s="18"/>
      <c r="AG77" s="19"/>
      <c r="AH77" s="16"/>
      <c r="AI77" s="17"/>
      <c r="AJ77" s="18"/>
      <c r="AK77" s="19"/>
      <c r="AL77" s="16"/>
      <c r="AM77" s="17"/>
      <c r="AN77" s="18"/>
      <c r="AO77" s="19"/>
      <c r="AP77" s="16"/>
      <c r="AQ77" s="17"/>
      <c r="AR77" s="18"/>
      <c r="AS77" s="19"/>
      <c r="AT77" s="16"/>
      <c r="AU77" s="17"/>
      <c r="AV77" s="18"/>
      <c r="AW77" s="19"/>
      <c r="AX77" s="12"/>
      <c r="AY77" s="13"/>
      <c r="AZ77" s="14"/>
      <c r="BA77" s="15"/>
      <c r="BB77" s="12"/>
      <c r="BC77" s="13"/>
      <c r="BD77" s="14"/>
      <c r="BE77" s="15"/>
      <c r="BF77" s="12"/>
      <c r="BG77" s="13"/>
      <c r="BH77" s="14"/>
      <c r="BI77" s="15"/>
      <c r="BJ77" s="12"/>
      <c r="BK77" s="57"/>
      <c r="BL77" s="57"/>
      <c r="BM77" s="13"/>
      <c r="BN77" s="14"/>
      <c r="BO77" s="30"/>
      <c r="BP77" s="12"/>
      <c r="BQ77" s="13"/>
      <c r="BR77" s="14"/>
      <c r="BS77" s="15"/>
      <c r="BT77" s="12">
        <v>0</v>
      </c>
      <c r="BU77" s="57">
        <v>0</v>
      </c>
      <c r="BV77" s="57">
        <v>0</v>
      </c>
      <c r="BW77" s="13">
        <v>0</v>
      </c>
      <c r="BX77" s="14"/>
      <c r="BY77" s="15"/>
      <c r="BZ77" s="12"/>
      <c r="CA77" s="13"/>
      <c r="CB77" s="14"/>
      <c r="CC77" s="15"/>
      <c r="CD77" s="24"/>
      <c r="CE77" s="25"/>
      <c r="CF77" s="169"/>
      <c r="CG77" s="170"/>
      <c r="CH77" s="170"/>
      <c r="CI77" s="170"/>
      <c r="CJ77" s="12"/>
      <c r="CK77" s="13"/>
      <c r="CL77" s="14"/>
      <c r="CM77" s="15"/>
      <c r="CN77" s="24"/>
      <c r="CO77" s="25"/>
      <c r="CP77" s="28"/>
      <c r="CQ77" s="29"/>
    </row>
    <row r="78" spans="1:95" s="2" customFormat="1" ht="1.5" customHeight="1" x14ac:dyDescent="0.55000000000000004">
      <c r="A78" s="7"/>
      <c r="B78" s="16"/>
      <c r="C78" s="17"/>
      <c r="D78" s="18"/>
      <c r="E78" s="19"/>
      <c r="F78" s="16"/>
      <c r="G78" s="17"/>
      <c r="H78" s="18"/>
      <c r="I78" s="19"/>
      <c r="J78" s="16"/>
      <c r="K78" s="17"/>
      <c r="L78" s="18"/>
      <c r="M78" s="19"/>
      <c r="N78" s="16"/>
      <c r="O78" s="17"/>
      <c r="P78" s="18"/>
      <c r="Q78" s="19"/>
      <c r="R78" s="16"/>
      <c r="S78" s="17"/>
      <c r="T78" s="18"/>
      <c r="U78" s="19"/>
      <c r="V78" s="16"/>
      <c r="W78" s="17"/>
      <c r="X78" s="18"/>
      <c r="Y78" s="19"/>
      <c r="Z78" s="16"/>
      <c r="AA78" s="17"/>
      <c r="AB78" s="18"/>
      <c r="AC78" s="19"/>
      <c r="AD78" s="16"/>
      <c r="AE78" s="17"/>
      <c r="AF78" s="18"/>
      <c r="AG78" s="19"/>
      <c r="AH78" s="16"/>
      <c r="AI78" s="17"/>
      <c r="AJ78" s="18"/>
      <c r="AK78" s="19"/>
      <c r="AL78" s="16"/>
      <c r="AM78" s="17"/>
      <c r="AN78" s="18"/>
      <c r="AO78" s="19"/>
      <c r="AP78" s="16"/>
      <c r="AQ78" s="17"/>
      <c r="AR78" s="18"/>
      <c r="AS78" s="19"/>
      <c r="AT78" s="16"/>
      <c r="AU78" s="17"/>
      <c r="AV78" s="18"/>
      <c r="AW78" s="19"/>
      <c r="AX78" s="12"/>
      <c r="AY78" s="13"/>
      <c r="AZ78" s="14"/>
      <c r="BA78" s="15"/>
      <c r="BB78" s="12"/>
      <c r="BC78" s="13"/>
      <c r="BD78" s="14"/>
      <c r="BE78" s="15"/>
      <c r="BF78" s="12"/>
      <c r="BG78" s="13"/>
      <c r="BH78" s="14"/>
      <c r="BI78" s="15"/>
      <c r="BJ78" s="12"/>
      <c r="BK78" s="57"/>
      <c r="BL78" s="57"/>
      <c r="BM78" s="13"/>
      <c r="BN78" s="14"/>
      <c r="BO78" s="30"/>
      <c r="BP78" s="12"/>
      <c r="BQ78" s="13"/>
      <c r="BR78" s="14"/>
      <c r="BS78" s="15"/>
      <c r="BT78" s="12">
        <v>0</v>
      </c>
      <c r="BU78" s="57">
        <v>0</v>
      </c>
      <c r="BV78" s="57">
        <v>0</v>
      </c>
      <c r="BW78" s="13">
        <v>0</v>
      </c>
      <c r="BX78" s="14"/>
      <c r="BY78" s="15"/>
      <c r="BZ78" s="12"/>
      <c r="CA78" s="13"/>
      <c r="CB78" s="14"/>
      <c r="CC78" s="15"/>
      <c r="CD78" s="24"/>
      <c r="CE78" s="25"/>
      <c r="CF78" s="169"/>
      <c r="CG78" s="170"/>
      <c r="CH78" s="170"/>
      <c r="CI78" s="170"/>
      <c r="CJ78" s="12"/>
      <c r="CK78" s="13"/>
      <c r="CL78" s="14"/>
      <c r="CM78" s="15"/>
      <c r="CN78" s="24"/>
      <c r="CO78" s="25"/>
      <c r="CP78" s="28"/>
      <c r="CQ78" s="29"/>
    </row>
    <row r="79" spans="1:95" s="2" customFormat="1" ht="1.5" customHeight="1" x14ac:dyDescent="0.55000000000000004">
      <c r="A79" s="7"/>
      <c r="B79" s="16"/>
      <c r="C79" s="17"/>
      <c r="D79" s="18"/>
      <c r="E79" s="19"/>
      <c r="F79" s="16"/>
      <c r="G79" s="17"/>
      <c r="H79" s="18"/>
      <c r="I79" s="19"/>
      <c r="J79" s="16"/>
      <c r="K79" s="17"/>
      <c r="L79" s="18"/>
      <c r="M79" s="19"/>
      <c r="N79" s="16"/>
      <c r="O79" s="17"/>
      <c r="P79" s="18"/>
      <c r="Q79" s="19"/>
      <c r="R79" s="16"/>
      <c r="S79" s="17"/>
      <c r="T79" s="18"/>
      <c r="U79" s="19"/>
      <c r="V79" s="16"/>
      <c r="W79" s="17"/>
      <c r="X79" s="18"/>
      <c r="Y79" s="19"/>
      <c r="Z79" s="16"/>
      <c r="AA79" s="17"/>
      <c r="AB79" s="18"/>
      <c r="AC79" s="19"/>
      <c r="AD79" s="16"/>
      <c r="AE79" s="17"/>
      <c r="AF79" s="18"/>
      <c r="AG79" s="19"/>
      <c r="AH79" s="16"/>
      <c r="AI79" s="17"/>
      <c r="AJ79" s="18"/>
      <c r="AK79" s="19"/>
      <c r="AL79" s="16"/>
      <c r="AM79" s="17"/>
      <c r="AN79" s="18"/>
      <c r="AO79" s="19"/>
      <c r="AP79" s="16"/>
      <c r="AQ79" s="17"/>
      <c r="AR79" s="18"/>
      <c r="AS79" s="19"/>
      <c r="AT79" s="16"/>
      <c r="AU79" s="17"/>
      <c r="AV79" s="18"/>
      <c r="AW79" s="19"/>
      <c r="AX79" s="12"/>
      <c r="AY79" s="13"/>
      <c r="AZ79" s="14"/>
      <c r="BA79" s="15"/>
      <c r="BB79" s="12"/>
      <c r="BC79" s="13"/>
      <c r="BD79" s="14"/>
      <c r="BE79" s="15"/>
      <c r="BF79" s="12"/>
      <c r="BG79" s="13"/>
      <c r="BH79" s="14"/>
      <c r="BI79" s="15"/>
      <c r="BJ79" s="12"/>
      <c r="BK79" s="57"/>
      <c r="BL79" s="57"/>
      <c r="BM79" s="13"/>
      <c r="BN79" s="14"/>
      <c r="BO79" s="30"/>
      <c r="BP79" s="12"/>
      <c r="BQ79" s="13"/>
      <c r="BR79" s="14"/>
      <c r="BS79" s="15"/>
      <c r="BT79" s="12">
        <v>0</v>
      </c>
      <c r="BU79" s="57">
        <v>0</v>
      </c>
      <c r="BV79" s="57">
        <v>0</v>
      </c>
      <c r="BW79" s="13">
        <v>0</v>
      </c>
      <c r="BX79" s="14"/>
      <c r="BY79" s="15"/>
      <c r="BZ79" s="12"/>
      <c r="CA79" s="13"/>
      <c r="CB79" s="14"/>
      <c r="CC79" s="15"/>
      <c r="CD79" s="24"/>
      <c r="CE79" s="25"/>
      <c r="CF79" s="169"/>
      <c r="CG79" s="170"/>
      <c r="CH79" s="170"/>
      <c r="CI79" s="170"/>
      <c r="CJ79" s="12"/>
      <c r="CK79" s="13"/>
      <c r="CL79" s="14"/>
      <c r="CM79" s="15"/>
      <c r="CN79" s="24"/>
      <c r="CO79" s="25"/>
      <c r="CP79" s="28"/>
      <c r="CQ79" s="29"/>
    </row>
    <row r="80" spans="1:95" s="2" customFormat="1" ht="1.5" customHeight="1" x14ac:dyDescent="0.55000000000000004">
      <c r="A80" s="7"/>
      <c r="B80" s="16"/>
      <c r="C80" s="17"/>
      <c r="D80" s="18"/>
      <c r="E80" s="19"/>
      <c r="F80" s="16"/>
      <c r="G80" s="17"/>
      <c r="H80" s="18"/>
      <c r="I80" s="19"/>
      <c r="J80" s="16"/>
      <c r="K80" s="17"/>
      <c r="L80" s="18"/>
      <c r="M80" s="19"/>
      <c r="N80" s="16"/>
      <c r="O80" s="17"/>
      <c r="P80" s="18"/>
      <c r="Q80" s="19"/>
      <c r="R80" s="16"/>
      <c r="S80" s="17"/>
      <c r="T80" s="18"/>
      <c r="U80" s="19"/>
      <c r="V80" s="16"/>
      <c r="W80" s="17"/>
      <c r="X80" s="18"/>
      <c r="Y80" s="19"/>
      <c r="Z80" s="16"/>
      <c r="AA80" s="17"/>
      <c r="AB80" s="18"/>
      <c r="AC80" s="19"/>
      <c r="AD80" s="16"/>
      <c r="AE80" s="17"/>
      <c r="AF80" s="18"/>
      <c r="AG80" s="19"/>
      <c r="AH80" s="16"/>
      <c r="AI80" s="17"/>
      <c r="AJ80" s="18"/>
      <c r="AK80" s="19"/>
      <c r="AL80" s="16"/>
      <c r="AM80" s="17"/>
      <c r="AN80" s="18"/>
      <c r="AO80" s="19"/>
      <c r="AP80" s="16"/>
      <c r="AQ80" s="17"/>
      <c r="AR80" s="18"/>
      <c r="AS80" s="19"/>
      <c r="AT80" s="16"/>
      <c r="AU80" s="17"/>
      <c r="AV80" s="18"/>
      <c r="AW80" s="19"/>
      <c r="AX80" s="12"/>
      <c r="AY80" s="13"/>
      <c r="AZ80" s="14"/>
      <c r="BA80" s="15"/>
      <c r="BB80" s="12"/>
      <c r="BC80" s="13"/>
      <c r="BD80" s="14"/>
      <c r="BE80" s="15"/>
      <c r="BF80" s="12"/>
      <c r="BG80" s="13"/>
      <c r="BH80" s="14"/>
      <c r="BI80" s="15"/>
      <c r="BJ80" s="12"/>
      <c r="BK80" s="57"/>
      <c r="BL80" s="57"/>
      <c r="BM80" s="13"/>
      <c r="BN80" s="14"/>
      <c r="BO80" s="30"/>
      <c r="BP80" s="12"/>
      <c r="BQ80" s="13"/>
      <c r="BR80" s="14"/>
      <c r="BS80" s="15"/>
      <c r="BT80" s="12">
        <v>0</v>
      </c>
      <c r="BU80" s="57">
        <v>0</v>
      </c>
      <c r="BV80" s="57">
        <v>0</v>
      </c>
      <c r="BW80" s="13">
        <v>0</v>
      </c>
      <c r="BX80" s="14"/>
      <c r="BY80" s="15"/>
      <c r="BZ80" s="12"/>
      <c r="CA80" s="13"/>
      <c r="CB80" s="14"/>
      <c r="CC80" s="15"/>
      <c r="CD80" s="24"/>
      <c r="CE80" s="25"/>
      <c r="CF80" s="169"/>
      <c r="CG80" s="170"/>
      <c r="CH80" s="170"/>
      <c r="CI80" s="170"/>
      <c r="CJ80" s="12"/>
      <c r="CK80" s="13"/>
      <c r="CL80" s="14"/>
      <c r="CM80" s="15"/>
      <c r="CN80" s="24"/>
      <c r="CO80" s="25"/>
      <c r="CP80" s="28"/>
      <c r="CQ80" s="29"/>
    </row>
    <row r="81" spans="1:95" s="2" customFormat="1" ht="1.5" customHeight="1" x14ac:dyDescent="0.55000000000000004">
      <c r="A81" s="7"/>
      <c r="B81" s="16"/>
      <c r="C81" s="17"/>
      <c r="D81" s="18"/>
      <c r="E81" s="19"/>
      <c r="F81" s="16"/>
      <c r="G81" s="17"/>
      <c r="H81" s="18"/>
      <c r="I81" s="19"/>
      <c r="J81" s="16"/>
      <c r="K81" s="17"/>
      <c r="L81" s="18"/>
      <c r="M81" s="19"/>
      <c r="N81" s="16"/>
      <c r="O81" s="17"/>
      <c r="P81" s="18"/>
      <c r="Q81" s="19"/>
      <c r="R81" s="16"/>
      <c r="S81" s="17"/>
      <c r="T81" s="18"/>
      <c r="U81" s="19"/>
      <c r="V81" s="16"/>
      <c r="W81" s="17"/>
      <c r="X81" s="18"/>
      <c r="Y81" s="19"/>
      <c r="Z81" s="16"/>
      <c r="AA81" s="17"/>
      <c r="AB81" s="18"/>
      <c r="AC81" s="19"/>
      <c r="AD81" s="16"/>
      <c r="AE81" s="17"/>
      <c r="AF81" s="18"/>
      <c r="AG81" s="19"/>
      <c r="AH81" s="16"/>
      <c r="AI81" s="17"/>
      <c r="AJ81" s="18"/>
      <c r="AK81" s="19"/>
      <c r="AL81" s="16"/>
      <c r="AM81" s="17"/>
      <c r="AN81" s="18"/>
      <c r="AO81" s="19"/>
      <c r="AP81" s="16"/>
      <c r="AQ81" s="17"/>
      <c r="AR81" s="18"/>
      <c r="AS81" s="19"/>
      <c r="AT81" s="16"/>
      <c r="AU81" s="17"/>
      <c r="AV81" s="18"/>
      <c r="AW81" s="19"/>
      <c r="AX81" s="12"/>
      <c r="AY81" s="13"/>
      <c r="AZ81" s="14"/>
      <c r="BA81" s="15"/>
      <c r="BB81" s="12"/>
      <c r="BC81" s="13"/>
      <c r="BD81" s="14"/>
      <c r="BE81" s="15"/>
      <c r="BF81" s="12"/>
      <c r="BG81" s="13"/>
      <c r="BH81" s="14"/>
      <c r="BI81" s="15"/>
      <c r="BJ81" s="12"/>
      <c r="BK81" s="57"/>
      <c r="BL81" s="57"/>
      <c r="BM81" s="13"/>
      <c r="BN81" s="14"/>
      <c r="BO81" s="30"/>
      <c r="BP81" s="12"/>
      <c r="BQ81" s="13"/>
      <c r="BR81" s="14"/>
      <c r="BS81" s="15"/>
      <c r="BT81" s="12">
        <v>0</v>
      </c>
      <c r="BU81" s="57">
        <v>0</v>
      </c>
      <c r="BV81" s="57">
        <v>0</v>
      </c>
      <c r="BW81" s="13">
        <v>0</v>
      </c>
      <c r="BX81" s="14"/>
      <c r="BY81" s="15"/>
      <c r="BZ81" s="12"/>
      <c r="CA81" s="13"/>
      <c r="CB81" s="14"/>
      <c r="CC81" s="15"/>
      <c r="CD81" s="24"/>
      <c r="CE81" s="25"/>
      <c r="CF81" s="169"/>
      <c r="CG81" s="170"/>
      <c r="CH81" s="170"/>
      <c r="CI81" s="170"/>
      <c r="CJ81" s="12"/>
      <c r="CK81" s="13"/>
      <c r="CL81" s="14"/>
      <c r="CM81" s="15"/>
      <c r="CN81" s="24"/>
      <c r="CO81" s="25"/>
      <c r="CP81" s="28"/>
      <c r="CQ81" s="29"/>
    </row>
    <row r="82" spans="1:95" s="2" customFormat="1" ht="1.5" customHeight="1" x14ac:dyDescent="0.55000000000000004">
      <c r="A82" s="7"/>
      <c r="B82" s="16"/>
      <c r="C82" s="17"/>
      <c r="D82" s="18"/>
      <c r="E82" s="19"/>
      <c r="F82" s="16"/>
      <c r="G82" s="17"/>
      <c r="H82" s="18"/>
      <c r="I82" s="19"/>
      <c r="J82" s="16"/>
      <c r="K82" s="17"/>
      <c r="L82" s="18"/>
      <c r="M82" s="19"/>
      <c r="N82" s="16"/>
      <c r="O82" s="17"/>
      <c r="P82" s="18"/>
      <c r="Q82" s="19"/>
      <c r="R82" s="16"/>
      <c r="S82" s="17"/>
      <c r="T82" s="18"/>
      <c r="U82" s="19"/>
      <c r="V82" s="16"/>
      <c r="W82" s="17"/>
      <c r="X82" s="18"/>
      <c r="Y82" s="19"/>
      <c r="Z82" s="16"/>
      <c r="AA82" s="17"/>
      <c r="AB82" s="18"/>
      <c r="AC82" s="19"/>
      <c r="AD82" s="16"/>
      <c r="AE82" s="17"/>
      <c r="AF82" s="18"/>
      <c r="AG82" s="19"/>
      <c r="AH82" s="16"/>
      <c r="AI82" s="17"/>
      <c r="AJ82" s="18"/>
      <c r="AK82" s="19"/>
      <c r="AL82" s="16"/>
      <c r="AM82" s="17"/>
      <c r="AN82" s="18"/>
      <c r="AO82" s="19"/>
      <c r="AP82" s="16"/>
      <c r="AQ82" s="17"/>
      <c r="AR82" s="18"/>
      <c r="AS82" s="19"/>
      <c r="AT82" s="16"/>
      <c r="AU82" s="17"/>
      <c r="AV82" s="18"/>
      <c r="AW82" s="19"/>
      <c r="AX82" s="12"/>
      <c r="AY82" s="13"/>
      <c r="AZ82" s="14"/>
      <c r="BA82" s="15"/>
      <c r="BB82" s="12"/>
      <c r="BC82" s="13"/>
      <c r="BD82" s="14"/>
      <c r="BE82" s="15"/>
      <c r="BF82" s="12"/>
      <c r="BG82" s="13"/>
      <c r="BH82" s="14"/>
      <c r="BI82" s="15"/>
      <c r="BJ82" s="12"/>
      <c r="BK82" s="57"/>
      <c r="BL82" s="57"/>
      <c r="BM82" s="13"/>
      <c r="BN82" s="14"/>
      <c r="BO82" s="30"/>
      <c r="BP82" s="12"/>
      <c r="BQ82" s="13"/>
      <c r="BR82" s="14"/>
      <c r="BS82" s="15"/>
      <c r="BT82" s="12">
        <v>0</v>
      </c>
      <c r="BU82" s="57">
        <v>0</v>
      </c>
      <c r="BV82" s="57">
        <v>0</v>
      </c>
      <c r="BW82" s="13">
        <v>0</v>
      </c>
      <c r="BX82" s="14"/>
      <c r="BY82" s="15"/>
      <c r="BZ82" s="12"/>
      <c r="CA82" s="13"/>
      <c r="CB82" s="14"/>
      <c r="CC82" s="15"/>
      <c r="CD82" s="24"/>
      <c r="CE82" s="25"/>
      <c r="CF82" s="169"/>
      <c r="CG82" s="170"/>
      <c r="CH82" s="170"/>
      <c r="CI82" s="170"/>
      <c r="CJ82" s="12"/>
      <c r="CK82" s="13"/>
      <c r="CL82" s="14"/>
      <c r="CM82" s="15"/>
      <c r="CN82" s="24"/>
      <c r="CO82" s="25"/>
      <c r="CP82" s="28"/>
      <c r="CQ82" s="29"/>
    </row>
    <row r="83" spans="1:95" s="2" customFormat="1" ht="1.5" customHeight="1" x14ac:dyDescent="0.55000000000000004">
      <c r="A83" s="7"/>
      <c r="B83" s="16"/>
      <c r="C83" s="17"/>
      <c r="D83" s="18"/>
      <c r="E83" s="19"/>
      <c r="F83" s="16"/>
      <c r="G83" s="17"/>
      <c r="H83" s="18"/>
      <c r="I83" s="19"/>
      <c r="J83" s="16"/>
      <c r="K83" s="17"/>
      <c r="L83" s="18"/>
      <c r="M83" s="19"/>
      <c r="N83" s="16"/>
      <c r="O83" s="17"/>
      <c r="P83" s="18"/>
      <c r="Q83" s="19"/>
      <c r="R83" s="16"/>
      <c r="S83" s="17"/>
      <c r="T83" s="18"/>
      <c r="U83" s="19"/>
      <c r="V83" s="16"/>
      <c r="W83" s="17"/>
      <c r="X83" s="18"/>
      <c r="Y83" s="19"/>
      <c r="Z83" s="16"/>
      <c r="AA83" s="17"/>
      <c r="AB83" s="18"/>
      <c r="AC83" s="19"/>
      <c r="AD83" s="16"/>
      <c r="AE83" s="17"/>
      <c r="AF83" s="18"/>
      <c r="AG83" s="19"/>
      <c r="AH83" s="16"/>
      <c r="AI83" s="17"/>
      <c r="AJ83" s="18"/>
      <c r="AK83" s="19"/>
      <c r="AL83" s="16"/>
      <c r="AM83" s="17"/>
      <c r="AN83" s="18"/>
      <c r="AO83" s="19"/>
      <c r="AP83" s="16"/>
      <c r="AQ83" s="17"/>
      <c r="AR83" s="18"/>
      <c r="AS83" s="19"/>
      <c r="AT83" s="16"/>
      <c r="AU83" s="17"/>
      <c r="AV83" s="18"/>
      <c r="AW83" s="19"/>
      <c r="AX83" s="12"/>
      <c r="AY83" s="13"/>
      <c r="AZ83" s="14"/>
      <c r="BA83" s="15"/>
      <c r="BB83" s="12"/>
      <c r="BC83" s="13"/>
      <c r="BD83" s="14"/>
      <c r="BE83" s="15"/>
      <c r="BF83" s="12"/>
      <c r="BG83" s="13"/>
      <c r="BH83" s="14"/>
      <c r="BI83" s="15"/>
      <c r="BJ83" s="12"/>
      <c r="BK83" s="57"/>
      <c r="BL83" s="57"/>
      <c r="BM83" s="13"/>
      <c r="BN83" s="14"/>
      <c r="BO83" s="30"/>
      <c r="BP83" s="12"/>
      <c r="BQ83" s="13"/>
      <c r="BR83" s="14"/>
      <c r="BS83" s="15"/>
      <c r="BT83" s="12">
        <v>0</v>
      </c>
      <c r="BU83" s="57">
        <v>0</v>
      </c>
      <c r="BV83" s="57">
        <v>0</v>
      </c>
      <c r="BW83" s="13">
        <v>0</v>
      </c>
      <c r="BX83" s="14"/>
      <c r="BY83" s="15"/>
      <c r="BZ83" s="12"/>
      <c r="CA83" s="13"/>
      <c r="CB83" s="14"/>
      <c r="CC83" s="15"/>
      <c r="CD83" s="24"/>
      <c r="CE83" s="25"/>
      <c r="CF83" s="169"/>
      <c r="CG83" s="170"/>
      <c r="CH83" s="170"/>
      <c r="CI83" s="170"/>
      <c r="CJ83" s="12"/>
      <c r="CK83" s="13"/>
      <c r="CL83" s="14"/>
      <c r="CM83" s="15"/>
      <c r="CN83" s="24"/>
      <c r="CO83" s="25"/>
      <c r="CP83" s="28"/>
      <c r="CQ83" s="29"/>
    </row>
    <row r="84" spans="1:95" s="2" customFormat="1" ht="1.5" customHeight="1" x14ac:dyDescent="0.55000000000000004">
      <c r="A84" s="7"/>
      <c r="B84" s="16"/>
      <c r="C84" s="17"/>
      <c r="D84" s="18"/>
      <c r="E84" s="19"/>
      <c r="F84" s="16"/>
      <c r="G84" s="17"/>
      <c r="H84" s="18"/>
      <c r="I84" s="19"/>
      <c r="J84" s="16"/>
      <c r="K84" s="17"/>
      <c r="L84" s="18"/>
      <c r="M84" s="19"/>
      <c r="N84" s="16"/>
      <c r="O84" s="17"/>
      <c r="P84" s="18"/>
      <c r="Q84" s="19"/>
      <c r="R84" s="16"/>
      <c r="S84" s="17"/>
      <c r="T84" s="18"/>
      <c r="U84" s="19"/>
      <c r="V84" s="16"/>
      <c r="W84" s="17"/>
      <c r="X84" s="18"/>
      <c r="Y84" s="19"/>
      <c r="Z84" s="16"/>
      <c r="AA84" s="17"/>
      <c r="AB84" s="18"/>
      <c r="AC84" s="19"/>
      <c r="AD84" s="16"/>
      <c r="AE84" s="17"/>
      <c r="AF84" s="18"/>
      <c r="AG84" s="19"/>
      <c r="AH84" s="16"/>
      <c r="AI84" s="17"/>
      <c r="AJ84" s="18"/>
      <c r="AK84" s="19"/>
      <c r="AL84" s="16"/>
      <c r="AM84" s="17"/>
      <c r="AN84" s="18"/>
      <c r="AO84" s="19"/>
      <c r="AP84" s="16"/>
      <c r="AQ84" s="17"/>
      <c r="AR84" s="18"/>
      <c r="AS84" s="19"/>
      <c r="AT84" s="16"/>
      <c r="AU84" s="17"/>
      <c r="AV84" s="18"/>
      <c r="AW84" s="19"/>
      <c r="AX84" s="12"/>
      <c r="AY84" s="13"/>
      <c r="AZ84" s="14"/>
      <c r="BA84" s="15"/>
      <c r="BB84" s="12"/>
      <c r="BC84" s="13"/>
      <c r="BD84" s="14"/>
      <c r="BE84" s="15"/>
      <c r="BF84" s="12"/>
      <c r="BG84" s="13"/>
      <c r="BH84" s="14"/>
      <c r="BI84" s="15"/>
      <c r="BJ84" s="12"/>
      <c r="BK84" s="57"/>
      <c r="BL84" s="57"/>
      <c r="BM84" s="13"/>
      <c r="BN84" s="14"/>
      <c r="BO84" s="30"/>
      <c r="BP84" s="12"/>
      <c r="BQ84" s="13"/>
      <c r="BR84" s="14"/>
      <c r="BS84" s="15"/>
      <c r="BT84" s="12">
        <v>0</v>
      </c>
      <c r="BU84" s="57">
        <v>0</v>
      </c>
      <c r="BV84" s="57">
        <v>0</v>
      </c>
      <c r="BW84" s="13">
        <v>0</v>
      </c>
      <c r="BX84" s="14"/>
      <c r="BY84" s="15"/>
      <c r="BZ84" s="12"/>
      <c r="CA84" s="13"/>
      <c r="CB84" s="14"/>
      <c r="CC84" s="15"/>
      <c r="CD84" s="24"/>
      <c r="CE84" s="25"/>
      <c r="CF84" s="169"/>
      <c r="CG84" s="170"/>
      <c r="CH84" s="170"/>
      <c r="CI84" s="170"/>
      <c r="CJ84" s="12"/>
      <c r="CK84" s="13"/>
      <c r="CL84" s="14"/>
      <c r="CM84" s="15"/>
      <c r="CN84" s="24"/>
      <c r="CO84" s="25"/>
      <c r="CP84" s="28"/>
      <c r="CQ84" s="29"/>
    </row>
    <row r="85" spans="1:95" s="2" customFormat="1" ht="1.5" customHeight="1" x14ac:dyDescent="0.55000000000000004">
      <c r="A85" s="7"/>
      <c r="B85" s="16"/>
      <c r="C85" s="17"/>
      <c r="D85" s="18"/>
      <c r="E85" s="19"/>
      <c r="F85" s="16"/>
      <c r="G85" s="17"/>
      <c r="H85" s="18"/>
      <c r="I85" s="19"/>
      <c r="J85" s="16"/>
      <c r="K85" s="17"/>
      <c r="L85" s="18"/>
      <c r="M85" s="19"/>
      <c r="N85" s="16"/>
      <c r="O85" s="17"/>
      <c r="P85" s="18"/>
      <c r="Q85" s="19"/>
      <c r="R85" s="16"/>
      <c r="S85" s="17"/>
      <c r="T85" s="18"/>
      <c r="U85" s="19"/>
      <c r="V85" s="16"/>
      <c r="W85" s="17"/>
      <c r="X85" s="18"/>
      <c r="Y85" s="19"/>
      <c r="Z85" s="16"/>
      <c r="AA85" s="17"/>
      <c r="AB85" s="18"/>
      <c r="AC85" s="19"/>
      <c r="AD85" s="16"/>
      <c r="AE85" s="17"/>
      <c r="AF85" s="18"/>
      <c r="AG85" s="19"/>
      <c r="AH85" s="16"/>
      <c r="AI85" s="17"/>
      <c r="AJ85" s="18"/>
      <c r="AK85" s="19"/>
      <c r="AL85" s="16"/>
      <c r="AM85" s="17"/>
      <c r="AN85" s="18"/>
      <c r="AO85" s="19"/>
      <c r="AP85" s="16"/>
      <c r="AQ85" s="17"/>
      <c r="AR85" s="18"/>
      <c r="AS85" s="19"/>
      <c r="AT85" s="16"/>
      <c r="AU85" s="17"/>
      <c r="AV85" s="18"/>
      <c r="AW85" s="19"/>
      <c r="AX85" s="12"/>
      <c r="AY85" s="13"/>
      <c r="AZ85" s="14"/>
      <c r="BA85" s="15"/>
      <c r="BB85" s="12"/>
      <c r="BC85" s="13"/>
      <c r="BD85" s="14"/>
      <c r="BE85" s="15"/>
      <c r="BF85" s="12"/>
      <c r="BG85" s="13"/>
      <c r="BH85" s="14"/>
      <c r="BI85" s="15"/>
      <c r="BJ85" s="12"/>
      <c r="BK85" s="57"/>
      <c r="BL85" s="57"/>
      <c r="BM85" s="13"/>
      <c r="BN85" s="14"/>
      <c r="BO85" s="30"/>
      <c r="BP85" s="12"/>
      <c r="BQ85" s="13"/>
      <c r="BR85" s="14"/>
      <c r="BS85" s="15"/>
      <c r="BT85" s="12">
        <v>0</v>
      </c>
      <c r="BU85" s="57">
        <v>0</v>
      </c>
      <c r="BV85" s="57">
        <v>0</v>
      </c>
      <c r="BW85" s="13">
        <v>0</v>
      </c>
      <c r="BX85" s="14"/>
      <c r="BY85" s="15"/>
      <c r="BZ85" s="12"/>
      <c r="CA85" s="13"/>
      <c r="CB85" s="14"/>
      <c r="CC85" s="15"/>
      <c r="CD85" s="24"/>
      <c r="CE85" s="25"/>
      <c r="CF85" s="169"/>
      <c r="CG85" s="170"/>
      <c r="CH85" s="170"/>
      <c r="CI85" s="170"/>
      <c r="CJ85" s="12"/>
      <c r="CK85" s="13"/>
      <c r="CL85" s="14"/>
      <c r="CM85" s="15"/>
      <c r="CN85" s="24"/>
      <c r="CO85" s="25"/>
      <c r="CP85" s="28"/>
      <c r="CQ85" s="29"/>
    </row>
    <row r="86" spans="1:95" s="2" customFormat="1" ht="1.5" customHeight="1" x14ac:dyDescent="0.55000000000000004">
      <c r="A86" s="7"/>
      <c r="B86" s="16"/>
      <c r="C86" s="17"/>
      <c r="D86" s="18"/>
      <c r="E86" s="19"/>
      <c r="F86" s="16"/>
      <c r="G86" s="17"/>
      <c r="H86" s="18"/>
      <c r="I86" s="19"/>
      <c r="J86" s="16"/>
      <c r="K86" s="17"/>
      <c r="L86" s="18"/>
      <c r="M86" s="19"/>
      <c r="N86" s="16"/>
      <c r="O86" s="17"/>
      <c r="P86" s="18"/>
      <c r="Q86" s="19"/>
      <c r="R86" s="16"/>
      <c r="S86" s="17"/>
      <c r="T86" s="18"/>
      <c r="U86" s="19"/>
      <c r="V86" s="16"/>
      <c r="W86" s="17"/>
      <c r="X86" s="18"/>
      <c r="Y86" s="19"/>
      <c r="Z86" s="16"/>
      <c r="AA86" s="17"/>
      <c r="AB86" s="18"/>
      <c r="AC86" s="19"/>
      <c r="AD86" s="16"/>
      <c r="AE86" s="17"/>
      <c r="AF86" s="18"/>
      <c r="AG86" s="19"/>
      <c r="AH86" s="16"/>
      <c r="AI86" s="17"/>
      <c r="AJ86" s="18"/>
      <c r="AK86" s="19"/>
      <c r="AL86" s="16"/>
      <c r="AM86" s="17"/>
      <c r="AN86" s="18"/>
      <c r="AO86" s="19"/>
      <c r="AP86" s="16"/>
      <c r="AQ86" s="17"/>
      <c r="AR86" s="18"/>
      <c r="AS86" s="19"/>
      <c r="AT86" s="16"/>
      <c r="AU86" s="17"/>
      <c r="AV86" s="18"/>
      <c r="AW86" s="19"/>
      <c r="AX86" s="12"/>
      <c r="AY86" s="13"/>
      <c r="AZ86" s="14"/>
      <c r="BA86" s="15"/>
      <c r="BB86" s="12"/>
      <c r="BC86" s="13"/>
      <c r="BD86" s="14"/>
      <c r="BE86" s="15"/>
      <c r="BF86" s="12"/>
      <c r="BG86" s="13"/>
      <c r="BH86" s="14"/>
      <c r="BI86" s="15"/>
      <c r="BJ86" s="12"/>
      <c r="BK86" s="57"/>
      <c r="BL86" s="57"/>
      <c r="BM86" s="13"/>
      <c r="BN86" s="14"/>
      <c r="BO86" s="30"/>
      <c r="BP86" s="12"/>
      <c r="BQ86" s="13"/>
      <c r="BR86" s="14"/>
      <c r="BS86" s="15"/>
      <c r="BT86" s="12">
        <v>0</v>
      </c>
      <c r="BU86" s="57">
        <v>0</v>
      </c>
      <c r="BV86" s="57">
        <v>0</v>
      </c>
      <c r="BW86" s="13">
        <v>0</v>
      </c>
      <c r="BX86" s="14"/>
      <c r="BY86" s="15"/>
      <c r="BZ86" s="12"/>
      <c r="CA86" s="13"/>
      <c r="CB86" s="14"/>
      <c r="CC86" s="15"/>
      <c r="CD86" s="24"/>
      <c r="CE86" s="25"/>
      <c r="CF86" s="169"/>
      <c r="CG86" s="170"/>
      <c r="CH86" s="170"/>
      <c r="CI86" s="170"/>
      <c r="CJ86" s="12"/>
      <c r="CK86" s="13"/>
      <c r="CL86" s="14"/>
      <c r="CM86" s="15"/>
      <c r="CN86" s="24"/>
      <c r="CO86" s="25"/>
      <c r="CP86" s="28"/>
      <c r="CQ86" s="29"/>
    </row>
    <row r="87" spans="1:95" s="2" customFormat="1" ht="1.5" customHeight="1" x14ac:dyDescent="0.55000000000000004">
      <c r="A87" s="7"/>
      <c r="B87" s="16"/>
      <c r="C87" s="17"/>
      <c r="D87" s="18"/>
      <c r="E87" s="19"/>
      <c r="F87" s="16"/>
      <c r="G87" s="17"/>
      <c r="H87" s="18"/>
      <c r="I87" s="19"/>
      <c r="J87" s="16"/>
      <c r="K87" s="17"/>
      <c r="L87" s="18"/>
      <c r="M87" s="19"/>
      <c r="N87" s="16"/>
      <c r="O87" s="17"/>
      <c r="P87" s="18"/>
      <c r="Q87" s="19"/>
      <c r="R87" s="16"/>
      <c r="S87" s="17"/>
      <c r="T87" s="18"/>
      <c r="U87" s="19"/>
      <c r="V87" s="16"/>
      <c r="W87" s="17"/>
      <c r="X87" s="18"/>
      <c r="Y87" s="19"/>
      <c r="Z87" s="16"/>
      <c r="AA87" s="17"/>
      <c r="AB87" s="18"/>
      <c r="AC87" s="19"/>
      <c r="AD87" s="16"/>
      <c r="AE87" s="17"/>
      <c r="AF87" s="18"/>
      <c r="AG87" s="19"/>
      <c r="AH87" s="16"/>
      <c r="AI87" s="17"/>
      <c r="AJ87" s="18"/>
      <c r="AK87" s="19"/>
      <c r="AL87" s="16"/>
      <c r="AM87" s="17"/>
      <c r="AN87" s="18"/>
      <c r="AO87" s="19"/>
      <c r="AP87" s="16"/>
      <c r="AQ87" s="17"/>
      <c r="AR87" s="18"/>
      <c r="AS87" s="19"/>
      <c r="AT87" s="16"/>
      <c r="AU87" s="17"/>
      <c r="AV87" s="18"/>
      <c r="AW87" s="19"/>
      <c r="AX87" s="12"/>
      <c r="AY87" s="13"/>
      <c r="AZ87" s="14"/>
      <c r="BA87" s="15"/>
      <c r="BB87" s="12"/>
      <c r="BC87" s="13"/>
      <c r="BD87" s="14"/>
      <c r="BE87" s="15"/>
      <c r="BF87" s="12"/>
      <c r="BG87" s="13"/>
      <c r="BH87" s="14"/>
      <c r="BI87" s="15"/>
      <c r="BJ87" s="12"/>
      <c r="BK87" s="57"/>
      <c r="BL87" s="57"/>
      <c r="BM87" s="13"/>
      <c r="BN87" s="14"/>
      <c r="BO87" s="30"/>
      <c r="BP87" s="12"/>
      <c r="BQ87" s="13"/>
      <c r="BR87" s="14"/>
      <c r="BS87" s="15"/>
      <c r="BT87" s="12">
        <v>0</v>
      </c>
      <c r="BU87" s="57">
        <v>0</v>
      </c>
      <c r="BV87" s="57">
        <v>0</v>
      </c>
      <c r="BW87" s="13">
        <v>0</v>
      </c>
      <c r="BX87" s="14"/>
      <c r="BY87" s="15"/>
      <c r="BZ87" s="12"/>
      <c r="CA87" s="13"/>
      <c r="CB87" s="14"/>
      <c r="CC87" s="15"/>
      <c r="CD87" s="24"/>
      <c r="CE87" s="25"/>
      <c r="CF87" s="169"/>
      <c r="CG87" s="170"/>
      <c r="CH87" s="170"/>
      <c r="CI87" s="170"/>
      <c r="CJ87" s="12"/>
      <c r="CK87" s="13"/>
      <c r="CL87" s="14"/>
      <c r="CM87" s="15"/>
      <c r="CN87" s="24"/>
      <c r="CO87" s="25"/>
      <c r="CP87" s="28"/>
      <c r="CQ87" s="29"/>
    </row>
    <row r="88" spans="1:95" s="2" customFormat="1" ht="1.5" customHeight="1" x14ac:dyDescent="0.55000000000000004">
      <c r="A88" s="7"/>
      <c r="B88" s="16"/>
      <c r="C88" s="17"/>
      <c r="D88" s="18"/>
      <c r="E88" s="19"/>
      <c r="F88" s="16"/>
      <c r="G88" s="17"/>
      <c r="H88" s="18"/>
      <c r="I88" s="19"/>
      <c r="J88" s="16"/>
      <c r="K88" s="17"/>
      <c r="L88" s="18"/>
      <c r="M88" s="19"/>
      <c r="N88" s="16"/>
      <c r="O88" s="17"/>
      <c r="P88" s="18"/>
      <c r="Q88" s="19"/>
      <c r="R88" s="16"/>
      <c r="S88" s="17"/>
      <c r="T88" s="18"/>
      <c r="U88" s="19"/>
      <c r="V88" s="16"/>
      <c r="W88" s="17"/>
      <c r="X88" s="18"/>
      <c r="Y88" s="19"/>
      <c r="Z88" s="16"/>
      <c r="AA88" s="17"/>
      <c r="AB88" s="18"/>
      <c r="AC88" s="19"/>
      <c r="AD88" s="16"/>
      <c r="AE88" s="17"/>
      <c r="AF88" s="18"/>
      <c r="AG88" s="19"/>
      <c r="AH88" s="16"/>
      <c r="AI88" s="17"/>
      <c r="AJ88" s="18"/>
      <c r="AK88" s="19"/>
      <c r="AL88" s="16"/>
      <c r="AM88" s="17"/>
      <c r="AN88" s="18"/>
      <c r="AO88" s="19"/>
      <c r="AP88" s="16"/>
      <c r="AQ88" s="17"/>
      <c r="AR88" s="18"/>
      <c r="AS88" s="19"/>
      <c r="AT88" s="16"/>
      <c r="AU88" s="17"/>
      <c r="AV88" s="18"/>
      <c r="AW88" s="19"/>
      <c r="AX88" s="12"/>
      <c r="AY88" s="13"/>
      <c r="AZ88" s="14"/>
      <c r="BA88" s="15"/>
      <c r="BB88" s="12"/>
      <c r="BC88" s="13"/>
      <c r="BD88" s="14"/>
      <c r="BE88" s="15"/>
      <c r="BF88" s="12"/>
      <c r="BG88" s="13"/>
      <c r="BH88" s="14"/>
      <c r="BI88" s="15"/>
      <c r="BJ88" s="12"/>
      <c r="BK88" s="57"/>
      <c r="BL88" s="57"/>
      <c r="BM88" s="13"/>
      <c r="BN88" s="14"/>
      <c r="BO88" s="30"/>
      <c r="BP88" s="12"/>
      <c r="BQ88" s="13"/>
      <c r="BR88" s="14"/>
      <c r="BS88" s="15"/>
      <c r="BT88" s="12">
        <v>0</v>
      </c>
      <c r="BU88" s="57">
        <v>0</v>
      </c>
      <c r="BV88" s="57">
        <v>0</v>
      </c>
      <c r="BW88" s="13">
        <v>0</v>
      </c>
      <c r="BX88" s="14"/>
      <c r="BY88" s="15"/>
      <c r="BZ88" s="12"/>
      <c r="CA88" s="13"/>
      <c r="CB88" s="14"/>
      <c r="CC88" s="15"/>
      <c r="CD88" s="24"/>
      <c r="CE88" s="25"/>
      <c r="CF88" s="169"/>
      <c r="CG88" s="170"/>
      <c r="CH88" s="170"/>
      <c r="CI88" s="170"/>
      <c r="CJ88" s="12"/>
      <c r="CK88" s="13"/>
      <c r="CL88" s="14"/>
      <c r="CM88" s="15"/>
      <c r="CN88" s="24"/>
      <c r="CO88" s="25"/>
      <c r="CP88" s="28"/>
      <c r="CQ88" s="29"/>
    </row>
    <row r="89" spans="1:95" s="2" customFormat="1" ht="1.5" customHeight="1" x14ac:dyDescent="0.55000000000000004">
      <c r="A89" s="7"/>
      <c r="B89" s="16"/>
      <c r="C89" s="17"/>
      <c r="D89" s="18"/>
      <c r="E89" s="19"/>
      <c r="F89" s="16"/>
      <c r="G89" s="17"/>
      <c r="H89" s="18"/>
      <c r="I89" s="19"/>
      <c r="J89" s="16"/>
      <c r="K89" s="17"/>
      <c r="L89" s="18"/>
      <c r="M89" s="19"/>
      <c r="N89" s="16"/>
      <c r="O89" s="17"/>
      <c r="P89" s="18"/>
      <c r="Q89" s="19"/>
      <c r="R89" s="16"/>
      <c r="S89" s="17"/>
      <c r="T89" s="18"/>
      <c r="U89" s="19"/>
      <c r="V89" s="16"/>
      <c r="W89" s="17"/>
      <c r="X89" s="18"/>
      <c r="Y89" s="19"/>
      <c r="Z89" s="16"/>
      <c r="AA89" s="17"/>
      <c r="AB89" s="18"/>
      <c r="AC89" s="19"/>
      <c r="AD89" s="16"/>
      <c r="AE89" s="17"/>
      <c r="AF89" s="18"/>
      <c r="AG89" s="19"/>
      <c r="AH89" s="16"/>
      <c r="AI89" s="17"/>
      <c r="AJ89" s="18"/>
      <c r="AK89" s="19"/>
      <c r="AL89" s="16"/>
      <c r="AM89" s="17"/>
      <c r="AN89" s="18"/>
      <c r="AO89" s="19"/>
      <c r="AP89" s="16"/>
      <c r="AQ89" s="17"/>
      <c r="AR89" s="18"/>
      <c r="AS89" s="19"/>
      <c r="AT89" s="16"/>
      <c r="AU89" s="17"/>
      <c r="AV89" s="18"/>
      <c r="AW89" s="19"/>
      <c r="AX89" s="12"/>
      <c r="AY89" s="13"/>
      <c r="AZ89" s="14"/>
      <c r="BA89" s="15"/>
      <c r="BB89" s="12"/>
      <c r="BC89" s="13"/>
      <c r="BD89" s="14"/>
      <c r="BE89" s="15"/>
      <c r="BF89" s="12"/>
      <c r="BG89" s="13"/>
      <c r="BH89" s="14"/>
      <c r="BI89" s="15"/>
      <c r="BJ89" s="12"/>
      <c r="BK89" s="57"/>
      <c r="BL89" s="57"/>
      <c r="BM89" s="13"/>
      <c r="BN89" s="14"/>
      <c r="BO89" s="30"/>
      <c r="BP89" s="12"/>
      <c r="BQ89" s="13"/>
      <c r="BR89" s="14"/>
      <c r="BS89" s="15"/>
      <c r="BT89" s="12">
        <v>0</v>
      </c>
      <c r="BU89" s="57">
        <v>0</v>
      </c>
      <c r="BV89" s="57">
        <v>0</v>
      </c>
      <c r="BW89" s="13">
        <v>0</v>
      </c>
      <c r="BX89" s="14"/>
      <c r="BY89" s="15"/>
      <c r="BZ89" s="12"/>
      <c r="CA89" s="13"/>
      <c r="CB89" s="14"/>
      <c r="CC89" s="15"/>
      <c r="CD89" s="24"/>
      <c r="CE89" s="25"/>
      <c r="CF89" s="169"/>
      <c r="CG89" s="170"/>
      <c r="CH89" s="170"/>
      <c r="CI89" s="170"/>
      <c r="CJ89" s="12"/>
      <c r="CK89" s="13"/>
      <c r="CL89" s="14"/>
      <c r="CM89" s="15"/>
      <c r="CN89" s="24"/>
      <c r="CO89" s="25"/>
      <c r="CP89" s="28"/>
      <c r="CQ89" s="29"/>
    </row>
    <row r="90" spans="1:95" s="2" customFormat="1" ht="1.5" customHeight="1" x14ac:dyDescent="0.55000000000000004">
      <c r="A90" s="7"/>
      <c r="B90" s="16"/>
      <c r="C90" s="17"/>
      <c r="D90" s="18"/>
      <c r="E90" s="19"/>
      <c r="F90" s="16"/>
      <c r="G90" s="17"/>
      <c r="H90" s="18"/>
      <c r="I90" s="19"/>
      <c r="J90" s="16"/>
      <c r="K90" s="17"/>
      <c r="L90" s="18"/>
      <c r="M90" s="19"/>
      <c r="N90" s="16"/>
      <c r="O90" s="17"/>
      <c r="P90" s="18"/>
      <c r="Q90" s="19"/>
      <c r="R90" s="16"/>
      <c r="S90" s="17"/>
      <c r="T90" s="18"/>
      <c r="U90" s="19"/>
      <c r="V90" s="16"/>
      <c r="W90" s="17"/>
      <c r="X90" s="18"/>
      <c r="Y90" s="19"/>
      <c r="Z90" s="16"/>
      <c r="AA90" s="17"/>
      <c r="AB90" s="18"/>
      <c r="AC90" s="19"/>
      <c r="AD90" s="16"/>
      <c r="AE90" s="17"/>
      <c r="AF90" s="18"/>
      <c r="AG90" s="19"/>
      <c r="AH90" s="16"/>
      <c r="AI90" s="17"/>
      <c r="AJ90" s="18"/>
      <c r="AK90" s="19"/>
      <c r="AL90" s="16"/>
      <c r="AM90" s="17"/>
      <c r="AN90" s="18"/>
      <c r="AO90" s="19"/>
      <c r="AP90" s="16"/>
      <c r="AQ90" s="17"/>
      <c r="AR90" s="18"/>
      <c r="AS90" s="19"/>
      <c r="AT90" s="16"/>
      <c r="AU90" s="17"/>
      <c r="AV90" s="18"/>
      <c r="AW90" s="19"/>
      <c r="AX90" s="12"/>
      <c r="AY90" s="13"/>
      <c r="AZ90" s="14"/>
      <c r="BA90" s="15"/>
      <c r="BB90" s="12"/>
      <c r="BC90" s="13"/>
      <c r="BD90" s="14"/>
      <c r="BE90" s="15"/>
      <c r="BF90" s="12"/>
      <c r="BG90" s="13"/>
      <c r="BH90" s="14"/>
      <c r="BI90" s="15"/>
      <c r="BJ90" s="12"/>
      <c r="BK90" s="57"/>
      <c r="BL90" s="57"/>
      <c r="BM90" s="13"/>
      <c r="BN90" s="14"/>
      <c r="BO90" s="30"/>
      <c r="BP90" s="12"/>
      <c r="BQ90" s="13"/>
      <c r="BR90" s="14"/>
      <c r="BS90" s="15"/>
      <c r="BT90" s="12">
        <v>0</v>
      </c>
      <c r="BU90" s="57">
        <v>0</v>
      </c>
      <c r="BV90" s="57">
        <v>0</v>
      </c>
      <c r="BW90" s="13">
        <v>0</v>
      </c>
      <c r="BX90" s="14"/>
      <c r="BY90" s="15"/>
      <c r="BZ90" s="12"/>
      <c r="CA90" s="13"/>
      <c r="CB90" s="14"/>
      <c r="CC90" s="15"/>
      <c r="CD90" s="24"/>
      <c r="CE90" s="25"/>
      <c r="CF90" s="169"/>
      <c r="CG90" s="170"/>
      <c r="CH90" s="170"/>
      <c r="CI90" s="170"/>
      <c r="CJ90" s="12"/>
      <c r="CK90" s="13"/>
      <c r="CL90" s="14"/>
      <c r="CM90" s="15"/>
      <c r="CN90" s="24"/>
      <c r="CO90" s="25"/>
      <c r="CP90" s="28"/>
      <c r="CQ90" s="29"/>
    </row>
    <row r="91" spans="1:95" s="2" customFormat="1" ht="1.5" customHeight="1" x14ac:dyDescent="0.55000000000000004">
      <c r="A91" s="7"/>
      <c r="B91" s="16"/>
      <c r="C91" s="17"/>
      <c r="D91" s="18"/>
      <c r="E91" s="19"/>
      <c r="F91" s="16"/>
      <c r="G91" s="17"/>
      <c r="H91" s="18"/>
      <c r="I91" s="19"/>
      <c r="J91" s="16"/>
      <c r="K91" s="17"/>
      <c r="L91" s="18"/>
      <c r="M91" s="19"/>
      <c r="N91" s="16"/>
      <c r="O91" s="17"/>
      <c r="P91" s="18"/>
      <c r="Q91" s="19"/>
      <c r="R91" s="16"/>
      <c r="S91" s="17"/>
      <c r="T91" s="18"/>
      <c r="U91" s="19"/>
      <c r="V91" s="16"/>
      <c r="W91" s="17"/>
      <c r="X91" s="18"/>
      <c r="Y91" s="19"/>
      <c r="Z91" s="16">
        <v>241.3</v>
      </c>
      <c r="AA91" s="17">
        <v>245.5</v>
      </c>
      <c r="AB91" s="18">
        <v>248</v>
      </c>
      <c r="AC91" s="19">
        <v>256.10000000000002</v>
      </c>
      <c r="AD91" s="16"/>
      <c r="AE91" s="17"/>
      <c r="AF91" s="18"/>
      <c r="AG91" s="19"/>
      <c r="AH91" s="16"/>
      <c r="AI91" s="17"/>
      <c r="AJ91" s="18"/>
      <c r="AK91" s="19"/>
      <c r="AL91" s="16"/>
      <c r="AM91" s="17"/>
      <c r="AN91" s="18"/>
      <c r="AO91" s="19"/>
      <c r="AP91" s="16"/>
      <c r="AQ91" s="17"/>
      <c r="AR91" s="18"/>
      <c r="AS91" s="19"/>
      <c r="AT91" s="16"/>
      <c r="AU91" s="17"/>
      <c r="AV91" s="18"/>
      <c r="AW91" s="19"/>
      <c r="AX91" s="12"/>
      <c r="AY91" s="13"/>
      <c r="AZ91" s="14"/>
      <c r="BA91" s="15"/>
      <c r="BB91" s="12"/>
      <c r="BC91" s="13"/>
      <c r="BD91" s="14"/>
      <c r="BE91" s="15"/>
      <c r="BF91" s="12"/>
      <c r="BG91" s="13"/>
      <c r="BH91" s="14"/>
      <c r="BI91" s="15"/>
      <c r="BJ91" s="12"/>
      <c r="BK91" s="57"/>
      <c r="BL91" s="57"/>
      <c r="BM91" s="13"/>
      <c r="BN91" s="14"/>
      <c r="BO91" s="30"/>
      <c r="BP91" s="12"/>
      <c r="BQ91" s="13"/>
      <c r="BR91" s="14"/>
      <c r="BS91" s="15"/>
      <c r="BT91" s="12">
        <v>0</v>
      </c>
      <c r="BU91" s="57">
        <v>0</v>
      </c>
      <c r="BV91" s="57">
        <v>0</v>
      </c>
      <c r="BW91" s="13">
        <v>0</v>
      </c>
      <c r="BX91" s="14"/>
      <c r="BY91" s="15"/>
      <c r="BZ91" s="12"/>
      <c r="CA91" s="13"/>
      <c r="CB91" s="14"/>
      <c r="CC91" s="15"/>
      <c r="CD91" s="24"/>
      <c r="CE91" s="25"/>
      <c r="CF91" s="169"/>
      <c r="CG91" s="170"/>
      <c r="CH91" s="170"/>
      <c r="CI91" s="170"/>
      <c r="CJ91" s="12"/>
      <c r="CK91" s="13"/>
      <c r="CL91" s="14"/>
      <c r="CM91" s="15"/>
      <c r="CN91" s="24"/>
      <c r="CO91" s="25"/>
      <c r="CP91" s="28"/>
      <c r="CQ91" s="29"/>
    </row>
    <row r="92" spans="1:95" s="2" customFormat="1" ht="1.5" customHeight="1" x14ac:dyDescent="0.55000000000000004">
      <c r="A92" s="7"/>
      <c r="B92" s="16"/>
      <c r="C92" s="17"/>
      <c r="D92" s="18"/>
      <c r="E92" s="19"/>
      <c r="F92" s="16"/>
      <c r="G92" s="17"/>
      <c r="H92" s="18"/>
      <c r="I92" s="19"/>
      <c r="J92" s="16"/>
      <c r="K92" s="17"/>
      <c r="L92" s="18"/>
      <c r="M92" s="19"/>
      <c r="N92" s="16"/>
      <c r="O92" s="17"/>
      <c r="P92" s="18"/>
      <c r="Q92" s="19"/>
      <c r="R92" s="16"/>
      <c r="S92" s="17"/>
      <c r="T92" s="18"/>
      <c r="U92" s="19"/>
      <c r="V92" s="16"/>
      <c r="W92" s="17"/>
      <c r="X92" s="18"/>
      <c r="Y92" s="19"/>
      <c r="Z92" s="16"/>
      <c r="AA92" s="17"/>
      <c r="AB92" s="18"/>
      <c r="AC92" s="19"/>
      <c r="AD92" s="16"/>
      <c r="AE92" s="17"/>
      <c r="AF92" s="18"/>
      <c r="AG92" s="19"/>
      <c r="AH92" s="16"/>
      <c r="AI92" s="17"/>
      <c r="AJ92" s="18"/>
      <c r="AK92" s="19"/>
      <c r="AL92" s="16"/>
      <c r="AM92" s="17"/>
      <c r="AN92" s="18"/>
      <c r="AO92" s="19"/>
      <c r="AP92" s="16"/>
      <c r="AQ92" s="17"/>
      <c r="AR92" s="18"/>
      <c r="AS92" s="19"/>
      <c r="AT92" s="16"/>
      <c r="AU92" s="17"/>
      <c r="AV92" s="18"/>
      <c r="AW92" s="19"/>
      <c r="AX92" s="12"/>
      <c r="AY92" s="13"/>
      <c r="AZ92" s="14"/>
      <c r="BA92" s="15"/>
      <c r="BB92" s="12"/>
      <c r="BC92" s="13"/>
      <c r="BD92" s="14"/>
      <c r="BE92" s="15"/>
      <c r="BF92" s="12"/>
      <c r="BG92" s="13"/>
      <c r="BH92" s="14"/>
      <c r="BI92" s="15"/>
      <c r="BJ92" s="12"/>
      <c r="BK92" s="57"/>
      <c r="BL92" s="57"/>
      <c r="BM92" s="13"/>
      <c r="BN92" s="14"/>
      <c r="BO92" s="30"/>
      <c r="BP92" s="12"/>
      <c r="BQ92" s="13"/>
      <c r="BR92" s="14"/>
      <c r="BS92" s="15"/>
      <c r="BT92" s="12">
        <v>0</v>
      </c>
      <c r="BU92" s="57">
        <v>0</v>
      </c>
      <c r="BV92" s="57">
        <v>0</v>
      </c>
      <c r="BW92" s="13">
        <v>0</v>
      </c>
      <c r="BX92" s="14"/>
      <c r="BY92" s="15"/>
      <c r="BZ92" s="12"/>
      <c r="CA92" s="13"/>
      <c r="CB92" s="14"/>
      <c r="CC92" s="15"/>
      <c r="CD92" s="24"/>
      <c r="CE92" s="25"/>
      <c r="CF92" s="169"/>
      <c r="CG92" s="170"/>
      <c r="CH92" s="170"/>
      <c r="CI92" s="170"/>
      <c r="CJ92" s="12"/>
      <c r="CK92" s="13"/>
      <c r="CL92" s="14"/>
      <c r="CM92" s="15"/>
      <c r="CN92" s="24"/>
      <c r="CO92" s="25"/>
      <c r="CP92" s="28"/>
      <c r="CQ92" s="29"/>
    </row>
    <row r="93" spans="1:95" s="2" customFormat="1" ht="1.5" customHeight="1" x14ac:dyDescent="0.55000000000000004">
      <c r="A93" s="7"/>
      <c r="B93" s="16"/>
      <c r="C93" s="17"/>
      <c r="D93" s="18"/>
      <c r="E93" s="19"/>
      <c r="F93" s="16"/>
      <c r="G93" s="17"/>
      <c r="H93" s="18"/>
      <c r="I93" s="19"/>
      <c r="J93" s="16"/>
      <c r="K93" s="17"/>
      <c r="L93" s="18"/>
      <c r="M93" s="19"/>
      <c r="N93" s="16"/>
      <c r="O93" s="17"/>
      <c r="P93" s="18"/>
      <c r="Q93" s="19"/>
      <c r="R93" s="16"/>
      <c r="S93" s="17"/>
      <c r="T93" s="18"/>
      <c r="U93" s="19"/>
      <c r="V93" s="16"/>
      <c r="W93" s="17"/>
      <c r="X93" s="18"/>
      <c r="Y93" s="19"/>
      <c r="Z93" s="16"/>
      <c r="AA93" s="17"/>
      <c r="AB93" s="18"/>
      <c r="AC93" s="19"/>
      <c r="AD93" s="16"/>
      <c r="AE93" s="17"/>
      <c r="AF93" s="18"/>
      <c r="AG93" s="19"/>
      <c r="AH93" s="16"/>
      <c r="AI93" s="17"/>
      <c r="AJ93" s="18"/>
      <c r="AK93" s="19"/>
      <c r="AL93" s="16"/>
      <c r="AM93" s="17"/>
      <c r="AN93" s="18"/>
      <c r="AO93" s="19"/>
      <c r="AP93" s="16"/>
      <c r="AQ93" s="17"/>
      <c r="AR93" s="18"/>
      <c r="AS93" s="19"/>
      <c r="AT93" s="16"/>
      <c r="AU93" s="17"/>
      <c r="AV93" s="18"/>
      <c r="AW93" s="19"/>
      <c r="AX93" s="12"/>
      <c r="AY93" s="13"/>
      <c r="AZ93" s="14"/>
      <c r="BA93" s="15"/>
      <c r="BB93" s="12"/>
      <c r="BC93" s="13"/>
      <c r="BD93" s="14"/>
      <c r="BE93" s="15"/>
      <c r="BF93" s="12"/>
      <c r="BG93" s="13"/>
      <c r="BH93" s="14"/>
      <c r="BI93" s="15"/>
      <c r="BJ93" s="12"/>
      <c r="BK93" s="57"/>
      <c r="BL93" s="57"/>
      <c r="BM93" s="13"/>
      <c r="BN93" s="14"/>
      <c r="BO93" s="30"/>
      <c r="BP93" s="12"/>
      <c r="BQ93" s="13"/>
      <c r="BR93" s="14"/>
      <c r="BS93" s="15"/>
      <c r="BT93" s="12">
        <v>0</v>
      </c>
      <c r="BU93" s="57">
        <v>0</v>
      </c>
      <c r="BV93" s="57">
        <v>0</v>
      </c>
      <c r="BW93" s="13">
        <v>0</v>
      </c>
      <c r="BX93" s="14"/>
      <c r="BY93" s="15"/>
      <c r="BZ93" s="12"/>
      <c r="CA93" s="13"/>
      <c r="CB93" s="14"/>
      <c r="CC93" s="15"/>
      <c r="CD93" s="24"/>
      <c r="CE93" s="25"/>
      <c r="CF93" s="169"/>
      <c r="CG93" s="170"/>
      <c r="CH93" s="170"/>
      <c r="CI93" s="170"/>
      <c r="CJ93" s="12"/>
      <c r="CK93" s="13"/>
      <c r="CL93" s="14"/>
      <c r="CM93" s="15"/>
      <c r="CN93" s="24"/>
      <c r="CO93" s="25"/>
      <c r="CP93" s="28"/>
      <c r="CQ93" s="29"/>
    </row>
    <row r="94" spans="1:95" s="2" customFormat="1" ht="1.5" customHeight="1" x14ac:dyDescent="0.55000000000000004">
      <c r="A94" s="7"/>
      <c r="B94" s="16"/>
      <c r="C94" s="17"/>
      <c r="D94" s="18"/>
      <c r="E94" s="19"/>
      <c r="F94" s="16"/>
      <c r="G94" s="17"/>
      <c r="H94" s="18"/>
      <c r="I94" s="19"/>
      <c r="J94" s="16"/>
      <c r="K94" s="17"/>
      <c r="L94" s="18"/>
      <c r="M94" s="19"/>
      <c r="N94" s="16"/>
      <c r="O94" s="17"/>
      <c r="P94" s="18"/>
      <c r="Q94" s="19"/>
      <c r="R94" s="16"/>
      <c r="S94" s="17"/>
      <c r="T94" s="18"/>
      <c r="U94" s="19"/>
      <c r="V94" s="16"/>
      <c r="W94" s="17"/>
      <c r="X94" s="18"/>
      <c r="Y94" s="19"/>
      <c r="Z94" s="16"/>
      <c r="AA94" s="17"/>
      <c r="AB94" s="18"/>
      <c r="AC94" s="19"/>
      <c r="AD94" s="16"/>
      <c r="AE94" s="17"/>
      <c r="AF94" s="18"/>
      <c r="AG94" s="19"/>
      <c r="AH94" s="16"/>
      <c r="AI94" s="17"/>
      <c r="AJ94" s="18"/>
      <c r="AK94" s="19"/>
      <c r="AL94" s="16"/>
      <c r="AM94" s="17"/>
      <c r="AN94" s="18"/>
      <c r="AO94" s="19"/>
      <c r="AP94" s="16"/>
      <c r="AQ94" s="17"/>
      <c r="AR94" s="18"/>
      <c r="AS94" s="19"/>
      <c r="AT94" s="16"/>
      <c r="AU94" s="17"/>
      <c r="AV94" s="18"/>
      <c r="AW94" s="19"/>
      <c r="AX94" s="12"/>
      <c r="AY94" s="13"/>
      <c r="AZ94" s="14"/>
      <c r="BA94" s="15"/>
      <c r="BB94" s="12"/>
      <c r="BC94" s="13"/>
      <c r="BD94" s="14"/>
      <c r="BE94" s="15"/>
      <c r="BF94" s="12"/>
      <c r="BG94" s="13"/>
      <c r="BH94" s="14"/>
      <c r="BI94" s="15"/>
      <c r="BJ94" s="12"/>
      <c r="BK94" s="57"/>
      <c r="BL94" s="57"/>
      <c r="BM94" s="13"/>
      <c r="BN94" s="14"/>
      <c r="BO94" s="30"/>
      <c r="BP94" s="12"/>
      <c r="BQ94" s="13"/>
      <c r="BR94" s="14"/>
      <c r="BS94" s="15"/>
      <c r="BT94" s="12">
        <v>0</v>
      </c>
      <c r="BU94" s="57">
        <v>0</v>
      </c>
      <c r="BV94" s="57">
        <v>0</v>
      </c>
      <c r="BW94" s="13">
        <v>0</v>
      </c>
      <c r="BX94" s="14"/>
      <c r="BY94" s="15"/>
      <c r="BZ94" s="12"/>
      <c r="CA94" s="13"/>
      <c r="CB94" s="14"/>
      <c r="CC94" s="15"/>
      <c r="CD94" s="24"/>
      <c r="CE94" s="25"/>
      <c r="CF94" s="169"/>
      <c r="CG94" s="170"/>
      <c r="CH94" s="170"/>
      <c r="CI94" s="170"/>
      <c r="CJ94" s="12"/>
      <c r="CK94" s="13"/>
      <c r="CL94" s="14"/>
      <c r="CM94" s="15"/>
      <c r="CN94" s="24"/>
      <c r="CO94" s="25"/>
      <c r="CP94" s="28"/>
      <c r="CQ94" s="29"/>
    </row>
    <row r="95" spans="1:95" s="2" customFormat="1" ht="1.5" customHeight="1" x14ac:dyDescent="0.55000000000000004">
      <c r="A95" s="7"/>
      <c r="B95" s="16"/>
      <c r="C95" s="17"/>
      <c r="D95" s="18"/>
      <c r="E95" s="19"/>
      <c r="F95" s="16"/>
      <c r="G95" s="17"/>
      <c r="H95" s="18"/>
      <c r="I95" s="19"/>
      <c r="J95" s="16"/>
      <c r="K95" s="17"/>
      <c r="L95" s="18"/>
      <c r="M95" s="19"/>
      <c r="N95" s="16"/>
      <c r="O95" s="17"/>
      <c r="P95" s="18"/>
      <c r="Q95" s="19"/>
      <c r="R95" s="16"/>
      <c r="S95" s="17"/>
      <c r="T95" s="18"/>
      <c r="U95" s="19"/>
      <c r="V95" s="16"/>
      <c r="W95" s="17"/>
      <c r="X95" s="18"/>
      <c r="Y95" s="19"/>
      <c r="Z95" s="16"/>
      <c r="AA95" s="17"/>
      <c r="AB95" s="18"/>
      <c r="AC95" s="19"/>
      <c r="AD95" s="16"/>
      <c r="AE95" s="17"/>
      <c r="AF95" s="18"/>
      <c r="AG95" s="19"/>
      <c r="AH95" s="16"/>
      <c r="AI95" s="17"/>
      <c r="AJ95" s="18"/>
      <c r="AK95" s="19"/>
      <c r="AL95" s="16"/>
      <c r="AM95" s="17"/>
      <c r="AN95" s="18"/>
      <c r="AO95" s="19"/>
      <c r="AP95" s="16"/>
      <c r="AQ95" s="17"/>
      <c r="AR95" s="18"/>
      <c r="AS95" s="19"/>
      <c r="AT95" s="16"/>
      <c r="AU95" s="17"/>
      <c r="AV95" s="18"/>
      <c r="AW95" s="19"/>
      <c r="AX95" s="12"/>
      <c r="AY95" s="13"/>
      <c r="AZ95" s="14"/>
      <c r="BA95" s="15"/>
      <c r="BB95" s="12"/>
      <c r="BC95" s="13"/>
      <c r="BD95" s="14"/>
      <c r="BE95" s="15"/>
      <c r="BF95" s="12"/>
      <c r="BG95" s="13"/>
      <c r="BH95" s="14"/>
      <c r="BI95" s="15"/>
      <c r="BJ95" s="12"/>
      <c r="BK95" s="57"/>
      <c r="BL95" s="57"/>
      <c r="BM95" s="13"/>
      <c r="BN95" s="14"/>
      <c r="BO95" s="30"/>
      <c r="BP95" s="12"/>
      <c r="BQ95" s="13"/>
      <c r="BR95" s="14"/>
      <c r="BS95" s="15"/>
      <c r="BT95" s="12">
        <v>0</v>
      </c>
      <c r="BU95" s="57">
        <v>0</v>
      </c>
      <c r="BV95" s="57">
        <v>0</v>
      </c>
      <c r="BW95" s="13">
        <v>0</v>
      </c>
      <c r="BX95" s="14"/>
      <c r="BY95" s="15"/>
      <c r="BZ95" s="12"/>
      <c r="CA95" s="13"/>
      <c r="CB95" s="14"/>
      <c r="CC95" s="15"/>
      <c r="CD95" s="24"/>
      <c r="CE95" s="25"/>
      <c r="CF95" s="169"/>
      <c r="CG95" s="170"/>
      <c r="CH95" s="170"/>
      <c r="CI95" s="170"/>
      <c r="CJ95" s="12"/>
      <c r="CK95" s="13"/>
      <c r="CL95" s="14"/>
      <c r="CM95" s="15"/>
      <c r="CN95" s="24"/>
      <c r="CO95" s="25"/>
      <c r="CP95" s="28"/>
      <c r="CQ95" s="29"/>
    </row>
    <row r="96" spans="1:95" s="2" customFormat="1" ht="1.5" customHeight="1" x14ac:dyDescent="0.55000000000000004">
      <c r="A96" s="7"/>
      <c r="B96" s="16"/>
      <c r="C96" s="17"/>
      <c r="D96" s="18"/>
      <c r="E96" s="19"/>
      <c r="F96" s="16"/>
      <c r="G96" s="17"/>
      <c r="H96" s="18"/>
      <c r="I96" s="19"/>
      <c r="J96" s="16"/>
      <c r="K96" s="17"/>
      <c r="L96" s="18"/>
      <c r="M96" s="19"/>
      <c r="N96" s="16"/>
      <c r="O96" s="17"/>
      <c r="P96" s="18"/>
      <c r="Q96" s="19"/>
      <c r="R96" s="16"/>
      <c r="S96" s="17"/>
      <c r="T96" s="18"/>
      <c r="U96" s="19"/>
      <c r="V96" s="16"/>
      <c r="W96" s="17"/>
      <c r="X96" s="18"/>
      <c r="Y96" s="19"/>
      <c r="Z96" s="16"/>
      <c r="AA96" s="17"/>
      <c r="AB96" s="18"/>
      <c r="AC96" s="19"/>
      <c r="AD96" s="16"/>
      <c r="AE96" s="17"/>
      <c r="AF96" s="18"/>
      <c r="AG96" s="19"/>
      <c r="AH96" s="16"/>
      <c r="AI96" s="17"/>
      <c r="AJ96" s="18"/>
      <c r="AK96" s="19"/>
      <c r="AL96" s="16"/>
      <c r="AM96" s="17"/>
      <c r="AN96" s="18"/>
      <c r="AO96" s="19"/>
      <c r="AP96" s="16"/>
      <c r="AQ96" s="17"/>
      <c r="AR96" s="18"/>
      <c r="AS96" s="19"/>
      <c r="AT96" s="16"/>
      <c r="AU96" s="17"/>
      <c r="AV96" s="18"/>
      <c r="AW96" s="19"/>
      <c r="AX96" s="12"/>
      <c r="AY96" s="13"/>
      <c r="AZ96" s="14"/>
      <c r="BA96" s="15"/>
      <c r="BB96" s="12"/>
      <c r="BC96" s="13"/>
      <c r="BD96" s="14"/>
      <c r="BE96" s="15"/>
      <c r="BF96" s="12"/>
      <c r="BG96" s="13"/>
      <c r="BH96" s="14"/>
      <c r="BI96" s="15"/>
      <c r="BJ96" s="12"/>
      <c r="BK96" s="57"/>
      <c r="BL96" s="57"/>
      <c r="BM96" s="13"/>
      <c r="BN96" s="14"/>
      <c r="BO96" s="30"/>
      <c r="BP96" s="12"/>
      <c r="BQ96" s="13"/>
      <c r="BR96" s="14"/>
      <c r="BS96" s="15"/>
      <c r="BT96" s="12">
        <v>0</v>
      </c>
      <c r="BU96" s="57">
        <v>0</v>
      </c>
      <c r="BV96" s="57">
        <v>0</v>
      </c>
      <c r="BW96" s="13">
        <v>0</v>
      </c>
      <c r="BX96" s="14"/>
      <c r="BY96" s="15"/>
      <c r="BZ96" s="12"/>
      <c r="CA96" s="13"/>
      <c r="CB96" s="14"/>
      <c r="CC96" s="15"/>
      <c r="CD96" s="24"/>
      <c r="CE96" s="25"/>
      <c r="CF96" s="169"/>
      <c r="CG96" s="170"/>
      <c r="CH96" s="170"/>
      <c r="CI96" s="170"/>
      <c r="CJ96" s="12"/>
      <c r="CK96" s="13"/>
      <c r="CL96" s="14"/>
      <c r="CM96" s="15"/>
      <c r="CN96" s="24"/>
      <c r="CO96" s="25"/>
      <c r="CP96" s="28"/>
      <c r="CQ96" s="29"/>
    </row>
    <row r="97" spans="1:95" s="2" customFormat="1" ht="1.5" customHeight="1" x14ac:dyDescent="0.55000000000000004">
      <c r="A97" s="7"/>
      <c r="B97" s="16"/>
      <c r="C97" s="17"/>
      <c r="D97" s="18"/>
      <c r="E97" s="19"/>
      <c r="F97" s="16"/>
      <c r="G97" s="17"/>
      <c r="H97" s="18"/>
      <c r="I97" s="19"/>
      <c r="J97" s="16"/>
      <c r="K97" s="17"/>
      <c r="L97" s="18"/>
      <c r="M97" s="19"/>
      <c r="N97" s="16"/>
      <c r="O97" s="17"/>
      <c r="P97" s="18"/>
      <c r="Q97" s="19"/>
      <c r="R97" s="16"/>
      <c r="S97" s="17"/>
      <c r="T97" s="18"/>
      <c r="U97" s="19"/>
      <c r="V97" s="16"/>
      <c r="W97" s="17"/>
      <c r="X97" s="18"/>
      <c r="Y97" s="19"/>
      <c r="Z97" s="16"/>
      <c r="AA97" s="17"/>
      <c r="AB97" s="18"/>
      <c r="AC97" s="19"/>
      <c r="AD97" s="16"/>
      <c r="AE97" s="17"/>
      <c r="AF97" s="18"/>
      <c r="AG97" s="19"/>
      <c r="AH97" s="16"/>
      <c r="AI97" s="17"/>
      <c r="AJ97" s="18"/>
      <c r="AK97" s="19"/>
      <c r="AL97" s="16"/>
      <c r="AM97" s="17"/>
      <c r="AN97" s="18"/>
      <c r="AO97" s="19"/>
      <c r="AP97" s="16"/>
      <c r="AQ97" s="17"/>
      <c r="AR97" s="18"/>
      <c r="AS97" s="19"/>
      <c r="AT97" s="16"/>
      <c r="AU97" s="17"/>
      <c r="AV97" s="18"/>
      <c r="AW97" s="19"/>
      <c r="AX97" s="12"/>
      <c r="AY97" s="13"/>
      <c r="AZ97" s="14"/>
      <c r="BA97" s="15"/>
      <c r="BB97" s="12"/>
      <c r="BC97" s="13"/>
      <c r="BD97" s="14"/>
      <c r="BE97" s="15"/>
      <c r="BF97" s="12"/>
      <c r="BG97" s="13"/>
      <c r="BH97" s="14"/>
      <c r="BI97" s="15"/>
      <c r="BJ97" s="12"/>
      <c r="BK97" s="57"/>
      <c r="BL97" s="57"/>
      <c r="BM97" s="13"/>
      <c r="BN97" s="14"/>
      <c r="BO97" s="30"/>
      <c r="BP97" s="12"/>
      <c r="BQ97" s="13"/>
      <c r="BR97" s="14"/>
      <c r="BS97" s="15"/>
      <c r="BT97" s="12">
        <v>0</v>
      </c>
      <c r="BU97" s="57">
        <v>0</v>
      </c>
      <c r="BV97" s="57">
        <v>0</v>
      </c>
      <c r="BW97" s="13">
        <v>0</v>
      </c>
      <c r="BX97" s="14"/>
      <c r="BY97" s="15"/>
      <c r="BZ97" s="12"/>
      <c r="CA97" s="13"/>
      <c r="CB97" s="14"/>
      <c r="CC97" s="15"/>
      <c r="CD97" s="24"/>
      <c r="CE97" s="25"/>
      <c r="CF97" s="169"/>
      <c r="CG97" s="170"/>
      <c r="CH97" s="170"/>
      <c r="CI97" s="170"/>
      <c r="CJ97" s="12"/>
      <c r="CK97" s="13"/>
      <c r="CL97" s="14"/>
      <c r="CM97" s="15"/>
      <c r="CN97" s="24"/>
      <c r="CO97" s="25"/>
      <c r="CP97" s="28"/>
      <c r="CQ97" s="29"/>
    </row>
    <row r="98" spans="1:95" s="2" customFormat="1" ht="1.5" customHeight="1" x14ac:dyDescent="0.55000000000000004">
      <c r="A98" s="7"/>
      <c r="B98" s="16"/>
      <c r="C98" s="17"/>
      <c r="D98" s="18"/>
      <c r="E98" s="19"/>
      <c r="F98" s="16"/>
      <c r="G98" s="17"/>
      <c r="H98" s="18"/>
      <c r="I98" s="19"/>
      <c r="J98" s="16"/>
      <c r="K98" s="17"/>
      <c r="L98" s="18"/>
      <c r="M98" s="19"/>
      <c r="N98" s="16"/>
      <c r="O98" s="17"/>
      <c r="P98" s="18"/>
      <c r="Q98" s="19"/>
      <c r="R98" s="16"/>
      <c r="S98" s="17"/>
      <c r="T98" s="18"/>
      <c r="U98" s="19"/>
      <c r="V98" s="16"/>
      <c r="W98" s="17"/>
      <c r="X98" s="18"/>
      <c r="Y98" s="19"/>
      <c r="Z98" s="16"/>
      <c r="AA98" s="17"/>
      <c r="AB98" s="18"/>
      <c r="AC98" s="19"/>
      <c r="AD98" s="16"/>
      <c r="AE98" s="17"/>
      <c r="AF98" s="18"/>
      <c r="AG98" s="19"/>
      <c r="AH98" s="16"/>
      <c r="AI98" s="17"/>
      <c r="AJ98" s="18"/>
      <c r="AK98" s="19"/>
      <c r="AL98" s="16"/>
      <c r="AM98" s="17"/>
      <c r="AN98" s="18"/>
      <c r="AO98" s="19"/>
      <c r="AP98" s="16"/>
      <c r="AQ98" s="17"/>
      <c r="AR98" s="18"/>
      <c r="AS98" s="19"/>
      <c r="AT98" s="16"/>
      <c r="AU98" s="17"/>
      <c r="AV98" s="18"/>
      <c r="AW98" s="19"/>
      <c r="AX98" s="12"/>
      <c r="AY98" s="13"/>
      <c r="AZ98" s="14"/>
      <c r="BA98" s="15"/>
      <c r="BB98" s="12"/>
      <c r="BC98" s="13"/>
      <c r="BD98" s="14"/>
      <c r="BE98" s="15"/>
      <c r="BF98" s="12"/>
      <c r="BG98" s="13"/>
      <c r="BH98" s="14"/>
      <c r="BI98" s="15"/>
      <c r="BJ98" s="12"/>
      <c r="BK98" s="57"/>
      <c r="BL98" s="57"/>
      <c r="BM98" s="13"/>
      <c r="BN98" s="14"/>
      <c r="BO98" s="30"/>
      <c r="BP98" s="12"/>
      <c r="BQ98" s="13"/>
      <c r="BR98" s="14"/>
      <c r="BS98" s="15"/>
      <c r="BT98" s="12">
        <v>0</v>
      </c>
      <c r="BU98" s="57">
        <v>0</v>
      </c>
      <c r="BV98" s="57">
        <v>0</v>
      </c>
      <c r="BW98" s="13">
        <v>0</v>
      </c>
      <c r="BX98" s="14"/>
      <c r="BY98" s="15"/>
      <c r="BZ98" s="12"/>
      <c r="CA98" s="13"/>
      <c r="CB98" s="14"/>
      <c r="CC98" s="15"/>
      <c r="CD98" s="24"/>
      <c r="CE98" s="25"/>
      <c r="CF98" s="169"/>
      <c r="CG98" s="170"/>
      <c r="CH98" s="170"/>
      <c r="CI98" s="170"/>
      <c r="CJ98" s="12"/>
      <c r="CK98" s="13"/>
      <c r="CL98" s="14"/>
      <c r="CM98" s="15"/>
      <c r="CN98" s="24"/>
      <c r="CO98" s="25"/>
      <c r="CP98" s="28"/>
      <c r="CQ98" s="29"/>
    </row>
    <row r="99" spans="1:95" s="2" customFormat="1" ht="1.5" customHeight="1" x14ac:dyDescent="0.55000000000000004">
      <c r="A99" s="7"/>
      <c r="B99" s="16"/>
      <c r="C99" s="17"/>
      <c r="D99" s="18"/>
      <c r="E99" s="19"/>
      <c r="F99" s="16"/>
      <c r="G99" s="17"/>
      <c r="H99" s="18"/>
      <c r="I99" s="19"/>
      <c r="J99" s="16"/>
      <c r="K99" s="17"/>
      <c r="L99" s="18"/>
      <c r="M99" s="19"/>
      <c r="N99" s="16"/>
      <c r="O99" s="17"/>
      <c r="P99" s="18"/>
      <c r="Q99" s="19"/>
      <c r="R99" s="16"/>
      <c r="S99" s="17"/>
      <c r="T99" s="18"/>
      <c r="U99" s="19"/>
      <c r="V99" s="16"/>
      <c r="W99" s="17"/>
      <c r="X99" s="18"/>
      <c r="Y99" s="19"/>
      <c r="Z99" s="16"/>
      <c r="AA99" s="17"/>
      <c r="AB99" s="18"/>
      <c r="AC99" s="19"/>
      <c r="AD99" s="16"/>
      <c r="AE99" s="17"/>
      <c r="AF99" s="18"/>
      <c r="AG99" s="19"/>
      <c r="AH99" s="16"/>
      <c r="AI99" s="17"/>
      <c r="AJ99" s="18"/>
      <c r="AK99" s="19"/>
      <c r="AL99" s="16"/>
      <c r="AM99" s="17"/>
      <c r="AN99" s="18"/>
      <c r="AO99" s="19"/>
      <c r="AP99" s="16"/>
      <c r="AQ99" s="17"/>
      <c r="AR99" s="18"/>
      <c r="AS99" s="19"/>
      <c r="AT99" s="16"/>
      <c r="AU99" s="17"/>
      <c r="AV99" s="18"/>
      <c r="AW99" s="19"/>
      <c r="AX99" s="12"/>
      <c r="AY99" s="13"/>
      <c r="AZ99" s="14"/>
      <c r="BA99" s="15"/>
      <c r="BB99" s="12"/>
      <c r="BC99" s="13"/>
      <c r="BD99" s="14"/>
      <c r="BE99" s="15"/>
      <c r="BF99" s="12"/>
      <c r="BG99" s="13"/>
      <c r="BH99" s="14"/>
      <c r="BI99" s="15"/>
      <c r="BJ99" s="12"/>
      <c r="BK99" s="57"/>
      <c r="BL99" s="57"/>
      <c r="BM99" s="13"/>
      <c r="BN99" s="14"/>
      <c r="BO99" s="30"/>
      <c r="BP99" s="12"/>
      <c r="BQ99" s="13"/>
      <c r="BR99" s="14"/>
      <c r="BS99" s="15"/>
      <c r="BT99" s="12">
        <v>0</v>
      </c>
      <c r="BU99" s="57">
        <v>0</v>
      </c>
      <c r="BV99" s="57">
        <v>0</v>
      </c>
      <c r="BW99" s="13">
        <v>0</v>
      </c>
      <c r="BX99" s="14"/>
      <c r="BY99" s="15"/>
      <c r="BZ99" s="12"/>
      <c r="CA99" s="13"/>
      <c r="CB99" s="14"/>
      <c r="CC99" s="15"/>
      <c r="CD99" s="24"/>
      <c r="CE99" s="25"/>
      <c r="CF99" s="169"/>
      <c r="CG99" s="170"/>
      <c r="CH99" s="170"/>
      <c r="CI99" s="170"/>
      <c r="CJ99" s="12"/>
      <c r="CK99" s="13"/>
      <c r="CL99" s="14"/>
      <c r="CM99" s="15"/>
      <c r="CN99" s="24"/>
      <c r="CO99" s="25"/>
      <c r="CP99" s="28"/>
      <c r="CQ99" s="29"/>
    </row>
    <row r="100" spans="1:95" s="2" customFormat="1" x14ac:dyDescent="0.55000000000000004">
      <c r="A100" s="7">
        <v>100</v>
      </c>
      <c r="B100" s="16">
        <f>105.9</f>
        <v>105.9</v>
      </c>
      <c r="C100" s="17">
        <f>105.9</f>
        <v>105.9</v>
      </c>
      <c r="D100" s="18">
        <f>106.7</f>
        <v>106.7</v>
      </c>
      <c r="E100" s="19">
        <f>109.6</f>
        <v>109.6</v>
      </c>
      <c r="F100" s="16">
        <f>121.2</f>
        <v>121.2</v>
      </c>
      <c r="G100" s="17">
        <f>122.9</f>
        <v>122.9</v>
      </c>
      <c r="H100" s="18">
        <f>127.2</f>
        <v>127.2</v>
      </c>
      <c r="I100" s="19">
        <v>127</v>
      </c>
      <c r="J100" s="16">
        <f>133.1</f>
        <v>133.1</v>
      </c>
      <c r="K100" s="17">
        <v>133</v>
      </c>
      <c r="L100" s="18">
        <f>136.8</f>
        <v>136.80000000000001</v>
      </c>
      <c r="M100" s="19">
        <f>137.7</f>
        <v>137.69999999999999</v>
      </c>
      <c r="N100" s="16">
        <f>135.7</f>
        <v>135.69999999999999</v>
      </c>
      <c r="O100" s="17">
        <f>157.4</f>
        <v>157.4</v>
      </c>
      <c r="P100" s="18">
        <f>166.3</f>
        <v>166.3</v>
      </c>
      <c r="Q100" s="19">
        <f>167.7</f>
        <v>167.7</v>
      </c>
      <c r="R100" s="16">
        <v>193</v>
      </c>
      <c r="S100" s="17">
        <v>194</v>
      </c>
      <c r="T100" s="18">
        <f>200.6</f>
        <v>200.6</v>
      </c>
      <c r="U100" s="19">
        <f>2006.3</f>
        <v>2006.3</v>
      </c>
      <c r="V100" s="16">
        <v>226</v>
      </c>
      <c r="W100" s="17">
        <f>229.5</f>
        <v>229.5</v>
      </c>
      <c r="X100" s="18">
        <f>239.1</f>
        <v>239.1</v>
      </c>
      <c r="Y100" s="19">
        <f>232.2</f>
        <v>232.2</v>
      </c>
      <c r="Z100" s="16">
        <v>241.3</v>
      </c>
      <c r="AA100" s="17">
        <v>245.5</v>
      </c>
      <c r="AB100" s="18">
        <f>248.1</f>
        <v>248.1</v>
      </c>
      <c r="AC100" s="19">
        <f>256.1</f>
        <v>256.10000000000002</v>
      </c>
      <c r="AD100" s="16"/>
      <c r="AE100" s="17"/>
      <c r="AF100" s="18"/>
      <c r="AG100" s="19"/>
      <c r="AH100" s="16"/>
      <c r="AI100" s="17"/>
      <c r="AJ100" s="18"/>
      <c r="AK100" s="19"/>
      <c r="AL100" s="16"/>
      <c r="AM100" s="17"/>
      <c r="AN100" s="18"/>
      <c r="AO100" s="19">
        <v>539.29999999999995</v>
      </c>
      <c r="AP100" s="16">
        <v>562.4</v>
      </c>
      <c r="AQ100" s="17">
        <v>560.9</v>
      </c>
      <c r="AR100" s="18">
        <v>566.70000000000005</v>
      </c>
      <c r="AS100" s="19">
        <v>567.6</v>
      </c>
      <c r="AT100" s="16">
        <v>604.1</v>
      </c>
      <c r="AU100" s="17">
        <v>608.1</v>
      </c>
      <c r="AV100" s="18">
        <v>623.70000000000005</v>
      </c>
      <c r="AW100" s="19">
        <v>624.79999999999995</v>
      </c>
      <c r="AX100" s="12"/>
      <c r="AY100" s="13"/>
      <c r="AZ100" s="14"/>
      <c r="BA100" s="15"/>
      <c r="BB100" s="12"/>
      <c r="BC100" s="13"/>
      <c r="BD100" s="14"/>
      <c r="BE100" s="15"/>
      <c r="BF100" s="12"/>
      <c r="BG100" s="13"/>
      <c r="BH100" s="14"/>
      <c r="BI100" s="15"/>
      <c r="BJ100" s="12"/>
      <c r="BK100" s="57"/>
      <c r="BL100" s="57"/>
      <c r="BM100" s="13"/>
      <c r="BN100" s="14">
        <f>1372.3</f>
        <v>1372.3</v>
      </c>
      <c r="BO100" s="95">
        <v>1389.8</v>
      </c>
      <c r="BP100" s="12">
        <v>1599.7</v>
      </c>
      <c r="BQ100" s="13">
        <v>1567.1</v>
      </c>
      <c r="BR100" s="14">
        <v>1648.3</v>
      </c>
      <c r="BS100" s="15">
        <v>1780.5</v>
      </c>
      <c r="BT100" s="12">
        <v>2127.3000000000002</v>
      </c>
      <c r="BU100" s="57">
        <v>2500.6</v>
      </c>
      <c r="BV100" s="57">
        <v>2714.8</v>
      </c>
      <c r="BW100" s="13">
        <v>2909.3</v>
      </c>
      <c r="BX100" s="14">
        <v>3242.9</v>
      </c>
      <c r="BY100" s="15">
        <v>3337.5</v>
      </c>
      <c r="BZ100" s="12">
        <v>3870.8</v>
      </c>
      <c r="CA100" s="13">
        <v>4102.3999999999996</v>
      </c>
      <c r="CB100" s="14">
        <v>4195.8</v>
      </c>
      <c r="CC100" s="15">
        <v>4260.3</v>
      </c>
      <c r="CD100" s="24">
        <v>4937.3</v>
      </c>
      <c r="CE100" s="25">
        <v>4966.2</v>
      </c>
      <c r="CF100" s="14">
        <v>5272.9</v>
      </c>
      <c r="CG100" s="15">
        <v>5963.6</v>
      </c>
      <c r="CH100" s="15">
        <v>6095.9</v>
      </c>
      <c r="CI100" s="15">
        <v>6386.4</v>
      </c>
      <c r="CJ100" s="12">
        <v>6957.5</v>
      </c>
      <c r="CK100" s="13">
        <v>6990.6</v>
      </c>
      <c r="CL100" s="14">
        <v>7359.3</v>
      </c>
      <c r="CM100" s="15">
        <v>7585.5</v>
      </c>
      <c r="CN100" s="24">
        <v>8523.1</v>
      </c>
      <c r="CO100" s="25">
        <v>8636.1</v>
      </c>
      <c r="CP100" s="28"/>
      <c r="CQ100" s="29"/>
    </row>
  </sheetData>
  <mergeCells count="22">
    <mergeCell ref="B1:E1"/>
    <mergeCell ref="BF1:BI1"/>
    <mergeCell ref="BJ1:BO1"/>
    <mergeCell ref="F1:I1"/>
    <mergeCell ref="J1:M1"/>
    <mergeCell ref="AX1:BA1"/>
    <mergeCell ref="AD1:AG1"/>
    <mergeCell ref="AH1:AK1"/>
    <mergeCell ref="AL1:AO1"/>
    <mergeCell ref="AP1:AS1"/>
    <mergeCell ref="AT1:AW1"/>
    <mergeCell ref="N1:Q1"/>
    <mergeCell ref="R1:U1"/>
    <mergeCell ref="V1:Y1"/>
    <mergeCell ref="Z1:AC1"/>
    <mergeCell ref="CN1:CQ1"/>
    <mergeCell ref="BB1:BE1"/>
    <mergeCell ref="CD1:CI1"/>
    <mergeCell ref="BZ1:CC1"/>
    <mergeCell ref="BP1:BS1"/>
    <mergeCell ref="BT1:BY1"/>
    <mergeCell ref="CJ1:CM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Q100"/>
  <sheetViews>
    <sheetView rightToLeft="1" view="pageBreakPreview" zoomScale="130" zoomScaleNormal="145" zoomScaleSheetLayoutView="130" workbookViewId="0">
      <pane xSplit="1" ySplit="2" topLeftCell="B30" activePane="bottomRight" state="frozen"/>
      <selection activeCell="AL18" sqref="AL18"/>
      <selection pane="topRight" activeCell="AL18" sqref="AL18"/>
      <selection pane="bottomLeft" activeCell="AL18" sqref="AL18"/>
      <selection pane="bottomRight" activeCell="CO25" sqref="CO25"/>
    </sheetView>
  </sheetViews>
  <sheetFormatPr defaultColWidth="9.140625" defaultRowHeight="22.5" x14ac:dyDescent="0.25"/>
  <cols>
    <col min="1" max="1" width="11.5703125" style="6" customWidth="1"/>
    <col min="2" max="2" width="5.85546875" style="2" customWidth="1"/>
    <col min="3" max="3" width="5.85546875" style="3" customWidth="1"/>
    <col min="4" max="4" width="5.85546875" style="1" customWidth="1"/>
    <col min="5" max="5" width="5.85546875" style="4" customWidth="1"/>
    <col min="6" max="6" width="5.85546875" style="2" customWidth="1"/>
    <col min="7" max="7" width="5.85546875" style="3" customWidth="1"/>
    <col min="8" max="8" width="5.85546875" style="1" customWidth="1"/>
    <col min="9" max="9" width="5.85546875" style="4" customWidth="1"/>
    <col min="10" max="10" width="5.85546875" style="2" customWidth="1"/>
    <col min="11" max="11" width="5.85546875" style="3" customWidth="1"/>
    <col min="12" max="12" width="5.85546875" style="1" customWidth="1"/>
    <col min="13" max="13" width="5.85546875" style="4" customWidth="1"/>
    <col min="14" max="14" width="5.85546875" style="2" customWidth="1"/>
    <col min="15" max="15" width="5.85546875" style="3" customWidth="1"/>
    <col min="16" max="16" width="5.85546875" style="1" customWidth="1"/>
    <col min="17" max="17" width="5.85546875" style="4" customWidth="1"/>
    <col min="18" max="18" width="5.85546875" style="2" customWidth="1"/>
    <col min="19" max="19" width="5.85546875" style="3" customWidth="1"/>
    <col min="20" max="20" width="5.85546875" style="1" customWidth="1"/>
    <col min="21" max="21" width="5.85546875" style="4" customWidth="1"/>
    <col min="22" max="22" width="5.85546875" style="2" customWidth="1"/>
    <col min="23" max="23" width="5.85546875" style="3" customWidth="1"/>
    <col min="24" max="24" width="5.85546875" style="1" customWidth="1"/>
    <col min="25" max="25" width="5.85546875" style="4" customWidth="1"/>
    <col min="26" max="26" width="5.85546875" style="2" customWidth="1"/>
    <col min="27" max="27" width="5.85546875" style="3" customWidth="1"/>
    <col min="28" max="28" width="5.85546875" style="1" customWidth="1"/>
    <col min="29" max="29" width="5.85546875" style="4" customWidth="1"/>
    <col min="30" max="30" width="5.85546875" style="2" customWidth="1"/>
    <col min="31" max="31" width="5.85546875" style="3" customWidth="1"/>
    <col min="32" max="32" width="5.85546875" style="1" customWidth="1"/>
    <col min="33" max="33" width="5.85546875" style="4" customWidth="1"/>
    <col min="34" max="34" width="5.85546875" style="2" customWidth="1"/>
    <col min="35" max="35" width="5.85546875" style="3" customWidth="1"/>
    <col min="36" max="36" width="5.85546875" style="1" customWidth="1"/>
    <col min="37" max="37" width="5.85546875" style="4" customWidth="1"/>
    <col min="38" max="38" width="5.85546875" style="2" customWidth="1"/>
    <col min="39" max="39" width="5.85546875" style="3" customWidth="1"/>
    <col min="40" max="40" width="5.85546875" style="1" customWidth="1"/>
    <col min="41" max="41" width="5.85546875" style="4" customWidth="1"/>
    <col min="42" max="42" width="5.85546875" style="2" customWidth="1"/>
    <col min="43" max="43" width="5.85546875" style="3" customWidth="1"/>
    <col min="44" max="44" width="5.85546875" style="1" customWidth="1"/>
    <col min="45" max="45" width="5.85546875" style="4" customWidth="1"/>
    <col min="46" max="46" width="5.85546875" style="2" customWidth="1"/>
    <col min="47" max="47" width="5.85546875" style="3" customWidth="1"/>
    <col min="48" max="48" width="5.85546875" style="1" customWidth="1"/>
    <col min="49" max="49" width="5.85546875" style="4" customWidth="1"/>
    <col min="50" max="50" width="5.85546875" style="2" customWidth="1"/>
    <col min="51" max="51" width="5.85546875" style="3" customWidth="1"/>
    <col min="52" max="52" width="5.85546875" style="1" customWidth="1"/>
    <col min="53" max="53" width="5.85546875" style="4" customWidth="1"/>
    <col min="54" max="54" width="5.85546875" style="2" customWidth="1"/>
    <col min="55" max="55" width="5.85546875" style="3" customWidth="1"/>
    <col min="56" max="56" width="5.85546875" style="1" customWidth="1"/>
    <col min="57" max="57" width="5.85546875" style="4" customWidth="1"/>
    <col min="58" max="58" width="5.85546875" style="2" customWidth="1"/>
    <col min="59" max="59" width="5.85546875" style="3" customWidth="1"/>
    <col min="60" max="60" width="5.85546875" style="1" customWidth="1"/>
    <col min="61" max="61" width="5.85546875" style="4" customWidth="1"/>
    <col min="62" max="62" width="5.85546875" style="2" customWidth="1"/>
    <col min="63" max="64" width="5.85546875" style="5" customWidth="1"/>
    <col min="65" max="65" width="5.85546875" style="3" customWidth="1"/>
    <col min="66" max="66" width="5.85546875" style="1" customWidth="1"/>
    <col min="67" max="67" width="5.85546875" style="4" customWidth="1"/>
    <col min="68" max="68" width="5.85546875" style="2" customWidth="1"/>
    <col min="69" max="69" width="5.85546875" style="3" customWidth="1"/>
    <col min="70" max="70" width="5.85546875" style="1" customWidth="1"/>
    <col min="71" max="71" width="5.85546875" style="4" customWidth="1"/>
    <col min="72" max="72" width="5.85546875" style="2" customWidth="1"/>
    <col min="73" max="74" width="5.85546875" style="5" customWidth="1"/>
    <col min="75" max="75" width="8.140625" style="3" customWidth="1"/>
    <col min="76" max="76" width="9.7109375" style="1" customWidth="1"/>
    <col min="77" max="77" width="10.140625" style="4" customWidth="1"/>
    <col min="78" max="78" width="5.85546875" style="2" customWidth="1"/>
    <col min="79" max="79" width="7.42578125" style="3" customWidth="1"/>
    <col min="80" max="80" width="5.85546875" style="1" customWidth="1"/>
    <col min="81" max="81" width="5.85546875" style="4" customWidth="1"/>
    <col min="82" max="82" width="5.85546875" style="2" customWidth="1"/>
    <col min="83" max="83" width="5.85546875" style="3" customWidth="1"/>
    <col min="84" max="84" width="5.85546875" style="1" customWidth="1"/>
    <col min="85" max="85" width="5.85546875" style="4" customWidth="1"/>
    <col min="88" max="89" width="6.7109375" bestFit="1" customWidth="1"/>
    <col min="90" max="91" width="6" customWidth="1"/>
    <col min="92" max="93" width="6.7109375" bestFit="1" customWidth="1"/>
    <col min="94" max="95" width="6" customWidth="1"/>
  </cols>
  <sheetData>
    <row r="1" spans="1:95" x14ac:dyDescent="0.25">
      <c r="A1" s="7" t="s">
        <v>1</v>
      </c>
      <c r="B1" s="235">
        <v>1382</v>
      </c>
      <c r="C1" s="235"/>
      <c r="D1" s="235"/>
      <c r="E1" s="235"/>
      <c r="F1" s="235">
        <v>1383</v>
      </c>
      <c r="G1" s="235"/>
      <c r="H1" s="235"/>
      <c r="I1" s="235"/>
      <c r="J1" s="235">
        <v>1384</v>
      </c>
      <c r="K1" s="235"/>
      <c r="L1" s="235"/>
      <c r="M1" s="235"/>
      <c r="N1" s="235">
        <v>1385</v>
      </c>
      <c r="O1" s="235"/>
      <c r="P1" s="235"/>
      <c r="Q1" s="235"/>
      <c r="R1" s="235">
        <v>1386</v>
      </c>
      <c r="S1" s="235"/>
      <c r="T1" s="235"/>
      <c r="U1" s="235"/>
      <c r="V1" s="235">
        <v>1387</v>
      </c>
      <c r="W1" s="235"/>
      <c r="X1" s="235"/>
      <c r="Y1" s="235"/>
      <c r="Z1" s="235">
        <v>1388</v>
      </c>
      <c r="AA1" s="235"/>
      <c r="AB1" s="235"/>
      <c r="AC1" s="235"/>
      <c r="AD1" s="235">
        <v>1389</v>
      </c>
      <c r="AE1" s="235"/>
      <c r="AF1" s="235"/>
      <c r="AG1" s="235"/>
      <c r="AH1" s="235">
        <v>1390</v>
      </c>
      <c r="AI1" s="235"/>
      <c r="AJ1" s="235"/>
      <c r="AK1" s="235"/>
      <c r="AL1" s="235">
        <v>1391</v>
      </c>
      <c r="AM1" s="235"/>
      <c r="AN1" s="235"/>
      <c r="AO1" s="235"/>
      <c r="AP1" s="235">
        <v>1392</v>
      </c>
      <c r="AQ1" s="235"/>
      <c r="AR1" s="235"/>
      <c r="AS1" s="235"/>
      <c r="AT1" s="235">
        <v>1393</v>
      </c>
      <c r="AU1" s="235"/>
      <c r="AV1" s="235"/>
      <c r="AW1" s="235"/>
      <c r="AX1" s="235">
        <v>1394</v>
      </c>
      <c r="AY1" s="235"/>
      <c r="AZ1" s="235"/>
      <c r="BA1" s="235"/>
      <c r="BB1" s="235">
        <v>1395</v>
      </c>
      <c r="BC1" s="235"/>
      <c r="BD1" s="235"/>
      <c r="BE1" s="235"/>
      <c r="BF1" s="235">
        <v>1396</v>
      </c>
      <c r="BG1" s="235"/>
      <c r="BH1" s="235"/>
      <c r="BI1" s="235"/>
      <c r="BJ1" s="235">
        <v>1397</v>
      </c>
      <c r="BK1" s="235"/>
      <c r="BL1" s="235"/>
      <c r="BM1" s="235"/>
      <c r="BN1" s="235"/>
      <c r="BO1" s="235"/>
      <c r="BP1" s="235">
        <v>1398</v>
      </c>
      <c r="BQ1" s="235"/>
      <c r="BR1" s="235"/>
      <c r="BS1" s="235"/>
      <c r="BT1" s="235">
        <v>1399</v>
      </c>
      <c r="BU1" s="235"/>
      <c r="BV1" s="235"/>
      <c r="BW1" s="235"/>
      <c r="BX1" s="235"/>
      <c r="BY1" s="235"/>
      <c r="BZ1" s="235">
        <v>1400</v>
      </c>
      <c r="CA1" s="235"/>
      <c r="CB1" s="235"/>
      <c r="CC1" s="235"/>
      <c r="CD1" s="239">
        <v>1401</v>
      </c>
      <c r="CE1" s="240"/>
      <c r="CF1" s="240"/>
      <c r="CG1" s="240"/>
      <c r="CH1" s="240"/>
      <c r="CI1" s="240"/>
      <c r="CJ1" s="235">
        <v>1402</v>
      </c>
      <c r="CK1" s="235"/>
      <c r="CL1" s="235"/>
      <c r="CM1" s="235"/>
      <c r="CN1" s="235">
        <v>1403</v>
      </c>
      <c r="CO1" s="235"/>
      <c r="CP1" s="235"/>
      <c r="CQ1" s="235"/>
    </row>
    <row r="2" spans="1:95" x14ac:dyDescent="0.25">
      <c r="A2" s="7" t="s">
        <v>3</v>
      </c>
      <c r="B2" s="8" t="s">
        <v>4</v>
      </c>
      <c r="C2" s="9" t="s">
        <v>2</v>
      </c>
      <c r="D2" s="10" t="s">
        <v>5</v>
      </c>
      <c r="E2" s="11" t="s">
        <v>6</v>
      </c>
      <c r="F2" s="8" t="s">
        <v>4</v>
      </c>
      <c r="G2" s="9" t="s">
        <v>2</v>
      </c>
      <c r="H2" s="10" t="s">
        <v>5</v>
      </c>
      <c r="I2" s="11" t="s">
        <v>6</v>
      </c>
      <c r="J2" s="8" t="s">
        <v>4</v>
      </c>
      <c r="K2" s="9" t="s">
        <v>2</v>
      </c>
      <c r="L2" s="10" t="s">
        <v>5</v>
      </c>
      <c r="M2" s="11" t="s">
        <v>6</v>
      </c>
      <c r="N2" s="8" t="s">
        <v>4</v>
      </c>
      <c r="O2" s="9" t="s">
        <v>2</v>
      </c>
      <c r="P2" s="10" t="s">
        <v>5</v>
      </c>
      <c r="Q2" s="11" t="s">
        <v>6</v>
      </c>
      <c r="R2" s="8" t="s">
        <v>4</v>
      </c>
      <c r="S2" s="9" t="s">
        <v>2</v>
      </c>
      <c r="T2" s="10" t="s">
        <v>5</v>
      </c>
      <c r="U2" s="11" t="s">
        <v>6</v>
      </c>
      <c r="V2" s="8" t="s">
        <v>4</v>
      </c>
      <c r="W2" s="9" t="s">
        <v>2</v>
      </c>
      <c r="X2" s="10" t="s">
        <v>5</v>
      </c>
      <c r="Y2" s="11" t="s">
        <v>6</v>
      </c>
      <c r="Z2" s="8" t="s">
        <v>4</v>
      </c>
      <c r="AA2" s="9" t="s">
        <v>2</v>
      </c>
      <c r="AB2" s="10" t="s">
        <v>5</v>
      </c>
      <c r="AC2" s="11" t="s">
        <v>6</v>
      </c>
      <c r="AD2" s="8" t="s">
        <v>4</v>
      </c>
      <c r="AE2" s="9" t="s">
        <v>2</v>
      </c>
      <c r="AF2" s="10" t="s">
        <v>5</v>
      </c>
      <c r="AG2" s="11" t="s">
        <v>6</v>
      </c>
      <c r="AH2" s="8" t="s">
        <v>4</v>
      </c>
      <c r="AI2" s="9" t="s">
        <v>2</v>
      </c>
      <c r="AJ2" s="10" t="s">
        <v>5</v>
      </c>
      <c r="AK2" s="11" t="s">
        <v>6</v>
      </c>
      <c r="AL2" s="8" t="s">
        <v>4</v>
      </c>
      <c r="AM2" s="9" t="s">
        <v>2</v>
      </c>
      <c r="AN2" s="10" t="s">
        <v>5</v>
      </c>
      <c r="AO2" s="11" t="s">
        <v>6</v>
      </c>
      <c r="AP2" s="8" t="s">
        <v>4</v>
      </c>
      <c r="AQ2" s="9" t="s">
        <v>2</v>
      </c>
      <c r="AR2" s="10" t="s">
        <v>5</v>
      </c>
      <c r="AS2" s="11" t="s">
        <v>6</v>
      </c>
      <c r="AT2" s="8" t="s">
        <v>4</v>
      </c>
      <c r="AU2" s="9" t="s">
        <v>2</v>
      </c>
      <c r="AV2" s="10" t="s">
        <v>5</v>
      </c>
      <c r="AW2" s="11" t="s">
        <v>6</v>
      </c>
      <c r="AX2" s="8" t="s">
        <v>4</v>
      </c>
      <c r="AY2" s="9" t="s">
        <v>2</v>
      </c>
      <c r="AZ2" s="10" t="s">
        <v>5</v>
      </c>
      <c r="BA2" s="11" t="s">
        <v>6</v>
      </c>
      <c r="BB2" s="8" t="s">
        <v>4</v>
      </c>
      <c r="BC2" s="9" t="s">
        <v>2</v>
      </c>
      <c r="BD2" s="10" t="s">
        <v>5</v>
      </c>
      <c r="BE2" s="11" t="s">
        <v>6</v>
      </c>
      <c r="BF2" s="8" t="s">
        <v>4</v>
      </c>
      <c r="BG2" s="9" t="s">
        <v>2</v>
      </c>
      <c r="BH2" s="10" t="s">
        <v>5</v>
      </c>
      <c r="BI2" s="11" t="s">
        <v>6</v>
      </c>
      <c r="BJ2" s="8" t="s">
        <v>4</v>
      </c>
      <c r="BK2" s="7" t="s">
        <v>57</v>
      </c>
      <c r="BL2" s="7" t="s">
        <v>58</v>
      </c>
      <c r="BM2" s="9" t="s">
        <v>59</v>
      </c>
      <c r="BN2" s="10" t="s">
        <v>5</v>
      </c>
      <c r="BO2" s="11" t="s">
        <v>6</v>
      </c>
      <c r="BP2" s="8" t="s">
        <v>4</v>
      </c>
      <c r="BQ2" s="9" t="s">
        <v>2</v>
      </c>
      <c r="BR2" s="10" t="s">
        <v>5</v>
      </c>
      <c r="BS2" s="11" t="s">
        <v>6</v>
      </c>
      <c r="BT2" s="8" t="s">
        <v>4</v>
      </c>
      <c r="BU2" s="7" t="s">
        <v>57</v>
      </c>
      <c r="BV2" s="7" t="s">
        <v>58</v>
      </c>
      <c r="BW2" s="9" t="s">
        <v>59</v>
      </c>
      <c r="BX2" s="10" t="s">
        <v>5</v>
      </c>
      <c r="BY2" s="11" t="s">
        <v>6</v>
      </c>
      <c r="BZ2" s="8" t="s">
        <v>4</v>
      </c>
      <c r="CA2" s="9" t="s">
        <v>2</v>
      </c>
      <c r="CB2" s="10" t="s">
        <v>5</v>
      </c>
      <c r="CC2" s="11" t="s">
        <v>6</v>
      </c>
      <c r="CD2" s="22" t="s">
        <v>4</v>
      </c>
      <c r="CE2" s="23" t="s">
        <v>2</v>
      </c>
      <c r="CF2" s="26" t="s">
        <v>5</v>
      </c>
      <c r="CG2" s="27" t="s">
        <v>115</v>
      </c>
      <c r="CH2" s="27" t="s">
        <v>116</v>
      </c>
      <c r="CI2" s="27" t="s">
        <v>117</v>
      </c>
      <c r="CJ2" s="8" t="s">
        <v>4</v>
      </c>
      <c r="CK2" s="9" t="s">
        <v>2</v>
      </c>
      <c r="CL2" s="10" t="s">
        <v>5</v>
      </c>
      <c r="CM2" s="11" t="s">
        <v>6</v>
      </c>
      <c r="CN2" s="8" t="s">
        <v>4</v>
      </c>
      <c r="CO2" s="9" t="s">
        <v>2</v>
      </c>
      <c r="CP2" s="10" t="s">
        <v>5</v>
      </c>
      <c r="CQ2" s="11" t="s">
        <v>6</v>
      </c>
    </row>
    <row r="3" spans="1:95" x14ac:dyDescent="0.55000000000000004">
      <c r="A3" s="7">
        <v>1</v>
      </c>
      <c r="B3" s="24">
        <v>107.4</v>
      </c>
      <c r="C3" s="25">
        <v>107.8</v>
      </c>
      <c r="D3" s="28">
        <v>108.1</v>
      </c>
      <c r="E3" s="29">
        <v>110.4</v>
      </c>
      <c r="F3" s="12">
        <v>120.3</v>
      </c>
      <c r="G3" s="13">
        <v>120.8</v>
      </c>
      <c r="H3" s="14">
        <v>121.1</v>
      </c>
      <c r="I3" s="15">
        <v>121.1</v>
      </c>
      <c r="J3" s="12">
        <v>125.2</v>
      </c>
      <c r="K3" s="13">
        <v>125.4</v>
      </c>
      <c r="L3" s="14">
        <v>126.8</v>
      </c>
      <c r="M3" s="15">
        <v>126.9</v>
      </c>
      <c r="N3" s="12">
        <v>133</v>
      </c>
      <c r="O3" s="13">
        <v>133</v>
      </c>
      <c r="P3" s="14">
        <v>134.69999999999999</v>
      </c>
      <c r="Q3" s="15">
        <v>134.80000000000001</v>
      </c>
      <c r="R3" s="12">
        <v>149.9</v>
      </c>
      <c r="S3" s="13">
        <v>150.19999999999999</v>
      </c>
      <c r="T3" s="14">
        <v>150.6</v>
      </c>
      <c r="U3" s="15">
        <v>151.30000000000001</v>
      </c>
      <c r="V3" s="12">
        <v>172.1</v>
      </c>
      <c r="W3" s="13">
        <v>172.3</v>
      </c>
      <c r="X3" s="14">
        <v>172.8</v>
      </c>
      <c r="Y3" s="15">
        <v>173</v>
      </c>
      <c r="Z3" s="12">
        <v>174.7</v>
      </c>
      <c r="AA3" s="13">
        <v>174.9</v>
      </c>
      <c r="AB3" s="14">
        <v>175.6</v>
      </c>
      <c r="AC3" s="15">
        <v>176</v>
      </c>
      <c r="AD3" s="12"/>
      <c r="AE3" s="13"/>
      <c r="AF3" s="14"/>
      <c r="AG3" s="15"/>
      <c r="AH3" s="12"/>
      <c r="AI3" s="13"/>
      <c r="AJ3" s="14"/>
      <c r="AK3" s="15"/>
      <c r="AL3" s="12"/>
      <c r="AM3" s="13"/>
      <c r="AN3" s="14"/>
      <c r="AO3" s="15">
        <v>349.3</v>
      </c>
      <c r="AP3" s="12">
        <v>385.2</v>
      </c>
      <c r="AQ3" s="13">
        <v>385.9</v>
      </c>
      <c r="AR3" s="14">
        <v>387.3</v>
      </c>
      <c r="AS3" s="15">
        <v>388.5</v>
      </c>
      <c r="AT3" s="12">
        <v>429.3</v>
      </c>
      <c r="AU3" s="13">
        <v>430.2</v>
      </c>
      <c r="AV3" s="14">
        <v>431.4</v>
      </c>
      <c r="AW3" s="15">
        <v>432</v>
      </c>
      <c r="AX3" s="12"/>
      <c r="AY3" s="13"/>
      <c r="AZ3" s="14"/>
      <c r="BA3" s="15"/>
      <c r="BB3" s="12">
        <v>461.9</v>
      </c>
      <c r="BC3" s="13">
        <v>462.6</v>
      </c>
      <c r="BD3" s="14">
        <v>508.4</v>
      </c>
      <c r="BE3" s="15">
        <v>508.9</v>
      </c>
      <c r="BF3" s="12">
        <v>536.29999999999995</v>
      </c>
      <c r="BG3" s="13">
        <v>559.5</v>
      </c>
      <c r="BH3" s="14">
        <v>560.20000000000005</v>
      </c>
      <c r="BI3" s="15">
        <v>601</v>
      </c>
      <c r="BJ3" s="12">
        <v>733.7</v>
      </c>
      <c r="BK3" s="57"/>
      <c r="BL3" s="57"/>
      <c r="BM3" s="13"/>
      <c r="BN3" s="93">
        <v>936.9</v>
      </c>
      <c r="BO3" s="90">
        <v>992.5</v>
      </c>
      <c r="BP3" s="88">
        <v>1082.5</v>
      </c>
      <c r="BQ3" s="92">
        <v>1150.0999999999999</v>
      </c>
      <c r="BR3" s="14">
        <v>1163</v>
      </c>
      <c r="BS3" s="15">
        <v>1192.3</v>
      </c>
      <c r="BT3" s="12">
        <v>1400.6</v>
      </c>
      <c r="BU3" s="57">
        <v>1604.3</v>
      </c>
      <c r="BV3" s="57">
        <v>1668.2</v>
      </c>
      <c r="BW3" s="13">
        <v>1849.3</v>
      </c>
      <c r="BX3" s="12">
        <v>1998</v>
      </c>
      <c r="BY3" s="12">
        <v>2108.9</v>
      </c>
      <c r="BZ3" s="88">
        <v>2392.6999999999998</v>
      </c>
      <c r="CA3" s="92">
        <v>2505</v>
      </c>
      <c r="CB3" s="14">
        <v>2526.8000000000002</v>
      </c>
      <c r="CC3" s="15">
        <v>2607.9</v>
      </c>
      <c r="CD3" s="24">
        <v>2812.4</v>
      </c>
      <c r="CE3" s="25">
        <v>2951.3</v>
      </c>
      <c r="CF3" s="14">
        <v>3292.7</v>
      </c>
      <c r="CG3" s="15">
        <v>3546.4</v>
      </c>
      <c r="CH3" s="15">
        <v>3781.8</v>
      </c>
      <c r="CI3" s="15">
        <v>4017.1</v>
      </c>
      <c r="CJ3" s="88">
        <v>4336.3</v>
      </c>
      <c r="CK3" s="92">
        <v>4356.5</v>
      </c>
      <c r="CL3" s="14">
        <v>4571.7</v>
      </c>
      <c r="CM3" s="15">
        <v>4582.8</v>
      </c>
      <c r="CN3" s="88">
        <v>5125.3999999999996</v>
      </c>
      <c r="CO3" s="92">
        <v>5153</v>
      </c>
      <c r="CP3" s="14"/>
      <c r="CQ3" s="15"/>
    </row>
    <row r="4" spans="1:95" x14ac:dyDescent="0.55000000000000004">
      <c r="A4" s="7">
        <v>2</v>
      </c>
      <c r="B4" s="24">
        <v>104.4</v>
      </c>
      <c r="C4" s="25">
        <v>105.8</v>
      </c>
      <c r="D4" s="28">
        <v>106.5</v>
      </c>
      <c r="E4" s="29">
        <v>108.3</v>
      </c>
      <c r="F4" s="12">
        <v>118.5</v>
      </c>
      <c r="G4" s="13">
        <v>119.6</v>
      </c>
      <c r="H4" s="14">
        <v>131.80000000000001</v>
      </c>
      <c r="I4" s="15">
        <v>131.80000000000001</v>
      </c>
      <c r="J4" s="12">
        <v>134.9</v>
      </c>
      <c r="K4" s="13">
        <v>135.4</v>
      </c>
      <c r="L4" s="14">
        <v>138.80000000000001</v>
      </c>
      <c r="M4" s="15">
        <v>139</v>
      </c>
      <c r="N4" s="12">
        <v>143.4</v>
      </c>
      <c r="O4" s="13">
        <v>143.6</v>
      </c>
      <c r="P4" s="14">
        <v>145.80000000000001</v>
      </c>
      <c r="Q4" s="15">
        <v>145.9</v>
      </c>
      <c r="R4" s="12">
        <v>159.30000000000001</v>
      </c>
      <c r="S4" s="13">
        <v>160.19999999999999</v>
      </c>
      <c r="T4" s="14">
        <v>161.5</v>
      </c>
      <c r="U4" s="15">
        <v>171.4</v>
      </c>
      <c r="V4" s="12">
        <v>198.9</v>
      </c>
      <c r="W4" s="13">
        <v>199.5</v>
      </c>
      <c r="X4" s="14">
        <v>201.4</v>
      </c>
      <c r="Y4" s="15">
        <v>204</v>
      </c>
      <c r="Z4" s="12">
        <v>209.9</v>
      </c>
      <c r="AA4" s="13">
        <v>210.7</v>
      </c>
      <c r="AB4" s="14">
        <v>212.9</v>
      </c>
      <c r="AC4" s="15">
        <v>214.4</v>
      </c>
      <c r="AD4" s="12"/>
      <c r="AE4" s="13"/>
      <c r="AF4" s="14"/>
      <c r="AG4" s="15"/>
      <c r="AH4" s="12"/>
      <c r="AI4" s="13"/>
      <c r="AJ4" s="14"/>
      <c r="AK4" s="15"/>
      <c r="AL4" s="12"/>
      <c r="AM4" s="13"/>
      <c r="AN4" s="14"/>
      <c r="AO4" s="15">
        <v>471.8</v>
      </c>
      <c r="AP4" s="12">
        <v>522.1</v>
      </c>
      <c r="AQ4" s="13">
        <v>524.70000000000005</v>
      </c>
      <c r="AR4" s="14">
        <v>530.20000000000005</v>
      </c>
      <c r="AS4" s="15">
        <v>535.1</v>
      </c>
      <c r="AT4" s="12">
        <v>597.70000000000005</v>
      </c>
      <c r="AU4" s="13">
        <v>600.79999999999995</v>
      </c>
      <c r="AV4" s="14">
        <v>604</v>
      </c>
      <c r="AW4" s="15">
        <v>606.9</v>
      </c>
      <c r="AX4" s="12"/>
      <c r="AY4" s="13"/>
      <c r="AZ4" s="14"/>
      <c r="BA4" s="15"/>
      <c r="BB4" s="12">
        <v>666.9</v>
      </c>
      <c r="BC4" s="13">
        <v>669.1</v>
      </c>
      <c r="BD4" s="14">
        <v>701.1</v>
      </c>
      <c r="BE4" s="15">
        <v>703.2</v>
      </c>
      <c r="BF4" s="12">
        <v>747.6</v>
      </c>
      <c r="BG4" s="13">
        <v>773.4</v>
      </c>
      <c r="BH4" s="14">
        <v>771.2</v>
      </c>
      <c r="BI4" s="15">
        <v>787.5</v>
      </c>
      <c r="BJ4" s="12">
        <v>948.3</v>
      </c>
      <c r="BK4" s="57"/>
      <c r="BL4" s="57"/>
      <c r="BM4" s="13"/>
      <c r="BN4" s="93">
        <v>1156.9000000000001</v>
      </c>
      <c r="BO4" s="97">
        <v>1214.8</v>
      </c>
      <c r="BP4" s="91">
        <v>1366.1</v>
      </c>
      <c r="BQ4" s="92">
        <v>1462.2</v>
      </c>
      <c r="BR4" s="14">
        <v>1467.1</v>
      </c>
      <c r="BS4" s="15">
        <v>1491.6</v>
      </c>
      <c r="BT4" s="12">
        <v>1731.9</v>
      </c>
      <c r="BU4" s="57">
        <v>2002.5</v>
      </c>
      <c r="BV4" s="57">
        <v>2159.5</v>
      </c>
      <c r="BW4" s="13">
        <v>2338.4</v>
      </c>
      <c r="BX4" s="14">
        <v>2394.3000000000002</v>
      </c>
      <c r="BY4" s="15">
        <v>2566</v>
      </c>
      <c r="BZ4" s="91">
        <v>2995.4</v>
      </c>
      <c r="CA4" s="92">
        <v>3132.9</v>
      </c>
      <c r="CB4" s="14">
        <v>3153.4</v>
      </c>
      <c r="CC4" s="15">
        <v>3232.1</v>
      </c>
      <c r="CD4" s="24">
        <v>3630.9</v>
      </c>
      <c r="CE4" s="25">
        <v>3729.3</v>
      </c>
      <c r="CF4" s="14">
        <v>4188.3</v>
      </c>
      <c r="CG4" s="15">
        <v>4468.8</v>
      </c>
      <c r="CH4" s="15">
        <v>4695.8</v>
      </c>
      <c r="CI4" s="15">
        <v>4908.3</v>
      </c>
      <c r="CJ4" s="88">
        <v>5461</v>
      </c>
      <c r="CK4" s="92">
        <v>5516.7</v>
      </c>
      <c r="CL4" s="14">
        <v>5669.3</v>
      </c>
      <c r="CM4" s="15">
        <v>5713.6</v>
      </c>
      <c r="CN4" s="88">
        <v>6525.5</v>
      </c>
      <c r="CO4" s="92">
        <v>6614.7</v>
      </c>
      <c r="CP4" s="14"/>
      <c r="CQ4" s="15"/>
    </row>
    <row r="5" spans="1:95" x14ac:dyDescent="0.55000000000000004">
      <c r="A5" s="7">
        <v>3</v>
      </c>
      <c r="B5" s="24">
        <v>108.3</v>
      </c>
      <c r="C5" s="25">
        <v>108.9</v>
      </c>
      <c r="D5" s="28">
        <v>109.1</v>
      </c>
      <c r="E5" s="29">
        <v>111.5</v>
      </c>
      <c r="F5" s="24">
        <v>121.5</v>
      </c>
      <c r="G5" s="25">
        <v>122</v>
      </c>
      <c r="H5" s="28">
        <v>132.6</v>
      </c>
      <c r="I5" s="29">
        <v>132.6</v>
      </c>
      <c r="J5" s="24">
        <v>137.19999999999999</v>
      </c>
      <c r="K5" s="25">
        <v>137.30000000000001</v>
      </c>
      <c r="L5" s="28">
        <v>137.69999999999999</v>
      </c>
      <c r="M5" s="29">
        <v>137.80000000000001</v>
      </c>
      <c r="N5" s="24">
        <v>158.69999999999999</v>
      </c>
      <c r="O5" s="25">
        <v>158.69999999999999</v>
      </c>
      <c r="P5" s="28">
        <v>160.69999999999999</v>
      </c>
      <c r="Q5" s="29">
        <v>160.80000000000001</v>
      </c>
      <c r="R5" s="24">
        <v>172.8</v>
      </c>
      <c r="S5" s="25">
        <v>173.2</v>
      </c>
      <c r="T5" s="28">
        <v>173.7</v>
      </c>
      <c r="U5" s="29">
        <v>188.5</v>
      </c>
      <c r="V5" s="24">
        <v>211.7</v>
      </c>
      <c r="W5" s="25">
        <v>212</v>
      </c>
      <c r="X5" s="28">
        <v>212.5</v>
      </c>
      <c r="Y5" s="29">
        <v>212.7</v>
      </c>
      <c r="Z5" s="24">
        <v>214.7</v>
      </c>
      <c r="AA5" s="25">
        <v>215</v>
      </c>
      <c r="AB5" s="28">
        <v>215.8</v>
      </c>
      <c r="AC5" s="29">
        <v>216.3</v>
      </c>
      <c r="AD5" s="24"/>
      <c r="AE5" s="25"/>
      <c r="AF5" s="28"/>
      <c r="AG5" s="29"/>
      <c r="AH5" s="24"/>
      <c r="AI5" s="25"/>
      <c r="AJ5" s="28"/>
      <c r="AK5" s="29"/>
      <c r="AL5" s="24"/>
      <c r="AM5" s="25"/>
      <c r="AN5" s="28"/>
      <c r="AO5" s="29">
        <v>412.5</v>
      </c>
      <c r="AP5" s="24">
        <v>455.3</v>
      </c>
      <c r="AQ5" s="25">
        <v>456.4</v>
      </c>
      <c r="AR5" s="28">
        <v>458.4</v>
      </c>
      <c r="AS5" s="29">
        <v>460.3</v>
      </c>
      <c r="AT5" s="24">
        <v>525.1</v>
      </c>
      <c r="AU5" s="25">
        <v>526.4</v>
      </c>
      <c r="AV5" s="28">
        <v>512.20000000000005</v>
      </c>
      <c r="AW5" s="29">
        <v>513.20000000000005</v>
      </c>
      <c r="AX5" s="24"/>
      <c r="AY5" s="25"/>
      <c r="AZ5" s="28"/>
      <c r="BA5" s="29"/>
      <c r="BB5" s="24">
        <v>561</v>
      </c>
      <c r="BC5" s="25">
        <v>561.9</v>
      </c>
      <c r="BD5" s="28">
        <v>591.6</v>
      </c>
      <c r="BE5" s="29">
        <v>592.29999999999995</v>
      </c>
      <c r="BF5" s="24">
        <v>625.1</v>
      </c>
      <c r="BG5" s="25">
        <v>651.4</v>
      </c>
      <c r="BH5" s="28">
        <v>652.29999999999995</v>
      </c>
      <c r="BI5" s="29">
        <v>678.2</v>
      </c>
      <c r="BJ5" s="24">
        <v>849.3</v>
      </c>
      <c r="BK5" s="58"/>
      <c r="BL5" s="58"/>
      <c r="BM5" s="25"/>
      <c r="BN5" s="87">
        <v>1162.5999999999999</v>
      </c>
      <c r="BO5" s="97">
        <v>1280.8</v>
      </c>
      <c r="BP5" s="88">
        <v>1376.6</v>
      </c>
      <c r="BQ5" s="92">
        <v>1486.7</v>
      </c>
      <c r="BR5" s="28">
        <v>1490.6</v>
      </c>
      <c r="BS5" s="29">
        <v>1516.5</v>
      </c>
      <c r="BT5" s="12">
        <v>1753.4</v>
      </c>
      <c r="BU5" s="57">
        <v>1965.9</v>
      </c>
      <c r="BV5" s="57">
        <v>2044.2</v>
      </c>
      <c r="BW5" s="13">
        <v>2304.9</v>
      </c>
      <c r="BX5" s="28">
        <v>2544.1999999999998</v>
      </c>
      <c r="BY5" s="29">
        <v>2335.1999999999998</v>
      </c>
      <c r="BZ5" s="88">
        <v>2702.7</v>
      </c>
      <c r="CA5" s="92">
        <v>2826.5</v>
      </c>
      <c r="CB5" s="28">
        <v>2828.7</v>
      </c>
      <c r="CC5" s="29">
        <v>2977.4</v>
      </c>
      <c r="CD5" s="24">
        <v>3208.4</v>
      </c>
      <c r="CE5" s="25">
        <v>3377.1</v>
      </c>
      <c r="CF5" s="14">
        <v>3766.6</v>
      </c>
      <c r="CG5" s="15">
        <v>4055.2</v>
      </c>
      <c r="CH5" s="15">
        <v>4317.1000000000004</v>
      </c>
      <c r="CI5" s="15">
        <v>4585.6000000000004</v>
      </c>
      <c r="CJ5" s="88">
        <v>5155.7</v>
      </c>
      <c r="CK5" s="92">
        <v>5184.8</v>
      </c>
      <c r="CL5" s="14">
        <v>5368.5</v>
      </c>
      <c r="CM5" s="15">
        <v>5385.2</v>
      </c>
      <c r="CN5" s="88">
        <v>6001.3</v>
      </c>
      <c r="CO5" s="92">
        <v>6038.7</v>
      </c>
      <c r="CP5" s="14"/>
      <c r="CQ5" s="15"/>
    </row>
    <row r="6" spans="1:95" x14ac:dyDescent="0.55000000000000004">
      <c r="A6" s="7">
        <v>4</v>
      </c>
      <c r="B6" s="24">
        <v>100.9</v>
      </c>
      <c r="C6" s="25">
        <v>101.4</v>
      </c>
      <c r="D6" s="28">
        <v>101.7</v>
      </c>
      <c r="E6" s="29">
        <v>108.9</v>
      </c>
      <c r="F6" s="24">
        <v>114.8</v>
      </c>
      <c r="G6" s="25">
        <v>115.3</v>
      </c>
      <c r="H6" s="28">
        <v>117.4</v>
      </c>
      <c r="I6" s="29">
        <v>117.4</v>
      </c>
      <c r="J6" s="24">
        <v>119.8</v>
      </c>
      <c r="K6" s="25">
        <v>120</v>
      </c>
      <c r="L6" s="28">
        <v>129</v>
      </c>
      <c r="M6" s="29">
        <v>129.1</v>
      </c>
      <c r="N6" s="24">
        <v>142.80000000000001</v>
      </c>
      <c r="O6" s="25">
        <v>142.80000000000001</v>
      </c>
      <c r="P6" s="28">
        <v>144.5</v>
      </c>
      <c r="Q6" s="29">
        <v>144.5</v>
      </c>
      <c r="R6" s="24">
        <v>151</v>
      </c>
      <c r="S6" s="25">
        <v>151.19999999999999</v>
      </c>
      <c r="T6" s="28">
        <v>151.9</v>
      </c>
      <c r="U6" s="29">
        <v>169.5</v>
      </c>
      <c r="V6" s="24">
        <v>185.4</v>
      </c>
      <c r="W6" s="25">
        <v>185.7</v>
      </c>
      <c r="X6" s="28">
        <v>186</v>
      </c>
      <c r="Y6" s="29">
        <v>186.1</v>
      </c>
      <c r="Z6" s="24">
        <v>187.4</v>
      </c>
      <c r="AA6" s="25">
        <v>187.8</v>
      </c>
      <c r="AB6" s="28">
        <v>188.2</v>
      </c>
      <c r="AC6" s="29">
        <v>188.5</v>
      </c>
      <c r="AD6" s="24"/>
      <c r="AE6" s="25"/>
      <c r="AF6" s="28"/>
      <c r="AG6" s="29"/>
      <c r="AH6" s="24"/>
      <c r="AI6" s="25"/>
      <c r="AJ6" s="28"/>
      <c r="AK6" s="29"/>
      <c r="AL6" s="24"/>
      <c r="AM6" s="25"/>
      <c r="AN6" s="28"/>
      <c r="AO6" s="29">
        <v>396.4</v>
      </c>
      <c r="AP6" s="24">
        <v>436.3</v>
      </c>
      <c r="AQ6" s="25">
        <v>437.9</v>
      </c>
      <c r="AR6" s="28">
        <v>439.7</v>
      </c>
      <c r="AS6" s="29">
        <v>441.3</v>
      </c>
      <c r="AT6" s="24">
        <v>505.7</v>
      </c>
      <c r="AU6" s="25">
        <v>507.4</v>
      </c>
      <c r="AV6" s="28">
        <v>490</v>
      </c>
      <c r="AW6" s="29">
        <v>490.8</v>
      </c>
      <c r="AX6" s="24"/>
      <c r="AY6" s="25"/>
      <c r="AZ6" s="28"/>
      <c r="BA6" s="29"/>
      <c r="BB6" s="24">
        <v>537.9</v>
      </c>
      <c r="BC6" s="25">
        <v>539</v>
      </c>
      <c r="BD6" s="28">
        <v>578.70000000000005</v>
      </c>
      <c r="BE6" s="29">
        <v>579.5</v>
      </c>
      <c r="BF6" s="24">
        <v>610.4</v>
      </c>
      <c r="BG6" s="25">
        <v>635.29999999999995</v>
      </c>
      <c r="BH6" s="28">
        <v>661.2</v>
      </c>
      <c r="BI6" s="29">
        <v>700.5</v>
      </c>
      <c r="BJ6" s="24">
        <v>862.2</v>
      </c>
      <c r="BK6" s="58"/>
      <c r="BL6" s="58"/>
      <c r="BM6" s="25"/>
      <c r="BN6" s="93">
        <v>1091.0999999999999</v>
      </c>
      <c r="BO6" s="97">
        <v>1157.7</v>
      </c>
      <c r="BP6" s="88">
        <v>1254.4000000000001</v>
      </c>
      <c r="BQ6" s="89">
        <v>1324.5</v>
      </c>
      <c r="BR6" s="28">
        <v>1334.6</v>
      </c>
      <c r="BS6" s="29">
        <v>1372.9</v>
      </c>
      <c r="BT6" s="12">
        <v>1554.9</v>
      </c>
      <c r="BU6" s="57">
        <v>1748.3</v>
      </c>
      <c r="BV6" s="57">
        <v>1857.3</v>
      </c>
      <c r="BW6" s="13">
        <v>2077.1</v>
      </c>
      <c r="BX6" s="28">
        <v>2040.1</v>
      </c>
      <c r="BY6" s="29">
        <v>2050.8000000000002</v>
      </c>
      <c r="BZ6" s="88">
        <v>2373.8000000000002</v>
      </c>
      <c r="CA6" s="89">
        <v>2496.3000000000002</v>
      </c>
      <c r="CB6" s="28">
        <v>2502.1999999999998</v>
      </c>
      <c r="CC6" s="29">
        <v>2635.2</v>
      </c>
      <c r="CD6" s="24">
        <v>2859.6</v>
      </c>
      <c r="CE6" s="25">
        <v>3028.9</v>
      </c>
      <c r="CF6" s="14">
        <v>3361.4</v>
      </c>
      <c r="CG6" s="15">
        <v>3620.2</v>
      </c>
      <c r="CH6" s="15">
        <v>3781.7</v>
      </c>
      <c r="CI6" s="15">
        <v>4035.2</v>
      </c>
      <c r="CJ6" s="88">
        <v>4448.8999999999996</v>
      </c>
      <c r="CK6" s="92">
        <v>4494.3</v>
      </c>
      <c r="CL6" s="14">
        <v>4646.8999999999996</v>
      </c>
      <c r="CM6" s="15">
        <v>4674.7</v>
      </c>
      <c r="CN6" s="88">
        <v>5280.4</v>
      </c>
      <c r="CO6" s="92">
        <v>5341.5</v>
      </c>
      <c r="CP6" s="14"/>
      <c r="CQ6" s="15"/>
    </row>
    <row r="7" spans="1:95" x14ac:dyDescent="0.55000000000000004">
      <c r="A7" s="7">
        <v>5</v>
      </c>
      <c r="B7" s="24">
        <v>100.7</v>
      </c>
      <c r="C7" s="25">
        <v>101</v>
      </c>
      <c r="D7" s="28">
        <v>101.2</v>
      </c>
      <c r="E7" s="29">
        <v>110.5</v>
      </c>
      <c r="F7" s="24">
        <v>112</v>
      </c>
      <c r="G7" s="25">
        <v>112.3</v>
      </c>
      <c r="H7" s="28">
        <v>125.4</v>
      </c>
      <c r="I7" s="29">
        <v>125.4</v>
      </c>
      <c r="J7" s="24">
        <v>127.6</v>
      </c>
      <c r="K7" s="25">
        <v>127.7</v>
      </c>
      <c r="L7" s="28">
        <v>131.1</v>
      </c>
      <c r="M7" s="29">
        <v>131.19999999999999</v>
      </c>
      <c r="N7" s="24">
        <v>139.5</v>
      </c>
      <c r="O7" s="25">
        <v>139.5</v>
      </c>
      <c r="P7" s="28">
        <v>141.30000000000001</v>
      </c>
      <c r="Q7" s="29">
        <v>141.30000000000001</v>
      </c>
      <c r="R7" s="24">
        <v>149.80000000000001</v>
      </c>
      <c r="S7" s="25">
        <v>150.1</v>
      </c>
      <c r="T7" s="28">
        <v>150.4</v>
      </c>
      <c r="U7" s="29">
        <v>165.5</v>
      </c>
      <c r="V7" s="24">
        <v>180.1</v>
      </c>
      <c r="W7" s="25">
        <v>180.3</v>
      </c>
      <c r="X7" s="28">
        <v>180.6</v>
      </c>
      <c r="Y7" s="29">
        <v>187.4</v>
      </c>
      <c r="Z7" s="24">
        <v>188.6</v>
      </c>
      <c r="AA7" s="25">
        <v>188.8</v>
      </c>
      <c r="AB7" s="28">
        <v>189.3</v>
      </c>
      <c r="AC7" s="29">
        <v>189.6</v>
      </c>
      <c r="AD7" s="24"/>
      <c r="AE7" s="25"/>
      <c r="AF7" s="28"/>
      <c r="AG7" s="29"/>
      <c r="AH7" s="24"/>
      <c r="AI7" s="25"/>
      <c r="AJ7" s="28"/>
      <c r="AK7" s="29"/>
      <c r="AL7" s="24"/>
      <c r="AM7" s="25"/>
      <c r="AN7" s="28"/>
      <c r="AO7" s="29">
        <v>409.8</v>
      </c>
      <c r="AP7" s="24">
        <v>451.2</v>
      </c>
      <c r="AQ7" s="25">
        <v>451.9</v>
      </c>
      <c r="AR7" s="28">
        <v>453.2</v>
      </c>
      <c r="AS7" s="29">
        <v>454.1</v>
      </c>
      <c r="AT7" s="24">
        <v>521.70000000000005</v>
      </c>
      <c r="AU7" s="25">
        <v>522.5</v>
      </c>
      <c r="AV7" s="28">
        <v>502.3</v>
      </c>
      <c r="AW7" s="29">
        <v>502.7</v>
      </c>
      <c r="AX7" s="24"/>
      <c r="AY7" s="25"/>
      <c r="AZ7" s="28"/>
      <c r="BA7" s="29"/>
      <c r="BB7" s="24">
        <v>553.29999999999995</v>
      </c>
      <c r="BC7" s="25">
        <v>553.9</v>
      </c>
      <c r="BD7" s="28">
        <v>556.70000000000005</v>
      </c>
      <c r="BE7" s="29">
        <v>557</v>
      </c>
      <c r="BF7" s="24">
        <v>586.20000000000005</v>
      </c>
      <c r="BG7" s="25">
        <v>612.20000000000005</v>
      </c>
      <c r="BH7" s="28">
        <v>643.20000000000005</v>
      </c>
      <c r="BI7" s="29">
        <v>684.1</v>
      </c>
      <c r="BJ7" s="24">
        <v>886.3</v>
      </c>
      <c r="BK7" s="58"/>
      <c r="BL7" s="58"/>
      <c r="BM7" s="25"/>
      <c r="BN7" s="87">
        <v>1201.4000000000001</v>
      </c>
      <c r="BO7" s="90">
        <v>1329.5</v>
      </c>
      <c r="BP7" s="91">
        <v>1444</v>
      </c>
      <c r="BQ7" s="89">
        <v>1548.5</v>
      </c>
      <c r="BR7" s="28">
        <v>1552.9</v>
      </c>
      <c r="BS7" s="29">
        <v>1593.4</v>
      </c>
      <c r="BT7" s="12">
        <v>1781.4</v>
      </c>
      <c r="BU7" s="57">
        <v>2056.3000000000002</v>
      </c>
      <c r="BV7" s="57">
        <v>2159.4</v>
      </c>
      <c r="BW7" s="13">
        <v>2524.9</v>
      </c>
      <c r="BX7" s="28">
        <v>2452.1</v>
      </c>
      <c r="BY7" s="29">
        <v>2513.3000000000002</v>
      </c>
      <c r="BZ7" s="91">
        <v>2866.3</v>
      </c>
      <c r="CA7" s="89">
        <v>2976.8</v>
      </c>
      <c r="CB7" s="28">
        <v>3143.7</v>
      </c>
      <c r="CC7" s="29">
        <v>3219.6</v>
      </c>
      <c r="CD7" s="24">
        <v>3492.2</v>
      </c>
      <c r="CE7" s="25">
        <v>3718.3</v>
      </c>
      <c r="CF7" s="14">
        <v>4055.4</v>
      </c>
      <c r="CG7" s="15">
        <v>4371.3</v>
      </c>
      <c r="CH7" s="15">
        <v>4580</v>
      </c>
      <c r="CI7" s="15">
        <v>4967.2</v>
      </c>
      <c r="CJ7" s="88">
        <v>5684.4</v>
      </c>
      <c r="CK7" s="92">
        <v>5705</v>
      </c>
      <c r="CL7" s="14">
        <v>5588.5</v>
      </c>
      <c r="CM7" s="15">
        <v>5599.9</v>
      </c>
      <c r="CN7" s="88">
        <v>6323.5</v>
      </c>
      <c r="CO7" s="92">
        <v>6351</v>
      </c>
      <c r="CP7" s="14"/>
      <c r="CQ7" s="15"/>
    </row>
    <row r="8" spans="1:95" x14ac:dyDescent="0.55000000000000004">
      <c r="A8" s="7">
        <v>6</v>
      </c>
      <c r="B8" s="24">
        <v>102.8</v>
      </c>
      <c r="C8" s="25">
        <v>104.2</v>
      </c>
      <c r="D8" s="28">
        <v>104.9</v>
      </c>
      <c r="E8" s="29">
        <v>105.6</v>
      </c>
      <c r="F8" s="24" t="s">
        <v>55</v>
      </c>
      <c r="G8" s="25">
        <v>133.19999999999999</v>
      </c>
      <c r="H8" s="28">
        <v>150.1</v>
      </c>
      <c r="I8" s="29">
        <v>150.1</v>
      </c>
      <c r="J8" s="24">
        <v>156.19999999999999</v>
      </c>
      <c r="K8" s="25">
        <v>156.69999999999999</v>
      </c>
      <c r="L8" s="28">
        <v>185.9</v>
      </c>
      <c r="M8" s="29">
        <v>186.1</v>
      </c>
      <c r="N8" s="24">
        <v>253.4</v>
      </c>
      <c r="O8" s="25">
        <v>253.4</v>
      </c>
      <c r="P8" s="28">
        <v>235.3</v>
      </c>
      <c r="Q8" s="29">
        <v>235.4</v>
      </c>
      <c r="R8" s="24">
        <v>288.5</v>
      </c>
      <c r="S8" s="25">
        <v>289.39999999999998</v>
      </c>
      <c r="T8" s="28">
        <v>290.8</v>
      </c>
      <c r="U8" s="29">
        <v>292</v>
      </c>
      <c r="V8" s="24">
        <v>300.10000000000002</v>
      </c>
      <c r="W8" s="25">
        <v>300.8</v>
      </c>
      <c r="X8" s="28">
        <v>178.4</v>
      </c>
      <c r="Y8" s="29">
        <v>209.3</v>
      </c>
      <c r="Z8" s="24">
        <v>225</v>
      </c>
      <c r="AA8" s="25">
        <v>248.5</v>
      </c>
      <c r="AB8" s="28">
        <v>260.60000000000002</v>
      </c>
      <c r="AC8" s="29">
        <v>282.2</v>
      </c>
      <c r="AD8" s="24"/>
      <c r="AE8" s="25"/>
      <c r="AF8" s="28"/>
      <c r="AG8" s="29"/>
      <c r="AH8" s="24"/>
      <c r="AI8" s="25"/>
      <c r="AJ8" s="28"/>
      <c r="AK8" s="29"/>
      <c r="AL8" s="24"/>
      <c r="AM8" s="25"/>
      <c r="AN8" s="28"/>
      <c r="AO8" s="29">
        <v>803.8</v>
      </c>
      <c r="AP8" s="24">
        <v>888.2</v>
      </c>
      <c r="AQ8" s="25">
        <v>850.3</v>
      </c>
      <c r="AR8" s="28">
        <v>767.5</v>
      </c>
      <c r="AS8" s="29">
        <v>773.2</v>
      </c>
      <c r="AT8" s="24">
        <v>868.4</v>
      </c>
      <c r="AU8" s="25">
        <v>921.6</v>
      </c>
      <c r="AV8" s="28">
        <v>832.6</v>
      </c>
      <c r="AW8" s="29">
        <v>836.1</v>
      </c>
      <c r="AX8" s="24"/>
      <c r="AY8" s="25"/>
      <c r="AZ8" s="28"/>
      <c r="BA8" s="29"/>
      <c r="BB8" s="24">
        <v>776.9</v>
      </c>
      <c r="BC8" s="25">
        <v>779.4</v>
      </c>
      <c r="BD8" s="28">
        <v>866.1</v>
      </c>
      <c r="BE8" s="29">
        <v>906.2</v>
      </c>
      <c r="BF8" s="24">
        <v>998.9</v>
      </c>
      <c r="BG8" s="25">
        <v>1050</v>
      </c>
      <c r="BH8" s="28">
        <v>1091.5999999999999</v>
      </c>
      <c r="BI8" s="29">
        <v>1169.3</v>
      </c>
      <c r="BJ8" s="24">
        <v>1388.9</v>
      </c>
      <c r="BK8" s="58"/>
      <c r="BL8" s="58"/>
      <c r="BM8" s="25"/>
      <c r="BN8" s="93">
        <v>1806</v>
      </c>
      <c r="BO8" s="90">
        <v>1633.4</v>
      </c>
      <c r="BP8" s="91">
        <v>2102.1999999999998</v>
      </c>
      <c r="BQ8" s="92">
        <v>2084.1999999999998</v>
      </c>
      <c r="BR8" s="28">
        <v>2066.3000000000002</v>
      </c>
      <c r="BS8" s="29">
        <v>2142.6</v>
      </c>
      <c r="BT8" s="12">
        <v>2417.8000000000002</v>
      </c>
      <c r="BU8" s="57">
        <v>2997</v>
      </c>
      <c r="BV8" s="57">
        <v>3231.6</v>
      </c>
      <c r="BW8" s="13">
        <v>3529.2</v>
      </c>
      <c r="BX8" s="28">
        <v>3991.8</v>
      </c>
      <c r="BY8" s="29">
        <v>4526.2</v>
      </c>
      <c r="BZ8" s="91">
        <v>4946.8999999999996</v>
      </c>
      <c r="CA8" s="92">
        <v>4956.8</v>
      </c>
      <c r="CB8" s="28">
        <v>5485.9</v>
      </c>
      <c r="CC8" s="29">
        <v>5714.1</v>
      </c>
      <c r="CD8" s="24">
        <v>6135.1</v>
      </c>
      <c r="CE8" s="25">
        <v>6150.6</v>
      </c>
      <c r="CF8" s="14">
        <v>6752.8</v>
      </c>
      <c r="CG8" s="15">
        <v>7161.1</v>
      </c>
      <c r="CH8" s="15">
        <v>8384</v>
      </c>
      <c r="CI8" s="15">
        <v>8749.2000000000007</v>
      </c>
      <c r="CJ8" s="88">
        <v>9033.4</v>
      </c>
      <c r="CK8" s="92">
        <v>9006.2999999999993</v>
      </c>
      <c r="CL8" s="14">
        <v>9382.7000000000007</v>
      </c>
      <c r="CM8" s="15">
        <v>10038.200000000001</v>
      </c>
      <c r="CN8" s="88">
        <v>11925.1</v>
      </c>
      <c r="CO8" s="92">
        <v>12028.3</v>
      </c>
      <c r="CP8" s="14"/>
      <c r="CQ8" s="15"/>
    </row>
    <row r="9" spans="1:95" x14ac:dyDescent="0.55000000000000004">
      <c r="A9" s="7">
        <v>7</v>
      </c>
      <c r="B9" s="24">
        <v>100.3</v>
      </c>
      <c r="C9" s="25">
        <v>100.5</v>
      </c>
      <c r="D9" s="28">
        <v>100.5</v>
      </c>
      <c r="E9" s="29">
        <v>100.7</v>
      </c>
      <c r="F9" s="24">
        <v>124.4</v>
      </c>
      <c r="G9" s="25">
        <v>124.6</v>
      </c>
      <c r="H9" s="28">
        <v>142.69999999999999</v>
      </c>
      <c r="I9" s="29">
        <v>142.69999999999999</v>
      </c>
      <c r="J9" s="24">
        <v>145.6</v>
      </c>
      <c r="K9" s="25">
        <v>145.69999999999999</v>
      </c>
      <c r="L9" s="28">
        <v>180.4</v>
      </c>
      <c r="M9" s="29">
        <v>180.4</v>
      </c>
      <c r="N9" s="24">
        <v>279.10000000000002</v>
      </c>
      <c r="O9" s="25">
        <v>279.10000000000002</v>
      </c>
      <c r="P9" s="28">
        <v>242.1</v>
      </c>
      <c r="Q9" s="29">
        <v>242.1</v>
      </c>
      <c r="R9" s="24">
        <v>309.8</v>
      </c>
      <c r="S9" s="25">
        <v>309.89999999999998</v>
      </c>
      <c r="T9" s="28">
        <v>310.2</v>
      </c>
      <c r="U9" s="29">
        <v>314.7</v>
      </c>
      <c r="V9" s="24">
        <v>319.7</v>
      </c>
      <c r="W9" s="25">
        <v>319.8</v>
      </c>
      <c r="X9" s="28">
        <v>160.19999999999999</v>
      </c>
      <c r="Y9" s="29">
        <v>183.6</v>
      </c>
      <c r="Z9" s="24">
        <v>212.4</v>
      </c>
      <c r="AA9" s="25">
        <v>256.8</v>
      </c>
      <c r="AB9" s="28">
        <v>286.39999999999998</v>
      </c>
      <c r="AC9" s="29">
        <v>310.3</v>
      </c>
      <c r="AD9" s="24"/>
      <c r="AE9" s="25"/>
      <c r="AF9" s="28"/>
      <c r="AG9" s="29"/>
      <c r="AH9" s="24"/>
      <c r="AI9" s="25"/>
      <c r="AJ9" s="28"/>
      <c r="AK9" s="29"/>
      <c r="AL9" s="24"/>
      <c r="AM9" s="25"/>
      <c r="AN9" s="28"/>
      <c r="AO9" s="29">
        <v>866</v>
      </c>
      <c r="AP9" s="24">
        <v>860</v>
      </c>
      <c r="AQ9" s="25">
        <v>791.1</v>
      </c>
      <c r="AR9" s="28">
        <v>756.2</v>
      </c>
      <c r="AS9" s="29">
        <v>775.6</v>
      </c>
      <c r="AT9" s="24">
        <v>798.7</v>
      </c>
      <c r="AU9" s="25">
        <v>865.1</v>
      </c>
      <c r="AV9" s="28">
        <v>868.1</v>
      </c>
      <c r="AW9" s="29">
        <v>868.5</v>
      </c>
      <c r="AX9" s="24"/>
      <c r="AY9" s="25"/>
      <c r="AZ9" s="28"/>
      <c r="BA9" s="29"/>
      <c r="BB9" s="24">
        <v>740.4</v>
      </c>
      <c r="BC9" s="25">
        <v>740.9</v>
      </c>
      <c r="BD9" s="28">
        <v>845.5</v>
      </c>
      <c r="BE9" s="29">
        <v>896</v>
      </c>
      <c r="BF9" s="24">
        <v>1009.5</v>
      </c>
      <c r="BG9" s="25">
        <v>1030.8</v>
      </c>
      <c r="BH9" s="28">
        <v>1108.2</v>
      </c>
      <c r="BI9" s="29">
        <v>1218.3</v>
      </c>
      <c r="BJ9" s="24">
        <v>1459.9</v>
      </c>
      <c r="BK9" s="58"/>
      <c r="BL9" s="58"/>
      <c r="BM9" s="25"/>
      <c r="BN9" s="93">
        <v>2313</v>
      </c>
      <c r="BO9" s="90">
        <v>2058.6</v>
      </c>
      <c r="BP9" s="91">
        <v>2568</v>
      </c>
      <c r="BQ9" s="89">
        <v>2504.6</v>
      </c>
      <c r="BR9" s="28">
        <v>2480.9</v>
      </c>
      <c r="BS9" s="29">
        <v>2590.8000000000002</v>
      </c>
      <c r="BT9" s="12">
        <v>2853.4</v>
      </c>
      <c r="BU9" s="57">
        <v>3690.8</v>
      </c>
      <c r="BV9" s="57">
        <v>4041.5</v>
      </c>
      <c r="BW9" s="13">
        <v>4545.5</v>
      </c>
      <c r="BX9" s="28">
        <v>6138.6</v>
      </c>
      <c r="BY9" s="29">
        <v>6841</v>
      </c>
      <c r="BZ9" s="91">
        <v>7216</v>
      </c>
      <c r="CA9" s="89">
        <v>7227</v>
      </c>
      <c r="CB9" s="28">
        <v>7898.9</v>
      </c>
      <c r="CC9" s="29">
        <v>8505.4</v>
      </c>
      <c r="CD9" s="24">
        <v>8719.7000000000007</v>
      </c>
      <c r="CE9" s="25">
        <v>8773.4</v>
      </c>
      <c r="CF9" s="14">
        <v>9868.4</v>
      </c>
      <c r="CG9" s="15">
        <v>10109.9</v>
      </c>
      <c r="CH9" s="15">
        <v>12372.6</v>
      </c>
      <c r="CI9" s="15">
        <v>12481.5</v>
      </c>
      <c r="CJ9" s="88">
        <v>12297.7</v>
      </c>
      <c r="CK9" s="92">
        <v>12145.4</v>
      </c>
      <c r="CL9" s="14">
        <v>12811.7</v>
      </c>
      <c r="CM9" s="15">
        <v>13798</v>
      </c>
      <c r="CN9" s="88">
        <v>16391.8</v>
      </c>
      <c r="CO9" s="92">
        <v>16412</v>
      </c>
      <c r="CP9" s="14"/>
      <c r="CQ9" s="15"/>
    </row>
    <row r="10" spans="1:95" x14ac:dyDescent="0.55000000000000004">
      <c r="A10" s="7">
        <v>8</v>
      </c>
      <c r="B10" s="24">
        <v>106.2</v>
      </c>
      <c r="C10" s="25">
        <v>109.4</v>
      </c>
      <c r="D10" s="28">
        <v>110.9</v>
      </c>
      <c r="E10" s="29">
        <v>115.2</v>
      </c>
      <c r="F10" s="24">
        <v>130.4</v>
      </c>
      <c r="G10" s="25">
        <v>133.19999999999999</v>
      </c>
      <c r="H10" s="28">
        <v>135</v>
      </c>
      <c r="I10" s="29">
        <v>135</v>
      </c>
      <c r="J10" s="24">
        <v>143.1</v>
      </c>
      <c r="K10" s="25">
        <v>144.1</v>
      </c>
      <c r="L10" s="28">
        <v>160.80000000000001</v>
      </c>
      <c r="M10" s="29">
        <v>161.30000000000001</v>
      </c>
      <c r="N10" s="24">
        <v>197</v>
      </c>
      <c r="O10" s="25">
        <v>198.2</v>
      </c>
      <c r="P10" s="28">
        <v>192.1</v>
      </c>
      <c r="Q10" s="29">
        <v>192.4</v>
      </c>
      <c r="R10" s="24">
        <v>210.4</v>
      </c>
      <c r="S10" s="25">
        <v>212.4</v>
      </c>
      <c r="T10" s="28">
        <v>215.5</v>
      </c>
      <c r="U10" s="29">
        <v>230.7</v>
      </c>
      <c r="V10" s="24">
        <v>254.3</v>
      </c>
      <c r="W10" s="25">
        <v>255.9</v>
      </c>
      <c r="X10" s="28">
        <v>251.8</v>
      </c>
      <c r="Y10" s="29">
        <v>252.8</v>
      </c>
      <c r="Z10" s="24">
        <v>271.10000000000002</v>
      </c>
      <c r="AA10" s="25">
        <v>286</v>
      </c>
      <c r="AB10" s="28">
        <v>2976.7</v>
      </c>
      <c r="AC10" s="29">
        <v>306.60000000000002</v>
      </c>
      <c r="AD10" s="24"/>
      <c r="AE10" s="25"/>
      <c r="AF10" s="28"/>
      <c r="AG10" s="29"/>
      <c r="AH10" s="24"/>
      <c r="AI10" s="25"/>
      <c r="AJ10" s="28"/>
      <c r="AK10" s="29"/>
      <c r="AL10" s="24"/>
      <c r="AM10" s="25"/>
      <c r="AN10" s="28"/>
      <c r="AO10" s="29">
        <v>593.4</v>
      </c>
      <c r="AP10" s="24">
        <v>651.1</v>
      </c>
      <c r="AQ10" s="25">
        <v>658.5</v>
      </c>
      <c r="AR10" s="28">
        <v>635.29999999999995</v>
      </c>
      <c r="AS10" s="29">
        <v>649.4</v>
      </c>
      <c r="AT10" s="24">
        <v>735.9</v>
      </c>
      <c r="AU10" s="25">
        <v>745.1</v>
      </c>
      <c r="AV10" s="28">
        <v>754.6</v>
      </c>
      <c r="AW10" s="29">
        <v>762.8</v>
      </c>
      <c r="AX10" s="24"/>
      <c r="AY10" s="25"/>
      <c r="AZ10" s="28"/>
      <c r="BA10" s="29"/>
      <c r="BB10" s="24">
        <v>862.4</v>
      </c>
      <c r="BC10" s="25">
        <v>868.9</v>
      </c>
      <c r="BD10" s="28">
        <v>914.8</v>
      </c>
      <c r="BE10" s="29">
        <v>920.7</v>
      </c>
      <c r="BF10" s="24">
        <v>1034.2</v>
      </c>
      <c r="BG10" s="25">
        <v>1042.0999999999999</v>
      </c>
      <c r="BH10" s="28">
        <v>1041.8</v>
      </c>
      <c r="BI10" s="29">
        <v>1055.5999999999999</v>
      </c>
      <c r="BJ10" s="24">
        <v>1202.8</v>
      </c>
      <c r="BK10" s="58"/>
      <c r="BL10" s="58"/>
      <c r="BM10" s="25"/>
      <c r="BN10" s="93">
        <v>1409.7</v>
      </c>
      <c r="BO10" s="97">
        <v>1428.3</v>
      </c>
      <c r="BP10" s="88">
        <v>1817.6</v>
      </c>
      <c r="BQ10" s="92">
        <v>1865.2</v>
      </c>
      <c r="BR10" s="28">
        <v>1812.1</v>
      </c>
      <c r="BS10" s="29">
        <v>1876.5</v>
      </c>
      <c r="BT10" s="12">
        <v>2268.6999999999998</v>
      </c>
      <c r="BU10" s="57">
        <v>2525.6999999999998</v>
      </c>
      <c r="BV10" s="57">
        <v>2613.4</v>
      </c>
      <c r="BW10" s="13">
        <v>2690</v>
      </c>
      <c r="BX10" s="28">
        <v>3255.2</v>
      </c>
      <c r="BY10" s="29">
        <v>3385.8</v>
      </c>
      <c r="BZ10" s="88">
        <v>4025.1</v>
      </c>
      <c r="CA10" s="92">
        <v>4155.6000000000004</v>
      </c>
      <c r="CB10" s="28">
        <v>4413.8999999999996</v>
      </c>
      <c r="CC10" s="29">
        <v>4485.1000000000004</v>
      </c>
      <c r="CD10" s="24">
        <v>5416.2</v>
      </c>
      <c r="CE10" s="25">
        <v>5489.7</v>
      </c>
      <c r="CF10" s="14">
        <v>5784.8</v>
      </c>
      <c r="CG10" s="15">
        <v>6110.5</v>
      </c>
      <c r="CH10" s="15">
        <v>6249</v>
      </c>
      <c r="CI10" s="15">
        <v>6441.7</v>
      </c>
      <c r="CJ10" s="88">
        <v>7276.3</v>
      </c>
      <c r="CK10" s="92">
        <v>7396</v>
      </c>
      <c r="CL10" s="14">
        <v>8010.9</v>
      </c>
      <c r="CM10" s="15">
        <v>8347.6</v>
      </c>
      <c r="CN10" s="88">
        <v>10636.8</v>
      </c>
      <c r="CO10" s="92">
        <v>10716</v>
      </c>
      <c r="CP10" s="14"/>
      <c r="CQ10" s="15"/>
    </row>
    <row r="11" spans="1:95" x14ac:dyDescent="0.55000000000000004">
      <c r="A11" s="7">
        <v>9</v>
      </c>
      <c r="B11" s="24">
        <v>100.4</v>
      </c>
      <c r="C11" s="25">
        <v>100.7</v>
      </c>
      <c r="D11" s="28">
        <v>100.8</v>
      </c>
      <c r="E11" s="29">
        <v>100.9</v>
      </c>
      <c r="F11" s="24">
        <v>101.7</v>
      </c>
      <c r="G11" s="25">
        <v>101.9</v>
      </c>
      <c r="H11" s="28">
        <v>129.30000000000001</v>
      </c>
      <c r="I11" s="29">
        <v>129.30000000000001</v>
      </c>
      <c r="J11" s="24">
        <v>132.30000000000001</v>
      </c>
      <c r="K11" s="25">
        <v>132.4</v>
      </c>
      <c r="L11" s="28">
        <v>151.30000000000001</v>
      </c>
      <c r="M11" s="29">
        <v>151.30000000000001</v>
      </c>
      <c r="N11" s="24">
        <v>191.9</v>
      </c>
      <c r="O11" s="25">
        <v>191.9</v>
      </c>
      <c r="P11" s="28">
        <v>173.5</v>
      </c>
      <c r="Q11" s="29">
        <v>173.5</v>
      </c>
      <c r="R11" s="24">
        <v>192.5</v>
      </c>
      <c r="S11" s="25">
        <v>192.6</v>
      </c>
      <c r="T11" s="28">
        <v>192.9</v>
      </c>
      <c r="U11" s="29">
        <v>204.5</v>
      </c>
      <c r="V11" s="24">
        <v>215.7</v>
      </c>
      <c r="W11" s="25">
        <v>215.8</v>
      </c>
      <c r="X11" s="28">
        <v>137.5</v>
      </c>
      <c r="Y11" s="29">
        <v>148.1</v>
      </c>
      <c r="Z11" s="24">
        <v>164.1</v>
      </c>
      <c r="AA11" s="25">
        <v>192.8</v>
      </c>
      <c r="AB11" s="28">
        <v>214.5</v>
      </c>
      <c r="AC11" s="29">
        <v>231.3</v>
      </c>
      <c r="AD11" s="24"/>
      <c r="AE11" s="25"/>
      <c r="AF11" s="28"/>
      <c r="AG11" s="29"/>
      <c r="AH11" s="24"/>
      <c r="AI11" s="25"/>
      <c r="AJ11" s="28"/>
      <c r="AK11" s="29"/>
      <c r="AL11" s="24"/>
      <c r="AM11" s="25"/>
      <c r="AN11" s="28"/>
      <c r="AO11" s="29">
        <v>574.1</v>
      </c>
      <c r="AP11" s="24">
        <v>563.9</v>
      </c>
      <c r="AQ11" s="25">
        <v>527.6</v>
      </c>
      <c r="AR11" s="28">
        <v>570.20000000000005</v>
      </c>
      <c r="AS11" s="29">
        <v>571.79999999999995</v>
      </c>
      <c r="AT11" s="24">
        <v>585.20000000000005</v>
      </c>
      <c r="AU11" s="25">
        <v>586.29999999999995</v>
      </c>
      <c r="AV11" s="28">
        <v>634</v>
      </c>
      <c r="AW11" s="29">
        <v>635</v>
      </c>
      <c r="AX11" s="24"/>
      <c r="AY11" s="25"/>
      <c r="AZ11" s="28"/>
      <c r="BA11" s="29"/>
      <c r="BB11" s="24">
        <v>544.4</v>
      </c>
      <c r="BC11" s="25">
        <v>545.20000000000005</v>
      </c>
      <c r="BD11" s="28">
        <v>622.1</v>
      </c>
      <c r="BE11" s="29">
        <v>657.4</v>
      </c>
      <c r="BF11" s="24">
        <v>699</v>
      </c>
      <c r="BG11" s="25">
        <v>734.3</v>
      </c>
      <c r="BH11" s="28">
        <v>809.8</v>
      </c>
      <c r="BI11" s="29">
        <v>879</v>
      </c>
      <c r="BJ11" s="24">
        <v>1187.2</v>
      </c>
      <c r="BK11" s="58"/>
      <c r="BL11" s="58"/>
      <c r="BM11" s="25"/>
      <c r="BN11" s="87">
        <v>1498.6</v>
      </c>
      <c r="BO11" s="97">
        <v>1338.7</v>
      </c>
      <c r="BP11" s="91">
        <v>1614.9</v>
      </c>
      <c r="BQ11" s="92">
        <v>1569.3</v>
      </c>
      <c r="BR11" s="28">
        <v>1597.6</v>
      </c>
      <c r="BS11" s="29">
        <v>1734.5</v>
      </c>
      <c r="BT11" s="12">
        <v>1868.3</v>
      </c>
      <c r="BU11" s="57">
        <v>2425.6</v>
      </c>
      <c r="BV11" s="57">
        <v>2708.1</v>
      </c>
      <c r="BW11" s="13">
        <v>2923.7</v>
      </c>
      <c r="BX11" s="28">
        <v>3573.9</v>
      </c>
      <c r="BY11" s="29">
        <v>3872.4</v>
      </c>
      <c r="BZ11" s="91">
        <v>4160.1000000000004</v>
      </c>
      <c r="CA11" s="92">
        <v>4363.2</v>
      </c>
      <c r="CB11" s="28">
        <v>4724.5</v>
      </c>
      <c r="CC11" s="29">
        <v>4835.6000000000004</v>
      </c>
      <c r="CD11" s="24">
        <v>5165.3</v>
      </c>
      <c r="CE11" s="25">
        <v>5031.3</v>
      </c>
      <c r="CF11" s="14">
        <v>5541.6</v>
      </c>
      <c r="CG11" s="15">
        <v>6424.4</v>
      </c>
      <c r="CH11" s="15">
        <v>7597.9</v>
      </c>
      <c r="CI11" s="15">
        <v>8049.3</v>
      </c>
      <c r="CJ11" s="88">
        <v>8083.7</v>
      </c>
      <c r="CK11" s="92">
        <v>8104.6</v>
      </c>
      <c r="CL11" s="14">
        <v>8881.1</v>
      </c>
      <c r="CM11" s="15">
        <v>9580</v>
      </c>
      <c r="CN11" s="88">
        <v>11826.9</v>
      </c>
      <c r="CO11" s="92">
        <v>12042.9</v>
      </c>
      <c r="CP11" s="14"/>
      <c r="CQ11" s="15"/>
    </row>
    <row r="12" spans="1:95" x14ac:dyDescent="0.55000000000000004">
      <c r="A12" s="7">
        <v>10</v>
      </c>
      <c r="B12" s="24">
        <v>101.9</v>
      </c>
      <c r="C12" s="25">
        <v>102.9</v>
      </c>
      <c r="D12" s="28">
        <v>103.4</v>
      </c>
      <c r="E12" s="29">
        <v>103.9</v>
      </c>
      <c r="F12" s="24">
        <v>111.3</v>
      </c>
      <c r="G12" s="25">
        <v>112.2</v>
      </c>
      <c r="H12" s="28">
        <v>113.1</v>
      </c>
      <c r="I12" s="29">
        <v>113.1</v>
      </c>
      <c r="J12" s="24">
        <v>114.7</v>
      </c>
      <c r="K12" s="25">
        <v>115.1</v>
      </c>
      <c r="L12" s="28">
        <v>115.6</v>
      </c>
      <c r="M12" s="29">
        <v>115.7</v>
      </c>
      <c r="N12" s="24">
        <v>126.3</v>
      </c>
      <c r="O12" s="25">
        <v>126.3</v>
      </c>
      <c r="P12" s="28">
        <v>128.30000000000001</v>
      </c>
      <c r="Q12" s="29">
        <v>128.30000000000001</v>
      </c>
      <c r="R12" s="24">
        <v>135.80000000000001</v>
      </c>
      <c r="S12" s="25">
        <v>136.4</v>
      </c>
      <c r="T12" s="28">
        <v>137.4</v>
      </c>
      <c r="U12" s="29">
        <v>146.6</v>
      </c>
      <c r="V12" s="24">
        <v>152.1</v>
      </c>
      <c r="W12" s="25">
        <v>152.5</v>
      </c>
      <c r="X12" s="28">
        <v>153.9</v>
      </c>
      <c r="Y12" s="29">
        <v>154.30000000000001</v>
      </c>
      <c r="Z12" s="24">
        <v>158.6</v>
      </c>
      <c r="AA12" s="25">
        <v>159.1</v>
      </c>
      <c r="AB12" s="28">
        <v>160.69999999999999</v>
      </c>
      <c r="AC12" s="29">
        <v>161.80000000000001</v>
      </c>
      <c r="AD12" s="24"/>
      <c r="AE12" s="25"/>
      <c r="AF12" s="28"/>
      <c r="AG12" s="29"/>
      <c r="AH12" s="24"/>
      <c r="AI12" s="25"/>
      <c r="AJ12" s="28"/>
      <c r="AK12" s="29"/>
      <c r="AL12" s="24"/>
      <c r="AM12" s="25"/>
      <c r="AN12" s="28"/>
      <c r="AO12" s="29">
        <v>251.7</v>
      </c>
      <c r="AP12" s="24">
        <v>281.3</v>
      </c>
      <c r="AQ12" s="25">
        <v>324.5</v>
      </c>
      <c r="AR12" s="28">
        <v>331.3</v>
      </c>
      <c r="AS12" s="29">
        <v>337.5</v>
      </c>
      <c r="AT12" s="24">
        <v>365</v>
      </c>
      <c r="AU12" s="25">
        <v>368.8</v>
      </c>
      <c r="AV12" s="28">
        <v>385.9</v>
      </c>
      <c r="AW12" s="29">
        <v>389.6</v>
      </c>
      <c r="AX12" s="24"/>
      <c r="AY12" s="25"/>
      <c r="AZ12" s="28"/>
      <c r="BA12" s="29"/>
      <c r="BB12" s="24">
        <v>418.2</v>
      </c>
      <c r="BC12" s="25">
        <v>420.9</v>
      </c>
      <c r="BD12" s="28">
        <v>458.3</v>
      </c>
      <c r="BE12" s="29">
        <v>460.9</v>
      </c>
      <c r="BF12" s="24">
        <v>502.6</v>
      </c>
      <c r="BG12" s="25">
        <v>505.8</v>
      </c>
      <c r="BH12" s="28">
        <v>526.29999999999995</v>
      </c>
      <c r="BI12" s="29">
        <v>534.20000000000005</v>
      </c>
      <c r="BJ12" s="24">
        <v>606.4</v>
      </c>
      <c r="BK12" s="58"/>
      <c r="BL12" s="58"/>
      <c r="BM12" s="25"/>
      <c r="BN12" s="93">
        <v>909.8</v>
      </c>
      <c r="BO12" s="97">
        <v>917.1</v>
      </c>
      <c r="BP12" s="91">
        <v>1204.7</v>
      </c>
      <c r="BQ12" s="92">
        <v>1225.0999999999999</v>
      </c>
      <c r="BR12" s="28">
        <v>1113.9000000000001</v>
      </c>
      <c r="BS12" s="29">
        <v>1122.4000000000001</v>
      </c>
      <c r="BT12" s="12">
        <v>1340.4</v>
      </c>
      <c r="BU12" s="57">
        <v>1518.5</v>
      </c>
      <c r="BV12" s="57">
        <v>1596.5</v>
      </c>
      <c r="BW12" s="13">
        <v>1660.3</v>
      </c>
      <c r="BX12" s="28">
        <v>1549.2</v>
      </c>
      <c r="BY12" s="29">
        <v>1596.7</v>
      </c>
      <c r="BZ12" s="91">
        <v>1875.7</v>
      </c>
      <c r="CA12" s="92">
        <v>1927.5</v>
      </c>
      <c r="CB12" s="28">
        <v>2063.4</v>
      </c>
      <c r="CC12" s="29">
        <v>2097.6999999999998</v>
      </c>
      <c r="CD12" s="24">
        <v>2615.9</v>
      </c>
      <c r="CE12" s="25">
        <v>2708.3</v>
      </c>
      <c r="CF12" s="14">
        <v>2720.9</v>
      </c>
      <c r="CG12" s="15">
        <v>2842.6</v>
      </c>
      <c r="CH12" s="15">
        <v>2862.4</v>
      </c>
      <c r="CI12" s="15">
        <v>3056.3</v>
      </c>
      <c r="CJ12" s="88">
        <v>3588</v>
      </c>
      <c r="CK12" s="92">
        <v>3642.7</v>
      </c>
      <c r="CL12" s="14">
        <v>3885.4</v>
      </c>
      <c r="CM12" s="15">
        <v>3940.4</v>
      </c>
      <c r="CN12" s="88">
        <v>4676.3999999999996</v>
      </c>
      <c r="CO12" s="92">
        <v>4909.8999999999996</v>
      </c>
      <c r="CP12" s="14"/>
      <c r="CQ12" s="15"/>
    </row>
    <row r="13" spans="1:95" x14ac:dyDescent="0.55000000000000004">
      <c r="A13" s="7">
        <v>11</v>
      </c>
      <c r="B13" s="24">
        <v>107.3</v>
      </c>
      <c r="C13" s="25">
        <v>109.9</v>
      </c>
      <c r="D13" s="28">
        <v>111.1</v>
      </c>
      <c r="E13" s="29">
        <v>113.1</v>
      </c>
      <c r="F13" s="24" t="s">
        <v>56</v>
      </c>
      <c r="G13" s="25">
        <v>132.1</v>
      </c>
      <c r="H13" s="28">
        <v>133.6</v>
      </c>
      <c r="I13" s="29">
        <v>133.6</v>
      </c>
      <c r="J13" s="24">
        <v>137.80000000000001</v>
      </c>
      <c r="K13" s="25">
        <v>138.69999999999999</v>
      </c>
      <c r="L13" s="28">
        <v>145.80000000000001</v>
      </c>
      <c r="M13" s="29">
        <v>146.19999999999999</v>
      </c>
      <c r="N13" s="24">
        <v>175.8</v>
      </c>
      <c r="O13" s="25">
        <v>176.7</v>
      </c>
      <c r="P13" s="28">
        <v>179.9</v>
      </c>
      <c r="Q13" s="29">
        <v>180.1</v>
      </c>
      <c r="R13" s="24">
        <v>195.6</v>
      </c>
      <c r="S13" s="25">
        <v>197.1</v>
      </c>
      <c r="T13" s="28">
        <v>199.7</v>
      </c>
      <c r="U13" s="29">
        <v>202</v>
      </c>
      <c r="V13" s="24">
        <v>235.9</v>
      </c>
      <c r="W13" s="25">
        <v>237.1</v>
      </c>
      <c r="X13" s="28">
        <v>240.7</v>
      </c>
      <c r="Y13" s="29">
        <v>241.9</v>
      </c>
      <c r="Z13" s="24">
        <v>253.2</v>
      </c>
      <c r="AA13" s="25">
        <v>254.6</v>
      </c>
      <c r="AB13" s="28">
        <v>258.8</v>
      </c>
      <c r="AC13" s="29">
        <v>261.7</v>
      </c>
      <c r="AD13" s="24"/>
      <c r="AE13" s="25"/>
      <c r="AF13" s="28"/>
      <c r="AG13" s="29"/>
      <c r="AH13" s="24"/>
      <c r="AI13" s="25"/>
      <c r="AJ13" s="28"/>
      <c r="AK13" s="29"/>
      <c r="AL13" s="24"/>
      <c r="AM13" s="25"/>
      <c r="AN13" s="28"/>
      <c r="AO13" s="29">
        <v>436.7</v>
      </c>
      <c r="AP13" s="24">
        <v>472.9</v>
      </c>
      <c r="AQ13" s="25">
        <v>477</v>
      </c>
      <c r="AR13" s="28">
        <v>479.3</v>
      </c>
      <c r="AS13" s="29">
        <v>493.8</v>
      </c>
      <c r="AT13" s="24">
        <v>535.1</v>
      </c>
      <c r="AU13" s="25">
        <v>540.20000000000005</v>
      </c>
      <c r="AV13" s="28">
        <v>544.29999999999995</v>
      </c>
      <c r="AW13" s="29">
        <v>549.29999999999995</v>
      </c>
      <c r="AX13" s="24"/>
      <c r="AY13" s="25"/>
      <c r="AZ13" s="28"/>
      <c r="BA13" s="29"/>
      <c r="BB13" s="24">
        <v>629.70000000000005</v>
      </c>
      <c r="BC13" s="25">
        <v>633.20000000000005</v>
      </c>
      <c r="BD13" s="28">
        <v>636.79999999999995</v>
      </c>
      <c r="BE13" s="29">
        <v>640.29999999999995</v>
      </c>
      <c r="BF13" s="24">
        <v>735.9</v>
      </c>
      <c r="BG13" s="25">
        <v>739.9</v>
      </c>
      <c r="BH13" s="28">
        <v>758.1</v>
      </c>
      <c r="BI13" s="29">
        <v>762.6</v>
      </c>
      <c r="BJ13" s="24">
        <v>1029.0999999999999</v>
      </c>
      <c r="BK13" s="58"/>
      <c r="BL13" s="58"/>
      <c r="BM13" s="25"/>
      <c r="BN13" s="87">
        <v>1228.4000000000001</v>
      </c>
      <c r="BO13" s="90">
        <v>1237.5999999999999</v>
      </c>
      <c r="BP13" s="88">
        <v>1489.5</v>
      </c>
      <c r="BQ13" s="89">
        <v>1516.6</v>
      </c>
      <c r="BR13" s="28">
        <v>1578.8</v>
      </c>
      <c r="BS13" s="29">
        <v>1608.9</v>
      </c>
      <c r="BT13" s="12">
        <v>1826.8</v>
      </c>
      <c r="BU13" s="57">
        <v>2059.8000000000002</v>
      </c>
      <c r="BV13" s="57">
        <v>2201.5</v>
      </c>
      <c r="BW13" s="13">
        <v>2335.1</v>
      </c>
      <c r="BX13" s="28">
        <v>2382.4</v>
      </c>
      <c r="BY13" s="29">
        <v>2741.2</v>
      </c>
      <c r="BZ13" s="88">
        <v>3236.9</v>
      </c>
      <c r="CA13" s="89">
        <v>3336</v>
      </c>
      <c r="CB13" s="28">
        <v>3488</v>
      </c>
      <c r="CC13" s="29">
        <v>3506.2</v>
      </c>
      <c r="CD13" s="24">
        <v>4121.1000000000004</v>
      </c>
      <c r="CE13" s="25">
        <v>4158.3</v>
      </c>
      <c r="CF13" s="14">
        <v>4454.8999999999996</v>
      </c>
      <c r="CG13" s="15">
        <v>4765.6000000000004</v>
      </c>
      <c r="CH13" s="15">
        <v>4774.6000000000004</v>
      </c>
      <c r="CI13" s="15">
        <v>4875.3</v>
      </c>
      <c r="CJ13" s="88">
        <v>5911.7</v>
      </c>
      <c r="CK13" s="92">
        <v>5999.9</v>
      </c>
      <c r="CL13" s="14">
        <v>6310.9</v>
      </c>
      <c r="CM13" s="15">
        <v>6417.4</v>
      </c>
      <c r="CN13" s="88">
        <v>7904.5</v>
      </c>
      <c r="CO13" s="92">
        <v>8048.7</v>
      </c>
      <c r="CP13" s="14"/>
      <c r="CQ13" s="15"/>
    </row>
    <row r="14" spans="1:95" x14ac:dyDescent="0.55000000000000004">
      <c r="A14" s="7">
        <v>12</v>
      </c>
      <c r="B14" s="24">
        <v>109.3</v>
      </c>
      <c r="C14" s="25">
        <v>111.1</v>
      </c>
      <c r="D14" s="28">
        <v>112</v>
      </c>
      <c r="E14" s="29">
        <v>118.2</v>
      </c>
      <c r="F14" s="24">
        <v>128.30000000000001</v>
      </c>
      <c r="G14" s="25">
        <v>129.9</v>
      </c>
      <c r="H14" s="28">
        <v>132.1</v>
      </c>
      <c r="I14" s="29">
        <v>132.1</v>
      </c>
      <c r="J14" s="24">
        <v>135.1</v>
      </c>
      <c r="K14" s="25">
        <v>135.69999999999999</v>
      </c>
      <c r="L14" s="28">
        <v>136.69999999999999</v>
      </c>
      <c r="M14" s="29">
        <v>137.1</v>
      </c>
      <c r="N14" s="24">
        <v>142.19999999999999</v>
      </c>
      <c r="O14" s="25">
        <v>150.6</v>
      </c>
      <c r="P14" s="28">
        <v>152.80000000000001</v>
      </c>
      <c r="Q14" s="29">
        <v>153</v>
      </c>
      <c r="R14" s="24">
        <v>171</v>
      </c>
      <c r="S14" s="25">
        <v>172.1</v>
      </c>
      <c r="T14" s="28">
        <v>174</v>
      </c>
      <c r="U14" s="29">
        <v>185.2</v>
      </c>
      <c r="V14" s="24">
        <v>219.3</v>
      </c>
      <c r="W14" s="25">
        <v>220.2</v>
      </c>
      <c r="X14" s="28">
        <v>234.4</v>
      </c>
      <c r="Y14" s="29">
        <v>227.3</v>
      </c>
      <c r="Z14" s="24">
        <v>235.3</v>
      </c>
      <c r="AA14" s="25">
        <v>236.3</v>
      </c>
      <c r="AB14" s="28">
        <v>250.6</v>
      </c>
      <c r="AC14" s="29">
        <v>252.6</v>
      </c>
      <c r="AD14" s="24"/>
      <c r="AE14" s="25"/>
      <c r="AF14" s="28"/>
      <c r="AG14" s="29"/>
      <c r="AH14" s="24"/>
      <c r="AI14" s="25"/>
      <c r="AJ14" s="28"/>
      <c r="AK14" s="29"/>
      <c r="AL14" s="24"/>
      <c r="AM14" s="25"/>
      <c r="AN14" s="28"/>
      <c r="AO14" s="29">
        <v>494.4</v>
      </c>
      <c r="AP14" s="24">
        <v>524.9</v>
      </c>
      <c r="AQ14" s="25">
        <v>528.1</v>
      </c>
      <c r="AR14" s="28">
        <v>535.1</v>
      </c>
      <c r="AS14" s="29">
        <v>541.4</v>
      </c>
      <c r="AT14" s="24">
        <v>584.9</v>
      </c>
      <c r="AU14" s="25">
        <v>564.6</v>
      </c>
      <c r="AV14" s="28">
        <v>560.1</v>
      </c>
      <c r="AW14" s="29">
        <v>563.79999999999995</v>
      </c>
      <c r="AX14" s="24"/>
      <c r="AY14" s="25"/>
      <c r="AZ14" s="28"/>
      <c r="BA14" s="29"/>
      <c r="BB14" s="24">
        <v>614.29999999999995</v>
      </c>
      <c r="BC14" s="25">
        <v>617</v>
      </c>
      <c r="BD14" s="28">
        <v>671.4</v>
      </c>
      <c r="BE14" s="29">
        <v>697.7</v>
      </c>
      <c r="BF14" s="24">
        <v>736.6</v>
      </c>
      <c r="BG14" s="25">
        <v>775.1</v>
      </c>
      <c r="BH14" s="28">
        <v>795.1</v>
      </c>
      <c r="BI14" s="29">
        <v>821.4</v>
      </c>
      <c r="BJ14" s="24">
        <v>873.7</v>
      </c>
      <c r="BK14" s="58"/>
      <c r="BL14" s="58"/>
      <c r="BM14" s="25"/>
      <c r="BN14" s="93">
        <v>1228</v>
      </c>
      <c r="BO14" s="90">
        <v>1216.5999999999999</v>
      </c>
      <c r="BP14" s="88">
        <v>1268.5999999999999</v>
      </c>
      <c r="BQ14" s="92">
        <v>1262.8</v>
      </c>
      <c r="BR14" s="28">
        <v>1373.7</v>
      </c>
      <c r="BS14" s="29">
        <v>1435.8</v>
      </c>
      <c r="BT14" s="12">
        <v>1810.3</v>
      </c>
      <c r="BU14" s="57">
        <v>2101.4</v>
      </c>
      <c r="BV14" s="57">
        <v>2236.6999999999998</v>
      </c>
      <c r="BW14" s="13">
        <v>2361.1999999999998</v>
      </c>
      <c r="BX14" s="28">
        <v>2369.5</v>
      </c>
      <c r="BY14" s="29">
        <v>2662.6</v>
      </c>
      <c r="BZ14" s="88">
        <v>3208.3</v>
      </c>
      <c r="CA14" s="92">
        <v>3294.7</v>
      </c>
      <c r="CB14" s="28">
        <v>3399.8</v>
      </c>
      <c r="CC14" s="29">
        <v>3322.4</v>
      </c>
      <c r="CD14" s="24">
        <v>3847.9</v>
      </c>
      <c r="CE14" s="25">
        <v>3899.5</v>
      </c>
      <c r="CF14" s="14">
        <v>4076.8</v>
      </c>
      <c r="CG14" s="15">
        <v>4326.8999999999996</v>
      </c>
      <c r="CH14" s="15">
        <v>4680.8999999999996</v>
      </c>
      <c r="CI14" s="15">
        <v>4837.8</v>
      </c>
      <c r="CJ14" s="88">
        <v>5369.9</v>
      </c>
      <c r="CK14" s="92">
        <v>5441.8</v>
      </c>
      <c r="CL14" s="14">
        <v>5859.1</v>
      </c>
      <c r="CM14" s="15">
        <v>5943.1</v>
      </c>
      <c r="CN14" s="88">
        <v>6836.9</v>
      </c>
      <c r="CO14" s="92">
        <v>6967.6</v>
      </c>
      <c r="CP14" s="14"/>
      <c r="CQ14" s="15"/>
    </row>
    <row r="15" spans="1:95" x14ac:dyDescent="0.55000000000000004">
      <c r="A15" s="7">
        <v>13</v>
      </c>
      <c r="B15" s="24">
        <v>112.2</v>
      </c>
      <c r="C15" s="25">
        <v>115.2</v>
      </c>
      <c r="D15" s="28">
        <v>116.7</v>
      </c>
      <c r="E15" s="29">
        <v>119.6</v>
      </c>
      <c r="F15" s="24">
        <v>130.19999999999999</v>
      </c>
      <c r="G15" s="25">
        <v>144.9</v>
      </c>
      <c r="H15" s="28">
        <v>146.6</v>
      </c>
      <c r="I15" s="29">
        <v>146.6</v>
      </c>
      <c r="J15" s="24">
        <v>151.6</v>
      </c>
      <c r="K15" s="25">
        <v>152.6</v>
      </c>
      <c r="L15" s="28">
        <v>160</v>
      </c>
      <c r="M15" s="29">
        <v>160.6</v>
      </c>
      <c r="N15" s="24">
        <v>169.7</v>
      </c>
      <c r="O15" s="25">
        <v>170.9</v>
      </c>
      <c r="P15" s="28">
        <v>173.5</v>
      </c>
      <c r="Q15" s="29">
        <v>173.7</v>
      </c>
      <c r="R15" s="24">
        <v>194.6</v>
      </c>
      <c r="S15" s="25">
        <v>196.4</v>
      </c>
      <c r="T15" s="28">
        <v>199.3</v>
      </c>
      <c r="U15" s="29">
        <v>211.7</v>
      </c>
      <c r="V15" s="24">
        <v>237.4</v>
      </c>
      <c r="W15" s="25">
        <v>238.8</v>
      </c>
      <c r="X15" s="28">
        <v>238.6</v>
      </c>
      <c r="Y15" s="29">
        <v>240</v>
      </c>
      <c r="Z15" s="24">
        <v>253.3</v>
      </c>
      <c r="AA15" s="25">
        <v>261.7</v>
      </c>
      <c r="AB15" s="28">
        <v>266.7</v>
      </c>
      <c r="AC15" s="29">
        <v>270</v>
      </c>
      <c r="AD15" s="24"/>
      <c r="AE15" s="25"/>
      <c r="AF15" s="28"/>
      <c r="AG15" s="29"/>
      <c r="AH15" s="24"/>
      <c r="AI15" s="25"/>
      <c r="AJ15" s="28"/>
      <c r="AK15" s="29"/>
      <c r="AL15" s="24"/>
      <c r="AM15" s="25"/>
      <c r="AN15" s="28"/>
      <c r="AO15" s="29">
        <v>435.4</v>
      </c>
      <c r="AP15" s="24">
        <v>474</v>
      </c>
      <c r="AQ15" s="25">
        <v>480.4</v>
      </c>
      <c r="AR15" s="28">
        <v>498.4</v>
      </c>
      <c r="AS15" s="29">
        <v>510.9</v>
      </c>
      <c r="AT15" s="24">
        <v>579.1</v>
      </c>
      <c r="AU15" s="25">
        <v>587</v>
      </c>
      <c r="AV15" s="28">
        <v>607</v>
      </c>
      <c r="AW15" s="29">
        <v>614.5</v>
      </c>
      <c r="AX15" s="24"/>
      <c r="AY15" s="25"/>
      <c r="AZ15" s="28"/>
      <c r="BA15" s="29"/>
      <c r="BB15" s="24">
        <v>728.6</v>
      </c>
      <c r="BC15" s="25">
        <v>734.2</v>
      </c>
      <c r="BD15" s="28">
        <v>755.9</v>
      </c>
      <c r="BE15" s="29">
        <v>771</v>
      </c>
      <c r="BF15" s="24">
        <v>833.2</v>
      </c>
      <c r="BG15" s="25">
        <v>847.9</v>
      </c>
      <c r="BH15" s="28">
        <v>849</v>
      </c>
      <c r="BI15" s="29">
        <v>876.4</v>
      </c>
      <c r="BJ15" s="24">
        <v>1000.9</v>
      </c>
      <c r="BK15" s="58"/>
      <c r="BL15" s="58"/>
      <c r="BM15" s="25"/>
      <c r="BN15" s="93">
        <v>1198.7</v>
      </c>
      <c r="BO15" s="97">
        <v>1213.7</v>
      </c>
      <c r="BP15" s="91">
        <v>1456</v>
      </c>
      <c r="BQ15" s="92">
        <v>1509.1</v>
      </c>
      <c r="BR15" s="28">
        <v>1517.9</v>
      </c>
      <c r="BS15" s="29">
        <v>1542.6</v>
      </c>
      <c r="BT15" s="12">
        <v>1915.7</v>
      </c>
      <c r="BU15" s="57">
        <v>2142.6</v>
      </c>
      <c r="BV15" s="57">
        <v>2143.9</v>
      </c>
      <c r="BW15" s="13">
        <v>2183.8000000000002</v>
      </c>
      <c r="BX15" s="28">
        <v>2498.8000000000002</v>
      </c>
      <c r="BY15" s="29">
        <v>2672.4</v>
      </c>
      <c r="BZ15" s="91">
        <v>3287.2</v>
      </c>
      <c r="CA15" s="92">
        <v>3437.4</v>
      </c>
      <c r="CB15" s="28">
        <v>3523.5</v>
      </c>
      <c r="CC15" s="29">
        <v>3579.8</v>
      </c>
      <c r="CD15" s="24">
        <v>4385.2</v>
      </c>
      <c r="CE15" s="25">
        <v>4463</v>
      </c>
      <c r="CF15" s="14">
        <v>4555.8</v>
      </c>
      <c r="CG15" s="15">
        <v>4772.6000000000004</v>
      </c>
      <c r="CH15" s="15">
        <v>4773.3</v>
      </c>
      <c r="CI15" s="15">
        <v>4816.6000000000004</v>
      </c>
      <c r="CJ15" s="88">
        <v>5739.5</v>
      </c>
      <c r="CK15" s="92">
        <v>5935.4</v>
      </c>
      <c r="CL15" s="14">
        <v>6077.1</v>
      </c>
      <c r="CM15" s="15">
        <v>6189.9</v>
      </c>
      <c r="CN15" s="88">
        <v>7469.3</v>
      </c>
      <c r="CO15" s="92">
        <v>7755.2</v>
      </c>
      <c r="CP15" s="14"/>
      <c r="CQ15" s="15"/>
    </row>
    <row r="16" spans="1:95" x14ac:dyDescent="0.55000000000000004">
      <c r="A16" s="7">
        <v>14</v>
      </c>
      <c r="B16" s="24">
        <v>105.3</v>
      </c>
      <c r="C16" s="25">
        <v>105.9</v>
      </c>
      <c r="D16" s="28">
        <v>106.1</v>
      </c>
      <c r="E16" s="29">
        <v>110.3</v>
      </c>
      <c r="F16" s="24">
        <v>136.9</v>
      </c>
      <c r="G16" s="25">
        <v>150</v>
      </c>
      <c r="H16" s="28">
        <v>150.30000000000001</v>
      </c>
      <c r="I16" s="29">
        <v>150.30000000000001</v>
      </c>
      <c r="J16" s="24">
        <v>151.69999999999999</v>
      </c>
      <c r="K16" s="25">
        <v>151.9</v>
      </c>
      <c r="L16" s="28">
        <v>170.4</v>
      </c>
      <c r="M16" s="29">
        <v>170.5</v>
      </c>
      <c r="N16" s="24">
        <v>198.6</v>
      </c>
      <c r="O16" s="25">
        <v>198.6</v>
      </c>
      <c r="P16" s="28">
        <v>201.2</v>
      </c>
      <c r="Q16" s="29">
        <v>201.2</v>
      </c>
      <c r="R16" s="24">
        <v>225.3</v>
      </c>
      <c r="S16" s="25">
        <v>225.7</v>
      </c>
      <c r="T16" s="28">
        <v>226.2</v>
      </c>
      <c r="U16" s="29">
        <v>230.5</v>
      </c>
      <c r="V16" s="24">
        <v>252.3</v>
      </c>
      <c r="W16" s="25">
        <v>252.2</v>
      </c>
      <c r="X16" s="28">
        <v>262.39999999999998</v>
      </c>
      <c r="Y16" s="29">
        <v>263.5</v>
      </c>
      <c r="Z16" s="24">
        <v>265.5</v>
      </c>
      <c r="AA16" s="25">
        <v>268.2</v>
      </c>
      <c r="AB16" s="28">
        <v>269.7</v>
      </c>
      <c r="AC16" s="29">
        <v>271.5</v>
      </c>
      <c r="AD16" s="24"/>
      <c r="AE16" s="25"/>
      <c r="AF16" s="28"/>
      <c r="AG16" s="29"/>
      <c r="AH16" s="24"/>
      <c r="AI16" s="25"/>
      <c r="AJ16" s="28"/>
      <c r="AK16" s="29"/>
      <c r="AL16" s="24"/>
      <c r="AM16" s="25"/>
      <c r="AN16" s="28"/>
      <c r="AO16" s="29">
        <v>625.79999999999995</v>
      </c>
      <c r="AP16" s="24">
        <v>635.70000000000005</v>
      </c>
      <c r="AQ16" s="25">
        <v>631.9</v>
      </c>
      <c r="AR16" s="28">
        <v>633.1</v>
      </c>
      <c r="AS16" s="29">
        <v>635.6</v>
      </c>
      <c r="AT16" s="24">
        <v>688.7</v>
      </c>
      <c r="AU16" s="25">
        <v>690.6</v>
      </c>
      <c r="AV16" s="28">
        <v>665.9</v>
      </c>
      <c r="AW16" s="29">
        <v>667.1</v>
      </c>
      <c r="AX16" s="24"/>
      <c r="AY16" s="25"/>
      <c r="AZ16" s="28"/>
      <c r="BA16" s="29"/>
      <c r="BB16" s="24">
        <v>745.7</v>
      </c>
      <c r="BC16" s="25">
        <v>747.1</v>
      </c>
      <c r="BD16" s="28">
        <v>799.9</v>
      </c>
      <c r="BE16" s="29">
        <v>843.3</v>
      </c>
      <c r="BF16" s="24">
        <v>865.2</v>
      </c>
      <c r="BG16" s="25">
        <v>925.3</v>
      </c>
      <c r="BH16" s="28">
        <v>961</v>
      </c>
      <c r="BI16" s="29">
        <v>1035.5999999999999</v>
      </c>
      <c r="BJ16" s="24">
        <v>1218.7</v>
      </c>
      <c r="BK16" s="58"/>
      <c r="BL16" s="58"/>
      <c r="BM16" s="25"/>
      <c r="BN16" s="93">
        <v>1849.7</v>
      </c>
      <c r="BO16" s="97">
        <v>1946.2</v>
      </c>
      <c r="BP16" s="91">
        <v>2311.1</v>
      </c>
      <c r="BQ16" s="92">
        <v>2212.6999999999998</v>
      </c>
      <c r="BR16" s="28">
        <v>2348.8000000000002</v>
      </c>
      <c r="BS16" s="29">
        <v>2449.6999999999998</v>
      </c>
      <c r="BT16" s="12">
        <v>2867.6</v>
      </c>
      <c r="BU16" s="57">
        <v>3455.9</v>
      </c>
      <c r="BV16" s="57">
        <v>3967.6</v>
      </c>
      <c r="BW16" s="13">
        <v>4376.1000000000004</v>
      </c>
      <c r="BX16" s="28">
        <v>4457.8</v>
      </c>
      <c r="BY16" s="29">
        <v>4356.3999999999996</v>
      </c>
      <c r="BZ16" s="91">
        <v>4871.3</v>
      </c>
      <c r="CA16" s="92">
        <v>5274.5</v>
      </c>
      <c r="CB16" s="28">
        <v>5407.9</v>
      </c>
      <c r="CC16" s="29">
        <v>5701.9</v>
      </c>
      <c r="CD16" s="24">
        <v>6501.2</v>
      </c>
      <c r="CE16" s="25">
        <v>6628.1</v>
      </c>
      <c r="CF16" s="14">
        <v>6917.5</v>
      </c>
      <c r="CG16" s="15">
        <v>8187.7</v>
      </c>
      <c r="CH16" s="15">
        <v>8516.9</v>
      </c>
      <c r="CI16" s="15">
        <v>8517.9</v>
      </c>
      <c r="CJ16" s="88">
        <v>9148</v>
      </c>
      <c r="CK16" s="92">
        <v>9169.1</v>
      </c>
      <c r="CL16" s="14">
        <v>9463.1</v>
      </c>
      <c r="CM16" s="15">
        <v>10421.299999999999</v>
      </c>
      <c r="CN16" s="88">
        <v>11526.9</v>
      </c>
      <c r="CO16" s="92">
        <v>12213.7</v>
      </c>
      <c r="CP16" s="14"/>
      <c r="CQ16" s="15"/>
    </row>
    <row r="17" spans="1:95" x14ac:dyDescent="0.55000000000000004">
      <c r="A17" s="7">
        <v>15</v>
      </c>
      <c r="B17" s="24">
        <v>107.2</v>
      </c>
      <c r="C17" s="25">
        <v>108.5</v>
      </c>
      <c r="D17" s="28">
        <v>109.1</v>
      </c>
      <c r="E17" s="29">
        <v>109.6</v>
      </c>
      <c r="F17" s="24">
        <v>123.4</v>
      </c>
      <c r="G17" s="25">
        <v>124.5</v>
      </c>
      <c r="H17" s="28">
        <v>125.1</v>
      </c>
      <c r="I17" s="29">
        <v>125.1</v>
      </c>
      <c r="J17" s="24">
        <v>129.6</v>
      </c>
      <c r="K17" s="25">
        <v>129.9</v>
      </c>
      <c r="L17" s="28">
        <v>136.9</v>
      </c>
      <c r="M17" s="29">
        <v>137.1</v>
      </c>
      <c r="N17" s="24">
        <v>157.1</v>
      </c>
      <c r="O17" s="25">
        <v>157.19999999999999</v>
      </c>
      <c r="P17" s="28">
        <v>159.69999999999999</v>
      </c>
      <c r="Q17" s="29">
        <v>159.80000000000001</v>
      </c>
      <c r="R17" s="24">
        <v>171.2</v>
      </c>
      <c r="S17" s="25">
        <v>172</v>
      </c>
      <c r="T17" s="28">
        <v>177.6</v>
      </c>
      <c r="U17" s="29">
        <v>178.6</v>
      </c>
      <c r="V17" s="24">
        <v>198.2</v>
      </c>
      <c r="W17" s="25">
        <v>198.8</v>
      </c>
      <c r="X17" s="28">
        <v>199.4</v>
      </c>
      <c r="Y17" s="29">
        <v>195.4</v>
      </c>
      <c r="Z17" s="24">
        <v>198.9</v>
      </c>
      <c r="AA17" s="25">
        <v>199.5</v>
      </c>
      <c r="AB17" s="28">
        <v>200.9</v>
      </c>
      <c r="AC17" s="29">
        <v>201.8</v>
      </c>
      <c r="AD17" s="24"/>
      <c r="AE17" s="25"/>
      <c r="AF17" s="28"/>
      <c r="AG17" s="29"/>
      <c r="AH17" s="24"/>
      <c r="AI17" s="25"/>
      <c r="AJ17" s="28"/>
      <c r="AK17" s="29"/>
      <c r="AL17" s="24"/>
      <c r="AM17" s="25"/>
      <c r="AN17" s="28"/>
      <c r="AO17" s="29">
        <v>401.6</v>
      </c>
      <c r="AP17" s="24">
        <v>405.9</v>
      </c>
      <c r="AQ17" s="25">
        <v>407</v>
      </c>
      <c r="AR17" s="28">
        <v>422.4</v>
      </c>
      <c r="AS17" s="29">
        <v>424.2</v>
      </c>
      <c r="AT17" s="24">
        <v>563.5</v>
      </c>
      <c r="AU17" s="25">
        <v>564.9</v>
      </c>
      <c r="AV17" s="28">
        <v>537</v>
      </c>
      <c r="AW17" s="29">
        <v>537.79999999999995</v>
      </c>
      <c r="AX17" s="24"/>
      <c r="AY17" s="25"/>
      <c r="AZ17" s="28"/>
      <c r="BA17" s="29"/>
      <c r="BB17" s="24">
        <v>565.79999999999995</v>
      </c>
      <c r="BC17" s="25">
        <v>566.9</v>
      </c>
      <c r="BD17" s="28">
        <v>605.79999999999995</v>
      </c>
      <c r="BE17" s="29">
        <v>606.5</v>
      </c>
      <c r="BF17" s="24">
        <v>706.8</v>
      </c>
      <c r="BG17" s="25">
        <v>708.4</v>
      </c>
      <c r="BH17" s="28">
        <v>709.4</v>
      </c>
      <c r="BI17" s="29">
        <v>710.4</v>
      </c>
      <c r="BJ17" s="24">
        <v>833.1</v>
      </c>
      <c r="BK17" s="58"/>
      <c r="BL17" s="58"/>
      <c r="BM17" s="25"/>
      <c r="BN17" s="87">
        <v>1346.4</v>
      </c>
      <c r="BO17" s="90">
        <v>1363.4</v>
      </c>
      <c r="BP17" s="88">
        <v>1515.5</v>
      </c>
      <c r="BQ17" s="89">
        <v>1502.4</v>
      </c>
      <c r="BR17" s="28">
        <v>1649.7</v>
      </c>
      <c r="BS17" s="29">
        <v>1714.4</v>
      </c>
      <c r="BT17" s="12">
        <v>2053.4</v>
      </c>
      <c r="BU17" s="57">
        <v>2454.5</v>
      </c>
      <c r="BV17" s="57">
        <v>2624.7</v>
      </c>
      <c r="BW17" s="13">
        <v>3089.4</v>
      </c>
      <c r="BX17" s="28">
        <v>2990.6</v>
      </c>
      <c r="BY17" s="29">
        <v>3589.9</v>
      </c>
      <c r="BZ17" s="88">
        <v>3837.6</v>
      </c>
      <c r="CA17" s="89">
        <v>3931.6</v>
      </c>
      <c r="CB17" s="28">
        <v>4167.5</v>
      </c>
      <c r="CC17" s="29">
        <v>4175.6000000000004</v>
      </c>
      <c r="CD17" s="24">
        <v>4877.8</v>
      </c>
      <c r="CE17" s="25">
        <v>5010.8999999999996</v>
      </c>
      <c r="CF17" s="14">
        <v>5275.3</v>
      </c>
      <c r="CG17" s="15">
        <v>5546.7</v>
      </c>
      <c r="CH17" s="15">
        <v>5680.2</v>
      </c>
      <c r="CI17" s="15">
        <v>5681</v>
      </c>
      <c r="CJ17" s="88">
        <v>6365.9</v>
      </c>
      <c r="CK17" s="92">
        <v>6400.7</v>
      </c>
      <c r="CL17" s="14">
        <v>6386.8</v>
      </c>
      <c r="CM17" s="15">
        <v>6764.2</v>
      </c>
      <c r="CN17" s="88">
        <v>7720.7</v>
      </c>
      <c r="CO17" s="92">
        <v>8066.7</v>
      </c>
      <c r="CP17" s="14"/>
      <c r="CQ17" s="15"/>
    </row>
    <row r="18" spans="1:95" x14ac:dyDescent="0.55000000000000004">
      <c r="A18" s="7">
        <v>16</v>
      </c>
      <c r="B18" s="24">
        <v>106</v>
      </c>
      <c r="C18" s="25">
        <v>106.1</v>
      </c>
      <c r="D18" s="28">
        <v>106.1</v>
      </c>
      <c r="E18" s="29">
        <v>106.5</v>
      </c>
      <c r="F18" s="24">
        <v>112.7</v>
      </c>
      <c r="G18" s="25">
        <v>112.7</v>
      </c>
      <c r="H18" s="28">
        <v>122.9</v>
      </c>
      <c r="I18" s="29">
        <v>122.9</v>
      </c>
      <c r="J18" s="24">
        <v>128.9</v>
      </c>
      <c r="K18" s="25">
        <v>128.9</v>
      </c>
      <c r="L18" s="28">
        <v>129</v>
      </c>
      <c r="M18" s="29">
        <v>129</v>
      </c>
      <c r="N18" s="24">
        <v>144.19999999999999</v>
      </c>
      <c r="O18" s="25">
        <v>144.19999999999999</v>
      </c>
      <c r="P18" s="28">
        <v>145.69999999999999</v>
      </c>
      <c r="Q18" s="29">
        <v>145.69999999999999</v>
      </c>
      <c r="R18" s="24">
        <v>154.6</v>
      </c>
      <c r="S18" s="25">
        <v>154.69999999999999</v>
      </c>
      <c r="T18" s="28">
        <v>154.69999999999999</v>
      </c>
      <c r="U18" s="29">
        <v>161.19999999999999</v>
      </c>
      <c r="V18" s="24">
        <v>181.2</v>
      </c>
      <c r="W18" s="25">
        <v>181.2</v>
      </c>
      <c r="X18" s="28">
        <v>181.2</v>
      </c>
      <c r="Y18" s="29">
        <v>191.8</v>
      </c>
      <c r="Z18" s="24">
        <v>192</v>
      </c>
      <c r="AA18" s="25">
        <v>192</v>
      </c>
      <c r="AB18" s="28">
        <v>192.1</v>
      </c>
      <c r="AC18" s="29">
        <v>192.1</v>
      </c>
      <c r="AD18" s="24"/>
      <c r="AE18" s="25"/>
      <c r="AF18" s="28"/>
      <c r="AG18" s="29"/>
      <c r="AH18" s="24"/>
      <c r="AI18" s="25"/>
      <c r="AJ18" s="28"/>
      <c r="AK18" s="29"/>
      <c r="AL18" s="24"/>
      <c r="AM18" s="25"/>
      <c r="AN18" s="28"/>
      <c r="AO18" s="29">
        <v>412</v>
      </c>
      <c r="AP18" s="24">
        <v>413.3</v>
      </c>
      <c r="AQ18" s="25">
        <v>373.4</v>
      </c>
      <c r="AR18" s="28">
        <v>413.9</v>
      </c>
      <c r="AS18" s="29">
        <v>414.2</v>
      </c>
      <c r="AT18" s="24">
        <v>410</v>
      </c>
      <c r="AU18" s="25">
        <v>410.3</v>
      </c>
      <c r="AV18" s="28">
        <v>432.2</v>
      </c>
      <c r="AW18" s="29">
        <v>432.4</v>
      </c>
      <c r="AX18" s="24"/>
      <c r="AY18" s="25"/>
      <c r="AZ18" s="28"/>
      <c r="BA18" s="29"/>
      <c r="BB18" s="24">
        <v>435.9</v>
      </c>
      <c r="BC18" s="25">
        <v>436.1</v>
      </c>
      <c r="BD18" s="28">
        <v>436.3</v>
      </c>
      <c r="BE18" s="29">
        <v>436.4</v>
      </c>
      <c r="BF18" s="24">
        <v>437.8</v>
      </c>
      <c r="BG18" s="25">
        <v>438.1</v>
      </c>
      <c r="BH18" s="28">
        <v>509.1</v>
      </c>
      <c r="BI18" s="29">
        <v>538.79999999999995</v>
      </c>
      <c r="BJ18" s="24">
        <v>607.5</v>
      </c>
      <c r="BK18" s="58"/>
      <c r="BL18" s="58"/>
      <c r="BM18" s="25"/>
      <c r="BN18" s="87">
        <v>1116.5</v>
      </c>
      <c r="BO18" s="97">
        <v>1118.3</v>
      </c>
      <c r="BP18" s="91">
        <v>1288.3</v>
      </c>
      <c r="BQ18" s="92">
        <v>1284.3</v>
      </c>
      <c r="BR18" s="28">
        <v>1313.7</v>
      </c>
      <c r="BS18" s="29">
        <v>1345.4</v>
      </c>
      <c r="BT18" s="12">
        <v>1588.4</v>
      </c>
      <c r="BU18" s="57">
        <v>1826.9</v>
      </c>
      <c r="BV18" s="57">
        <v>2062.3000000000002</v>
      </c>
      <c r="BW18" s="13">
        <v>2370</v>
      </c>
      <c r="BX18" s="28">
        <v>2508.3000000000002</v>
      </c>
      <c r="BY18" s="29">
        <v>2631.8</v>
      </c>
      <c r="BZ18" s="91">
        <v>3008.5</v>
      </c>
      <c r="CA18" s="92">
        <v>3297.6</v>
      </c>
      <c r="CB18" s="28">
        <v>3041.6</v>
      </c>
      <c r="CC18" s="29">
        <v>3069.5</v>
      </c>
      <c r="CD18" s="24">
        <v>3298.1</v>
      </c>
      <c r="CE18" s="25">
        <v>3368.3</v>
      </c>
      <c r="CF18" s="14">
        <v>3758.5</v>
      </c>
      <c r="CG18" s="15">
        <v>4450.8999999999996</v>
      </c>
      <c r="CH18" s="15">
        <v>5107.3999999999996</v>
      </c>
      <c r="CI18" s="15">
        <v>5197.1000000000004</v>
      </c>
      <c r="CJ18" s="88">
        <v>5695.5</v>
      </c>
      <c r="CK18" s="92">
        <v>5703</v>
      </c>
      <c r="CL18" s="14">
        <v>6570.3</v>
      </c>
      <c r="CM18" s="15">
        <v>6769.5</v>
      </c>
      <c r="CN18" s="88">
        <v>7489.3</v>
      </c>
      <c r="CO18" s="92">
        <v>7766.3</v>
      </c>
      <c r="CP18" s="14"/>
      <c r="CQ18" s="15"/>
    </row>
    <row r="19" spans="1:95" x14ac:dyDescent="0.55000000000000004">
      <c r="A19" s="7">
        <v>17</v>
      </c>
      <c r="B19" s="24">
        <v>102.9</v>
      </c>
      <c r="C19" s="25">
        <v>103</v>
      </c>
      <c r="D19" s="28">
        <v>103</v>
      </c>
      <c r="E19" s="29">
        <v>103.1</v>
      </c>
      <c r="F19" s="24">
        <v>107.7</v>
      </c>
      <c r="G19" s="25">
        <v>107.8</v>
      </c>
      <c r="H19" s="28">
        <v>107.9</v>
      </c>
      <c r="I19" s="29">
        <v>107.9</v>
      </c>
      <c r="J19" s="24">
        <v>108.1</v>
      </c>
      <c r="K19" s="25">
        <v>108.2</v>
      </c>
      <c r="L19" s="28">
        <v>108.3</v>
      </c>
      <c r="M19" s="29">
        <v>108.3</v>
      </c>
      <c r="N19" s="24">
        <v>112.3</v>
      </c>
      <c r="O19" s="25">
        <v>112.3</v>
      </c>
      <c r="P19" s="28">
        <v>113.6</v>
      </c>
      <c r="Q19" s="29">
        <v>113.6</v>
      </c>
      <c r="R19" s="24">
        <v>121.5</v>
      </c>
      <c r="S19" s="25">
        <v>121.6</v>
      </c>
      <c r="T19" s="28">
        <v>121.8</v>
      </c>
      <c r="U19" s="29">
        <v>121.9</v>
      </c>
      <c r="V19" s="24">
        <v>136.4</v>
      </c>
      <c r="W19" s="25">
        <v>136.5</v>
      </c>
      <c r="X19" s="28">
        <v>136.6</v>
      </c>
      <c r="Y19" s="29">
        <v>133.6</v>
      </c>
      <c r="Z19" s="24">
        <v>134</v>
      </c>
      <c r="AA19" s="25">
        <v>125.7</v>
      </c>
      <c r="AB19" s="28">
        <v>125.9</v>
      </c>
      <c r="AC19" s="29">
        <v>125.9</v>
      </c>
      <c r="AD19" s="24"/>
      <c r="AE19" s="25"/>
      <c r="AF19" s="28"/>
      <c r="AG19" s="29"/>
      <c r="AH19" s="24"/>
      <c r="AI19" s="25"/>
      <c r="AJ19" s="28"/>
      <c r="AK19" s="29"/>
      <c r="AL19" s="24"/>
      <c r="AM19" s="25"/>
      <c r="AN19" s="28"/>
      <c r="AO19" s="29">
        <v>339.6</v>
      </c>
      <c r="AP19" s="24">
        <v>393.5</v>
      </c>
      <c r="AQ19" s="25">
        <v>393.8</v>
      </c>
      <c r="AR19" s="28">
        <v>394.2</v>
      </c>
      <c r="AS19" s="29">
        <v>394.5</v>
      </c>
      <c r="AT19" s="24">
        <v>396.8</v>
      </c>
      <c r="AU19" s="25">
        <v>416.8</v>
      </c>
      <c r="AV19" s="28">
        <v>417.1</v>
      </c>
      <c r="AW19" s="29">
        <v>435.1</v>
      </c>
      <c r="AX19" s="24"/>
      <c r="AY19" s="25"/>
      <c r="AZ19" s="28"/>
      <c r="BA19" s="29"/>
      <c r="BB19" s="24">
        <v>479.4</v>
      </c>
      <c r="BC19" s="25">
        <v>479.6</v>
      </c>
      <c r="BD19" s="28">
        <v>515</v>
      </c>
      <c r="BE19" s="29">
        <v>515.1</v>
      </c>
      <c r="BF19" s="24">
        <v>548.4</v>
      </c>
      <c r="BG19" s="25">
        <v>560.9</v>
      </c>
      <c r="BH19" s="28">
        <v>568.9</v>
      </c>
      <c r="BI19" s="29">
        <v>572.70000000000005</v>
      </c>
      <c r="BJ19" s="24">
        <v>990</v>
      </c>
      <c r="BK19" s="58"/>
      <c r="BL19" s="58"/>
      <c r="BM19" s="25"/>
      <c r="BN19" s="93">
        <v>1564.2</v>
      </c>
      <c r="BO19" s="97">
        <v>1565.2</v>
      </c>
      <c r="BP19" s="91">
        <v>1572</v>
      </c>
      <c r="BQ19" s="92">
        <v>1487.7</v>
      </c>
      <c r="BR19" s="28">
        <v>1712</v>
      </c>
      <c r="BS19" s="29">
        <v>1774.7</v>
      </c>
      <c r="BT19" s="12">
        <v>2148.6</v>
      </c>
      <c r="BU19" s="57">
        <v>2597.9</v>
      </c>
      <c r="BV19" s="57">
        <v>2952.6</v>
      </c>
      <c r="BW19" s="13">
        <v>3411.7</v>
      </c>
      <c r="BX19" s="28">
        <v>3771</v>
      </c>
      <c r="BY19" s="29">
        <v>3370</v>
      </c>
      <c r="BZ19" s="91">
        <v>3681.7</v>
      </c>
      <c r="CA19" s="92">
        <v>3687.3</v>
      </c>
      <c r="CB19" s="28">
        <v>4155.6000000000004</v>
      </c>
      <c r="CC19" s="29">
        <v>4091.2</v>
      </c>
      <c r="CD19" s="24">
        <v>4397.8999999999996</v>
      </c>
      <c r="CE19" s="25">
        <v>4680.8</v>
      </c>
      <c r="CF19" s="14">
        <v>5222.7</v>
      </c>
      <c r="CG19" s="15">
        <v>5649.9</v>
      </c>
      <c r="CH19" s="15">
        <v>6201.5</v>
      </c>
      <c r="CI19" s="15">
        <v>6201.5</v>
      </c>
      <c r="CJ19" s="88">
        <v>6231.1</v>
      </c>
      <c r="CK19" s="92">
        <v>6238</v>
      </c>
      <c r="CL19" s="14">
        <v>6854.6</v>
      </c>
      <c r="CM19" s="15">
        <v>7092.2</v>
      </c>
      <c r="CN19" s="88">
        <v>7735.3</v>
      </c>
      <c r="CO19" s="92">
        <v>8381.5</v>
      </c>
      <c r="CP19" s="14"/>
      <c r="CQ19" s="15"/>
    </row>
    <row r="20" spans="1:95" x14ac:dyDescent="0.55000000000000004">
      <c r="A20" s="7">
        <v>18</v>
      </c>
      <c r="B20" s="24">
        <v>100.4</v>
      </c>
      <c r="C20" s="25">
        <v>100.6</v>
      </c>
      <c r="D20" s="28">
        <v>100.7</v>
      </c>
      <c r="E20" s="29">
        <v>105</v>
      </c>
      <c r="F20" s="24">
        <v>110.3</v>
      </c>
      <c r="G20" s="25">
        <v>110.5</v>
      </c>
      <c r="H20" s="28">
        <v>110.6</v>
      </c>
      <c r="I20" s="29">
        <v>110.6</v>
      </c>
      <c r="J20" s="24">
        <v>110.8</v>
      </c>
      <c r="K20" s="25">
        <v>110.9</v>
      </c>
      <c r="L20" s="28">
        <v>111.1</v>
      </c>
      <c r="M20" s="29">
        <v>111.2</v>
      </c>
      <c r="N20" s="24">
        <v>115.7</v>
      </c>
      <c r="O20" s="25">
        <v>115.7</v>
      </c>
      <c r="P20" s="28">
        <v>117.5</v>
      </c>
      <c r="Q20" s="29">
        <v>117.6</v>
      </c>
      <c r="R20" s="24">
        <v>130.30000000000001</v>
      </c>
      <c r="S20" s="25">
        <v>130.4</v>
      </c>
      <c r="T20" s="28">
        <v>131.5</v>
      </c>
      <c r="U20" s="29">
        <v>137.1</v>
      </c>
      <c r="V20" s="24">
        <v>158.19999999999999</v>
      </c>
      <c r="W20" s="25">
        <v>158.30000000000001</v>
      </c>
      <c r="X20" s="28">
        <v>165.8</v>
      </c>
      <c r="Y20" s="29">
        <v>165.8</v>
      </c>
      <c r="Z20" s="24">
        <v>166.4</v>
      </c>
      <c r="AA20" s="25">
        <v>166.5</v>
      </c>
      <c r="AB20" s="28">
        <v>174.2</v>
      </c>
      <c r="AC20" s="29">
        <v>174.3</v>
      </c>
      <c r="AD20" s="24"/>
      <c r="AE20" s="25"/>
      <c r="AF20" s="28"/>
      <c r="AG20" s="29"/>
      <c r="AH20" s="24"/>
      <c r="AI20" s="25"/>
      <c r="AJ20" s="28"/>
      <c r="AK20" s="29"/>
      <c r="AL20" s="24"/>
      <c r="AM20" s="25"/>
      <c r="AN20" s="28"/>
      <c r="AO20" s="29">
        <v>364.3</v>
      </c>
      <c r="AP20" s="24">
        <v>438.2</v>
      </c>
      <c r="AQ20" s="25">
        <v>510.5</v>
      </c>
      <c r="AR20" s="28">
        <v>510.9</v>
      </c>
      <c r="AS20" s="29">
        <v>511.9</v>
      </c>
      <c r="AT20" s="24">
        <v>546.9</v>
      </c>
      <c r="AU20" s="25">
        <v>547.9</v>
      </c>
      <c r="AV20" s="28">
        <v>547.9</v>
      </c>
      <c r="AW20" s="29">
        <v>548.1</v>
      </c>
      <c r="AX20" s="24"/>
      <c r="AY20" s="25"/>
      <c r="AZ20" s="28"/>
      <c r="BA20" s="29"/>
      <c r="BB20" s="24">
        <v>602.9</v>
      </c>
      <c r="BC20" s="25">
        <v>603.70000000000005</v>
      </c>
      <c r="BD20" s="28">
        <v>623.1</v>
      </c>
      <c r="BE20" s="29">
        <v>623.4</v>
      </c>
      <c r="BF20" s="24">
        <v>626.70000000000005</v>
      </c>
      <c r="BG20" s="25">
        <v>628.1</v>
      </c>
      <c r="BH20" s="28">
        <v>631.5</v>
      </c>
      <c r="BI20" s="29">
        <v>649.20000000000005</v>
      </c>
      <c r="BJ20" s="24">
        <v>760.7</v>
      </c>
      <c r="BK20" s="58"/>
      <c r="BL20" s="58"/>
      <c r="BM20" s="25"/>
      <c r="BN20" s="93">
        <v>1153.7</v>
      </c>
      <c r="BO20" s="90">
        <v>1164.5</v>
      </c>
      <c r="BP20" s="24">
        <v>1421.9</v>
      </c>
      <c r="BQ20" s="25">
        <v>1426.5</v>
      </c>
      <c r="BR20" s="28">
        <v>1539.2</v>
      </c>
      <c r="BS20" s="29">
        <v>1541.7</v>
      </c>
      <c r="BT20" s="12">
        <v>1852.3</v>
      </c>
      <c r="BU20" s="57">
        <v>2024.4</v>
      </c>
      <c r="BV20" s="57">
        <v>2408.1</v>
      </c>
      <c r="BW20" s="13">
        <v>2739.5</v>
      </c>
      <c r="BX20" s="28">
        <v>2186.1999999999998</v>
      </c>
      <c r="BY20" s="29">
        <v>2194.3000000000002</v>
      </c>
      <c r="BZ20" s="24">
        <v>2344.8000000000002</v>
      </c>
      <c r="CA20" s="25">
        <v>2449.1</v>
      </c>
      <c r="CB20" s="28">
        <v>2635.4</v>
      </c>
      <c r="CC20" s="29">
        <v>2585.4</v>
      </c>
      <c r="CD20" s="24">
        <v>2702.7</v>
      </c>
      <c r="CE20" s="25">
        <v>2850.7</v>
      </c>
      <c r="CF20" s="14">
        <v>3202.2</v>
      </c>
      <c r="CG20" s="15">
        <v>3772.6</v>
      </c>
      <c r="CH20" s="15">
        <v>3934.6</v>
      </c>
      <c r="CI20" s="15">
        <v>4257.3999999999996</v>
      </c>
      <c r="CJ20" s="88">
        <v>4843.8</v>
      </c>
      <c r="CK20" s="92">
        <v>4873</v>
      </c>
      <c r="CL20" s="14">
        <v>5150.8999999999996</v>
      </c>
      <c r="CM20" s="15">
        <v>5356.3</v>
      </c>
      <c r="CN20" s="88">
        <v>6065.3</v>
      </c>
      <c r="CO20" s="92">
        <v>6372.2</v>
      </c>
      <c r="CP20" s="14"/>
      <c r="CQ20" s="15"/>
    </row>
    <row r="21" spans="1:95" x14ac:dyDescent="0.55000000000000004">
      <c r="A21" s="7">
        <v>19</v>
      </c>
      <c r="B21" s="24">
        <v>100.3</v>
      </c>
      <c r="C21" s="25">
        <v>100.4</v>
      </c>
      <c r="D21" s="28">
        <v>100.5</v>
      </c>
      <c r="E21" s="29">
        <v>100.6</v>
      </c>
      <c r="F21" s="24">
        <v>106.7</v>
      </c>
      <c r="G21" s="25">
        <v>106.9</v>
      </c>
      <c r="H21" s="28">
        <v>114</v>
      </c>
      <c r="I21" s="29">
        <v>114</v>
      </c>
      <c r="J21" s="24">
        <v>114.1</v>
      </c>
      <c r="K21" s="25">
        <v>125.1</v>
      </c>
      <c r="L21" s="28">
        <v>143.19999999999999</v>
      </c>
      <c r="M21" s="29">
        <v>165.3</v>
      </c>
      <c r="N21" s="24">
        <v>182.6</v>
      </c>
      <c r="O21" s="25">
        <v>193.4</v>
      </c>
      <c r="P21" s="28">
        <v>209.3</v>
      </c>
      <c r="Q21" s="29">
        <v>209.4</v>
      </c>
      <c r="R21" s="24">
        <v>210.9</v>
      </c>
      <c r="S21" s="25">
        <v>214.5</v>
      </c>
      <c r="T21" s="28">
        <v>216.5</v>
      </c>
      <c r="U21" s="29">
        <v>216.6</v>
      </c>
      <c r="V21" s="24">
        <v>234.5</v>
      </c>
      <c r="W21" s="25">
        <v>234.6</v>
      </c>
      <c r="X21" s="28">
        <v>241.3</v>
      </c>
      <c r="Y21" s="29">
        <v>241.4</v>
      </c>
      <c r="Z21" s="24">
        <v>241.8</v>
      </c>
      <c r="AA21" s="25">
        <v>241.9</v>
      </c>
      <c r="AB21" s="28">
        <v>242.1</v>
      </c>
      <c r="AC21" s="29">
        <v>242.2</v>
      </c>
      <c r="AD21" s="24"/>
      <c r="AE21" s="25"/>
      <c r="AF21" s="28"/>
      <c r="AG21" s="29"/>
      <c r="AH21" s="24"/>
      <c r="AI21" s="25"/>
      <c r="AJ21" s="28"/>
      <c r="AK21" s="29"/>
      <c r="AL21" s="24"/>
      <c r="AM21" s="25"/>
      <c r="AN21" s="28"/>
      <c r="AO21" s="29">
        <v>612</v>
      </c>
      <c r="AP21" s="24">
        <v>628.4</v>
      </c>
      <c r="AQ21" s="25">
        <v>628.70000000000005</v>
      </c>
      <c r="AR21" s="28">
        <v>636.5</v>
      </c>
      <c r="AS21" s="29">
        <v>636.9</v>
      </c>
      <c r="AT21" s="24">
        <v>650.9</v>
      </c>
      <c r="AU21" s="25">
        <v>651.20000000000005</v>
      </c>
      <c r="AV21" s="28">
        <v>605.6</v>
      </c>
      <c r="AW21" s="29">
        <v>605.79999999999995</v>
      </c>
      <c r="AX21" s="24"/>
      <c r="AY21" s="25"/>
      <c r="AZ21" s="28"/>
      <c r="BA21" s="29"/>
      <c r="BB21" s="24">
        <v>619</v>
      </c>
      <c r="BC21" s="25">
        <v>619.29999999999995</v>
      </c>
      <c r="BD21" s="28">
        <v>610</v>
      </c>
      <c r="BE21" s="29">
        <v>610.20000000000005</v>
      </c>
      <c r="BF21" s="24">
        <v>698.1</v>
      </c>
      <c r="BG21" s="25">
        <v>698.4</v>
      </c>
      <c r="BH21" s="28">
        <v>700.6</v>
      </c>
      <c r="BI21" s="29">
        <v>700.9</v>
      </c>
      <c r="BJ21" s="24">
        <v>730</v>
      </c>
      <c r="BK21" s="58"/>
      <c r="BL21" s="58"/>
      <c r="BM21" s="25"/>
      <c r="BN21" s="87">
        <v>1556.6</v>
      </c>
      <c r="BO21" s="97">
        <v>1557.8</v>
      </c>
      <c r="BP21" s="91">
        <v>1763.3</v>
      </c>
      <c r="BQ21" s="92">
        <v>1765</v>
      </c>
      <c r="BR21" s="28">
        <v>1842.3</v>
      </c>
      <c r="BS21" s="29">
        <v>1843.3</v>
      </c>
      <c r="BT21" s="12">
        <v>2150.6999999999998</v>
      </c>
      <c r="BU21" s="57">
        <v>2521.9</v>
      </c>
      <c r="BV21" s="57">
        <v>2795.9</v>
      </c>
      <c r="BW21" s="13">
        <v>3107.7</v>
      </c>
      <c r="BX21" s="28">
        <v>3532.4</v>
      </c>
      <c r="BY21" s="29">
        <v>3535.7</v>
      </c>
      <c r="BZ21" s="91">
        <v>3729.5</v>
      </c>
      <c r="CA21" s="92">
        <v>3875.2</v>
      </c>
      <c r="CB21" s="28">
        <v>4776.7</v>
      </c>
      <c r="CC21" s="29">
        <v>4709.8</v>
      </c>
      <c r="CD21" s="24">
        <v>5429.6</v>
      </c>
      <c r="CE21" s="25">
        <v>5719.6</v>
      </c>
      <c r="CF21" s="14">
        <v>5716.9</v>
      </c>
      <c r="CG21" s="15">
        <v>6829.5</v>
      </c>
      <c r="CH21" s="15">
        <v>7842.8</v>
      </c>
      <c r="CI21" s="15">
        <v>7981.2</v>
      </c>
      <c r="CJ21" s="88">
        <v>8453.2000000000007</v>
      </c>
      <c r="CK21" s="92">
        <v>8751.7000000000007</v>
      </c>
      <c r="CL21" s="14">
        <v>9049.2000000000007</v>
      </c>
      <c r="CM21" s="15">
        <v>9758.2000000000007</v>
      </c>
      <c r="CN21" s="88">
        <v>12098.6</v>
      </c>
      <c r="CO21" s="92">
        <v>12014.7</v>
      </c>
      <c r="CP21" s="14"/>
      <c r="CQ21" s="15"/>
    </row>
    <row r="22" spans="1:95" x14ac:dyDescent="0.55000000000000004">
      <c r="A22" s="7">
        <v>20</v>
      </c>
      <c r="B22" s="24">
        <v>115</v>
      </c>
      <c r="C22" s="25">
        <v>115.6</v>
      </c>
      <c r="D22" s="28">
        <v>115.9</v>
      </c>
      <c r="E22" s="29">
        <v>121.2</v>
      </c>
      <c r="F22" s="24">
        <v>150.4</v>
      </c>
      <c r="G22" s="25">
        <v>150.9</v>
      </c>
      <c r="H22" s="28">
        <v>151.30000000000001</v>
      </c>
      <c r="I22" s="29">
        <v>151.30000000000001</v>
      </c>
      <c r="J22" s="24">
        <v>164.6</v>
      </c>
      <c r="K22" s="25">
        <v>164.8</v>
      </c>
      <c r="L22" s="28">
        <v>224.5</v>
      </c>
      <c r="M22" s="29">
        <v>224.6</v>
      </c>
      <c r="N22" s="24">
        <v>371.1</v>
      </c>
      <c r="O22" s="25">
        <v>393</v>
      </c>
      <c r="P22" s="28">
        <v>347.4</v>
      </c>
      <c r="Q22" s="29">
        <v>362.7</v>
      </c>
      <c r="R22" s="24">
        <v>447.8</v>
      </c>
      <c r="S22" s="25">
        <v>448.2</v>
      </c>
      <c r="T22" s="28">
        <v>448.9</v>
      </c>
      <c r="U22" s="29">
        <v>454.6</v>
      </c>
      <c r="V22" s="24">
        <v>508.5</v>
      </c>
      <c r="W22" s="25">
        <v>501.9</v>
      </c>
      <c r="X22" s="28">
        <v>335.7</v>
      </c>
      <c r="Y22" s="29">
        <v>281.5</v>
      </c>
      <c r="Z22" s="24">
        <v>304.7</v>
      </c>
      <c r="AA22" s="25">
        <v>352.7</v>
      </c>
      <c r="AB22" s="28">
        <v>388.7</v>
      </c>
      <c r="AC22" s="29">
        <v>416.3</v>
      </c>
      <c r="AD22" s="24"/>
      <c r="AE22" s="25"/>
      <c r="AF22" s="28"/>
      <c r="AG22" s="29"/>
      <c r="AH22" s="24"/>
      <c r="AI22" s="25"/>
      <c r="AJ22" s="28"/>
      <c r="AK22" s="29"/>
      <c r="AL22" s="24"/>
      <c r="AM22" s="25"/>
      <c r="AN22" s="28"/>
      <c r="AO22" s="29">
        <v>951.8</v>
      </c>
      <c r="AP22" s="24">
        <v>963</v>
      </c>
      <c r="AQ22" s="25">
        <v>930.5</v>
      </c>
      <c r="AR22" s="28">
        <v>960.7</v>
      </c>
      <c r="AS22" s="29">
        <v>967.2</v>
      </c>
      <c r="AT22" s="24" t="s">
        <v>13</v>
      </c>
      <c r="AU22" s="25" t="s">
        <v>15</v>
      </c>
      <c r="AV22" s="28" t="s">
        <v>11</v>
      </c>
      <c r="AW22" s="29">
        <v>1133</v>
      </c>
      <c r="AX22" s="24"/>
      <c r="AY22" s="25"/>
      <c r="AZ22" s="28"/>
      <c r="BA22" s="29"/>
      <c r="BB22" s="24">
        <v>1203.7</v>
      </c>
      <c r="BC22" s="25">
        <v>1208</v>
      </c>
      <c r="BD22" s="28">
        <v>1327.1</v>
      </c>
      <c r="BE22" s="29">
        <v>1386.6</v>
      </c>
      <c r="BF22" s="24">
        <v>1497.8</v>
      </c>
      <c r="BG22" s="25">
        <v>1527.5</v>
      </c>
      <c r="BH22" s="28">
        <v>1644.3</v>
      </c>
      <c r="BI22" s="29">
        <v>1742.7</v>
      </c>
      <c r="BJ22" s="24">
        <v>1875.4</v>
      </c>
      <c r="BK22" s="58"/>
      <c r="BL22" s="58"/>
      <c r="BM22" s="25"/>
      <c r="BN22" s="93">
        <v>2793.7</v>
      </c>
      <c r="BO22" s="97">
        <v>2586.1</v>
      </c>
      <c r="BP22" s="88">
        <v>3247.6</v>
      </c>
      <c r="BQ22" s="92">
        <v>3193.7</v>
      </c>
      <c r="BR22" s="28">
        <v>3206.7</v>
      </c>
      <c r="BS22" s="29">
        <v>3298.4</v>
      </c>
      <c r="BT22" s="12">
        <v>3574.4</v>
      </c>
      <c r="BU22" s="57">
        <v>4621.5</v>
      </c>
      <c r="BV22" s="57">
        <v>5035.3</v>
      </c>
      <c r="BW22" s="13">
        <v>5579</v>
      </c>
      <c r="BX22" s="28">
        <v>6333.7</v>
      </c>
      <c r="BY22" s="29">
        <v>7127.5</v>
      </c>
      <c r="BZ22" s="88">
        <v>7817.8</v>
      </c>
      <c r="CA22" s="92">
        <v>7974.6</v>
      </c>
      <c r="CB22" s="28">
        <v>8513.9</v>
      </c>
      <c r="CC22" s="29">
        <v>8847.4</v>
      </c>
      <c r="CD22" s="24">
        <v>9594.6</v>
      </c>
      <c r="CE22" s="25">
        <v>9498.2999999999993</v>
      </c>
      <c r="CF22" s="14">
        <v>10416</v>
      </c>
      <c r="CG22" s="15">
        <v>11378.1</v>
      </c>
      <c r="CH22" s="15">
        <v>13408.4</v>
      </c>
      <c r="CI22" s="15">
        <v>14599.1</v>
      </c>
      <c r="CJ22" s="88">
        <v>14956.3</v>
      </c>
      <c r="CK22" s="92">
        <v>14806</v>
      </c>
      <c r="CL22" s="14">
        <v>16447</v>
      </c>
      <c r="CM22" s="15">
        <v>17593.400000000001</v>
      </c>
      <c r="CN22" s="88">
        <v>22075.599999999999</v>
      </c>
      <c r="CO22" s="92">
        <v>22236</v>
      </c>
      <c r="CP22" s="14"/>
      <c r="CQ22" s="15"/>
    </row>
    <row r="23" spans="1:95" x14ac:dyDescent="0.55000000000000004">
      <c r="A23" s="7">
        <v>21</v>
      </c>
      <c r="B23" s="24">
        <v>102.3</v>
      </c>
      <c r="C23" s="25">
        <v>103.5</v>
      </c>
      <c r="D23" s="28">
        <v>104.1</v>
      </c>
      <c r="E23" s="29">
        <v>104.8</v>
      </c>
      <c r="F23" s="24">
        <v>109.5</v>
      </c>
      <c r="G23" s="25">
        <v>110.6</v>
      </c>
      <c r="H23" s="28">
        <v>127.9</v>
      </c>
      <c r="I23" s="29">
        <v>127.9</v>
      </c>
      <c r="J23" s="24">
        <v>129.9</v>
      </c>
      <c r="K23" s="25">
        <v>130.4</v>
      </c>
      <c r="L23" s="28">
        <v>145.6</v>
      </c>
      <c r="M23" s="29">
        <v>145.80000000000001</v>
      </c>
      <c r="N23" s="24">
        <v>148.6</v>
      </c>
      <c r="O23" s="25">
        <v>148.69999999999999</v>
      </c>
      <c r="P23" s="28">
        <v>151</v>
      </c>
      <c r="Q23" s="29">
        <v>151.1</v>
      </c>
      <c r="R23" s="24">
        <v>164.4</v>
      </c>
      <c r="S23" s="25">
        <v>165.1</v>
      </c>
      <c r="T23" s="28">
        <v>166.5</v>
      </c>
      <c r="U23" s="29">
        <v>189.4</v>
      </c>
      <c r="V23" s="24">
        <v>205.2</v>
      </c>
      <c r="W23" s="25">
        <v>205.8</v>
      </c>
      <c r="X23" s="28">
        <v>177.4</v>
      </c>
      <c r="Y23" s="29">
        <v>184.6</v>
      </c>
      <c r="Z23" s="24">
        <v>189.9</v>
      </c>
      <c r="AA23" s="25">
        <v>190.6</v>
      </c>
      <c r="AB23" s="28">
        <v>227.8</v>
      </c>
      <c r="AC23" s="29">
        <v>248.5</v>
      </c>
      <c r="AD23" s="24"/>
      <c r="AE23" s="25"/>
      <c r="AF23" s="28"/>
      <c r="AG23" s="29"/>
      <c r="AH23" s="24"/>
      <c r="AI23" s="25"/>
      <c r="AJ23" s="28"/>
      <c r="AK23" s="29"/>
      <c r="AL23" s="24"/>
      <c r="AM23" s="25"/>
      <c r="AN23" s="28"/>
      <c r="AO23" s="29">
        <v>618.20000000000005</v>
      </c>
      <c r="AP23" s="24">
        <v>589.20000000000005</v>
      </c>
      <c r="AQ23" s="25">
        <v>634.4</v>
      </c>
      <c r="AR23" s="28">
        <v>596.5</v>
      </c>
      <c r="AS23" s="29">
        <v>600.5</v>
      </c>
      <c r="AT23" s="24">
        <v>659.7</v>
      </c>
      <c r="AU23" s="25">
        <v>662.5</v>
      </c>
      <c r="AV23" s="28">
        <v>666.2</v>
      </c>
      <c r="AW23" s="29">
        <v>668.5</v>
      </c>
      <c r="AX23" s="24"/>
      <c r="AY23" s="25"/>
      <c r="AZ23" s="28"/>
      <c r="BA23" s="29"/>
      <c r="BB23" s="24">
        <v>603</v>
      </c>
      <c r="BC23" s="25">
        <v>604.9</v>
      </c>
      <c r="BD23" s="28">
        <v>663</v>
      </c>
      <c r="BE23" s="29">
        <v>694.2</v>
      </c>
      <c r="BF23" s="24">
        <v>775.7</v>
      </c>
      <c r="BG23" s="25">
        <v>777.8</v>
      </c>
      <c r="BH23" s="28">
        <v>777.7</v>
      </c>
      <c r="BI23" s="29">
        <v>831.2</v>
      </c>
      <c r="BJ23" s="24">
        <v>978.6</v>
      </c>
      <c r="BK23" s="58"/>
      <c r="BL23" s="58"/>
      <c r="BM23" s="25"/>
      <c r="BN23" s="93">
        <v>1383.9</v>
      </c>
      <c r="BO23" s="97">
        <v>1236.2</v>
      </c>
      <c r="BP23" s="88">
        <v>1558.5</v>
      </c>
      <c r="BQ23" s="92">
        <v>1531.9</v>
      </c>
      <c r="BR23" s="28">
        <v>1520.6</v>
      </c>
      <c r="BS23" s="29">
        <v>1613.3</v>
      </c>
      <c r="BT23" s="12">
        <v>1877.3</v>
      </c>
      <c r="BU23" s="57">
        <v>2254.9</v>
      </c>
      <c r="BV23" s="57">
        <v>2392.8000000000002</v>
      </c>
      <c r="BW23" s="13">
        <v>2532.9</v>
      </c>
      <c r="BX23" s="28">
        <v>3411.5</v>
      </c>
      <c r="BY23" s="29">
        <v>3439.3</v>
      </c>
      <c r="BZ23" s="88">
        <v>3701</v>
      </c>
      <c r="CA23" s="92">
        <v>3717.1</v>
      </c>
      <c r="CB23" s="28">
        <v>4035.1</v>
      </c>
      <c r="CC23" s="29">
        <v>4214.3999999999996</v>
      </c>
      <c r="CD23" s="24">
        <v>4539.8</v>
      </c>
      <c r="CE23" s="25">
        <v>4530.6000000000004</v>
      </c>
      <c r="CF23" s="14">
        <v>4862</v>
      </c>
      <c r="CG23" s="15">
        <v>5260.7</v>
      </c>
      <c r="CH23" s="15">
        <v>6284.5</v>
      </c>
      <c r="CI23" s="15">
        <v>6284.9</v>
      </c>
      <c r="CJ23" s="88">
        <v>6509.9</v>
      </c>
      <c r="CK23" s="92">
        <v>6465</v>
      </c>
      <c r="CL23" s="14">
        <v>6767</v>
      </c>
      <c r="CM23" s="15">
        <v>7375.7</v>
      </c>
      <c r="CN23" s="88">
        <v>8815.7999999999993</v>
      </c>
      <c r="CO23" s="92">
        <v>8901.7999999999993</v>
      </c>
      <c r="CP23" s="14"/>
      <c r="CQ23" s="15"/>
    </row>
    <row r="24" spans="1:95" x14ac:dyDescent="0.55000000000000004">
      <c r="A24" s="7">
        <v>22</v>
      </c>
      <c r="B24" s="24">
        <v>100.3</v>
      </c>
      <c r="C24" s="25">
        <v>100.5</v>
      </c>
      <c r="D24" s="28">
        <v>100.6</v>
      </c>
      <c r="E24" s="29">
        <v>100.8</v>
      </c>
      <c r="F24" s="24">
        <v>101.8</v>
      </c>
      <c r="G24" s="25">
        <v>101.9</v>
      </c>
      <c r="H24" s="28">
        <v>102.2</v>
      </c>
      <c r="I24" s="29">
        <v>102.2</v>
      </c>
      <c r="J24" s="24">
        <v>102.4</v>
      </c>
      <c r="K24" s="25">
        <v>102.4</v>
      </c>
      <c r="L24" s="28">
        <v>102.6</v>
      </c>
      <c r="M24" s="29">
        <v>102.6</v>
      </c>
      <c r="N24" s="24">
        <v>102.6</v>
      </c>
      <c r="O24" s="25">
        <v>102.6</v>
      </c>
      <c r="P24" s="28">
        <v>104.2</v>
      </c>
      <c r="Q24" s="29">
        <v>104.2</v>
      </c>
      <c r="R24" s="24">
        <v>105.4</v>
      </c>
      <c r="S24" s="25">
        <v>105.5</v>
      </c>
      <c r="T24" s="28">
        <v>105.6</v>
      </c>
      <c r="U24" s="29">
        <v>106.3</v>
      </c>
      <c r="V24" s="24">
        <v>107.6</v>
      </c>
      <c r="W24" s="25">
        <v>107.7</v>
      </c>
      <c r="X24" s="28">
        <v>108.3</v>
      </c>
      <c r="Y24" s="29">
        <v>108.4</v>
      </c>
      <c r="Z24" s="24">
        <v>109.2</v>
      </c>
      <c r="AA24" s="25">
        <v>109.3</v>
      </c>
      <c r="AB24" s="28">
        <v>109.5</v>
      </c>
      <c r="AC24" s="29">
        <v>109.7</v>
      </c>
      <c r="AD24" s="24"/>
      <c r="AE24" s="25"/>
      <c r="AF24" s="28"/>
      <c r="AG24" s="29"/>
      <c r="AH24" s="24"/>
      <c r="AI24" s="25"/>
      <c r="AJ24" s="28"/>
      <c r="AK24" s="29"/>
      <c r="AL24" s="24"/>
      <c r="AM24" s="25"/>
      <c r="AN24" s="28"/>
      <c r="AO24" s="29">
        <v>193.8</v>
      </c>
      <c r="AP24" s="24">
        <v>200.2</v>
      </c>
      <c r="AQ24" s="25">
        <v>205.4</v>
      </c>
      <c r="AR24" s="28">
        <v>202.9</v>
      </c>
      <c r="AS24" s="29">
        <v>208.9</v>
      </c>
      <c r="AT24" s="24">
        <v>217.2</v>
      </c>
      <c r="AU24" s="25">
        <v>218.3</v>
      </c>
      <c r="AV24" s="28">
        <v>222.4</v>
      </c>
      <c r="AW24" s="29">
        <v>223.3</v>
      </c>
      <c r="AX24" s="24"/>
      <c r="AY24" s="25"/>
      <c r="AZ24" s="28"/>
      <c r="BA24" s="29"/>
      <c r="BB24" s="24">
        <v>238.7</v>
      </c>
      <c r="BC24" s="25">
        <v>239.5</v>
      </c>
      <c r="BD24" s="28">
        <v>260.3</v>
      </c>
      <c r="BE24" s="29">
        <v>268.8</v>
      </c>
      <c r="BF24" s="24">
        <v>279.8</v>
      </c>
      <c r="BG24" s="25">
        <v>292.5</v>
      </c>
      <c r="BH24" s="28">
        <v>293.60000000000002</v>
      </c>
      <c r="BI24" s="29">
        <v>308.60000000000002</v>
      </c>
      <c r="BJ24" s="24">
        <v>353.5</v>
      </c>
      <c r="BK24" s="58"/>
      <c r="BL24" s="58"/>
      <c r="BM24" s="25"/>
      <c r="BN24" s="87">
        <v>483.6</v>
      </c>
      <c r="BO24" s="97">
        <v>484.2</v>
      </c>
      <c r="BP24" s="91">
        <v>547.70000000000005</v>
      </c>
      <c r="BQ24" s="92">
        <v>548.29999999999995</v>
      </c>
      <c r="BR24" s="28">
        <v>581.20000000000005</v>
      </c>
      <c r="BS24" s="29">
        <v>599.6</v>
      </c>
      <c r="BT24" s="12">
        <v>785.8</v>
      </c>
      <c r="BU24" s="57">
        <v>865.4</v>
      </c>
      <c r="BV24" s="57">
        <v>934.7</v>
      </c>
      <c r="BW24" s="13">
        <v>1018.7</v>
      </c>
      <c r="BX24" s="28">
        <v>1047</v>
      </c>
      <c r="BY24" s="29">
        <v>1407.1</v>
      </c>
      <c r="BZ24" s="91">
        <v>1682.3</v>
      </c>
      <c r="CA24" s="92">
        <v>1731.7</v>
      </c>
      <c r="CB24" s="28">
        <v>1792.2</v>
      </c>
      <c r="CC24" s="29">
        <v>1738.3</v>
      </c>
      <c r="CD24" s="24">
        <v>1890.7</v>
      </c>
      <c r="CE24" s="25">
        <v>1900.3</v>
      </c>
      <c r="CF24" s="14">
        <v>1942.7</v>
      </c>
      <c r="CG24" s="15">
        <v>2165.6999999999998</v>
      </c>
      <c r="CH24" s="15">
        <v>2591.1</v>
      </c>
      <c r="CI24" s="15">
        <v>2697</v>
      </c>
      <c r="CJ24" s="88">
        <v>2947.5</v>
      </c>
      <c r="CK24" s="92">
        <v>2969.7</v>
      </c>
      <c r="CL24" s="14">
        <v>3092.5</v>
      </c>
      <c r="CM24" s="15">
        <v>3210.7</v>
      </c>
      <c r="CN24" s="88">
        <v>3672</v>
      </c>
      <c r="CO24" s="92">
        <v>3705.1</v>
      </c>
      <c r="CP24" s="14"/>
      <c r="CQ24" s="15"/>
    </row>
    <row r="25" spans="1:95" x14ac:dyDescent="0.55000000000000004">
      <c r="A25" s="7">
        <v>23</v>
      </c>
      <c r="B25" s="24">
        <v>105.5</v>
      </c>
      <c r="C25" s="25">
        <v>106.6</v>
      </c>
      <c r="D25" s="28">
        <v>107.2</v>
      </c>
      <c r="E25" s="29">
        <v>108.5</v>
      </c>
      <c r="F25" s="24">
        <v>119.1</v>
      </c>
      <c r="G25" s="25">
        <v>120.1</v>
      </c>
      <c r="H25" s="28">
        <v>123</v>
      </c>
      <c r="I25" s="29">
        <v>123</v>
      </c>
      <c r="J25" s="24">
        <v>127.9</v>
      </c>
      <c r="K25" s="25">
        <v>128.19999999999999</v>
      </c>
      <c r="L25" s="28">
        <v>128.9</v>
      </c>
      <c r="M25" s="29">
        <v>129.1</v>
      </c>
      <c r="N25" s="24">
        <v>134.9</v>
      </c>
      <c r="O25" s="25">
        <v>141.80000000000001</v>
      </c>
      <c r="P25" s="28">
        <v>144</v>
      </c>
      <c r="Q25" s="29">
        <v>144.1</v>
      </c>
      <c r="R25" s="24">
        <v>161.9</v>
      </c>
      <c r="S25" s="25">
        <v>162.6</v>
      </c>
      <c r="T25" s="28">
        <v>163.69999999999999</v>
      </c>
      <c r="U25" s="29">
        <v>171.2</v>
      </c>
      <c r="V25" s="24">
        <v>191.7</v>
      </c>
      <c r="W25" s="25">
        <v>192.2</v>
      </c>
      <c r="X25" s="28">
        <v>193.7</v>
      </c>
      <c r="Y25" s="29">
        <v>194.2</v>
      </c>
      <c r="Z25" s="24">
        <v>193.7</v>
      </c>
      <c r="AA25" s="25">
        <v>194.3</v>
      </c>
      <c r="AB25" s="28">
        <v>187.8</v>
      </c>
      <c r="AC25" s="29">
        <v>189.4</v>
      </c>
      <c r="AD25" s="24"/>
      <c r="AE25" s="25"/>
      <c r="AF25" s="28"/>
      <c r="AG25" s="29"/>
      <c r="AH25" s="24"/>
      <c r="AI25" s="25"/>
      <c r="AJ25" s="28"/>
      <c r="AK25" s="29"/>
      <c r="AL25" s="24"/>
      <c r="AM25" s="25"/>
      <c r="AN25" s="28"/>
      <c r="AO25" s="29">
        <v>411.5</v>
      </c>
      <c r="AP25" s="24">
        <v>418.7</v>
      </c>
      <c r="AQ25" s="25">
        <v>419.9</v>
      </c>
      <c r="AR25" s="28">
        <v>423.7</v>
      </c>
      <c r="AS25" s="29">
        <v>425.8</v>
      </c>
      <c r="AT25" s="24">
        <v>436.4</v>
      </c>
      <c r="AU25" s="25">
        <v>437.7</v>
      </c>
      <c r="AV25" s="28">
        <v>459.7</v>
      </c>
      <c r="AW25" s="29">
        <v>461</v>
      </c>
      <c r="AX25" s="24"/>
      <c r="AY25" s="25"/>
      <c r="AZ25" s="28"/>
      <c r="BA25" s="29"/>
      <c r="BB25" s="24">
        <v>555.4</v>
      </c>
      <c r="BC25" s="25">
        <v>556.29999999999995</v>
      </c>
      <c r="BD25" s="28">
        <v>638</v>
      </c>
      <c r="BE25" s="29">
        <v>638.9</v>
      </c>
      <c r="BF25" s="24">
        <v>648</v>
      </c>
      <c r="BG25" s="25">
        <v>649.20000000000005</v>
      </c>
      <c r="BH25" s="28">
        <v>682.3</v>
      </c>
      <c r="BI25" s="29">
        <v>706.7</v>
      </c>
      <c r="BJ25" s="24">
        <v>1083.2</v>
      </c>
      <c r="BK25" s="58"/>
      <c r="BL25" s="58"/>
      <c r="BM25" s="25"/>
      <c r="BN25" s="93">
        <v>1168.2</v>
      </c>
      <c r="BO25" s="97">
        <v>1170.8</v>
      </c>
      <c r="BP25" s="24">
        <v>1425.8</v>
      </c>
      <c r="BQ25" s="25">
        <v>1432.9</v>
      </c>
      <c r="BR25" s="28">
        <v>1438.1</v>
      </c>
      <c r="BS25" s="29">
        <v>1454.4</v>
      </c>
      <c r="BT25" s="12">
        <v>1737.1</v>
      </c>
      <c r="BU25" s="57">
        <v>2024.2</v>
      </c>
      <c r="BV25" s="57">
        <v>2176.1999999999998</v>
      </c>
      <c r="BW25" s="13">
        <v>2497.8000000000002</v>
      </c>
      <c r="BX25" s="28">
        <v>2343.9</v>
      </c>
      <c r="BY25" s="29">
        <v>2394.4</v>
      </c>
      <c r="BZ25" s="24">
        <v>2544</v>
      </c>
      <c r="CA25" s="25">
        <v>2604.6999999999998</v>
      </c>
      <c r="CB25" s="28">
        <v>2943.5</v>
      </c>
      <c r="CC25" s="29">
        <v>3092.5</v>
      </c>
      <c r="CD25" s="24">
        <v>3272.1</v>
      </c>
      <c r="CE25" s="25">
        <v>3309.2</v>
      </c>
      <c r="CF25" s="14">
        <v>3526.7</v>
      </c>
      <c r="CG25" s="15">
        <v>3858.3</v>
      </c>
      <c r="CH25" s="15">
        <v>4188</v>
      </c>
      <c r="CI25" s="15">
        <v>4188.2</v>
      </c>
      <c r="CJ25" s="88">
        <v>4527.3999999999996</v>
      </c>
      <c r="CK25" s="92">
        <v>4733.5</v>
      </c>
      <c r="CL25" s="14">
        <v>4718.1000000000004</v>
      </c>
      <c r="CM25" s="15">
        <v>4857.2</v>
      </c>
      <c r="CN25" s="88">
        <v>5339.6</v>
      </c>
      <c r="CO25" s="92">
        <v>5429.4</v>
      </c>
      <c r="CP25" s="14"/>
      <c r="CQ25" s="15"/>
    </row>
    <row r="26" spans="1:95" x14ac:dyDescent="0.55000000000000004">
      <c r="A26" s="7">
        <v>24</v>
      </c>
      <c r="B26" s="24">
        <v>103</v>
      </c>
      <c r="C26" s="25">
        <v>104.5</v>
      </c>
      <c r="D26" s="28">
        <v>105.2</v>
      </c>
      <c r="E26" s="29">
        <v>116.3</v>
      </c>
      <c r="F26" s="24">
        <v>121.4</v>
      </c>
      <c r="G26" s="25">
        <v>122.6</v>
      </c>
      <c r="H26" s="28">
        <v>124.3</v>
      </c>
      <c r="I26" s="29">
        <v>124.3</v>
      </c>
      <c r="J26" s="24">
        <v>126.9</v>
      </c>
      <c r="K26" s="25">
        <v>127.4</v>
      </c>
      <c r="L26" s="28">
        <v>128.1</v>
      </c>
      <c r="M26" s="29">
        <v>128.4</v>
      </c>
      <c r="N26" s="24">
        <v>134.30000000000001</v>
      </c>
      <c r="O26" s="25">
        <v>134.6</v>
      </c>
      <c r="P26" s="28">
        <v>136.69999999999999</v>
      </c>
      <c r="Q26" s="29">
        <v>136.80000000000001</v>
      </c>
      <c r="R26" s="24">
        <v>143.69999999999999</v>
      </c>
      <c r="S26" s="25">
        <v>144.6</v>
      </c>
      <c r="T26" s="28">
        <v>146.1</v>
      </c>
      <c r="U26" s="29">
        <v>147.30000000000001</v>
      </c>
      <c r="V26" s="24">
        <v>167.1</v>
      </c>
      <c r="W26" s="25">
        <v>167.8</v>
      </c>
      <c r="X26" s="28">
        <v>169.9</v>
      </c>
      <c r="Y26" s="29">
        <v>170.6</v>
      </c>
      <c r="Z26" s="24">
        <v>177.1</v>
      </c>
      <c r="AA26" s="25">
        <v>185.3</v>
      </c>
      <c r="AB26" s="28">
        <v>187.8</v>
      </c>
      <c r="AC26" s="29">
        <v>189.4</v>
      </c>
      <c r="AD26" s="24"/>
      <c r="AE26" s="25"/>
      <c r="AF26" s="28"/>
      <c r="AG26" s="29"/>
      <c r="AH26" s="24"/>
      <c r="AI26" s="25"/>
      <c r="AJ26" s="28"/>
      <c r="AK26" s="29"/>
      <c r="AL26" s="24"/>
      <c r="AM26" s="25"/>
      <c r="AN26" s="28"/>
      <c r="AO26" s="29">
        <v>365.4</v>
      </c>
      <c r="AP26" s="24">
        <v>384.1</v>
      </c>
      <c r="AQ26" s="25">
        <v>386.8</v>
      </c>
      <c r="AR26" s="28">
        <v>393</v>
      </c>
      <c r="AS26" s="29">
        <v>398.4</v>
      </c>
      <c r="AT26" s="24">
        <v>444.1</v>
      </c>
      <c r="AU26" s="25">
        <v>447.5</v>
      </c>
      <c r="AV26" s="28">
        <v>455</v>
      </c>
      <c r="AW26" s="29">
        <v>458.3</v>
      </c>
      <c r="AX26" s="24"/>
      <c r="AY26" s="25"/>
      <c r="AZ26" s="28"/>
      <c r="BA26" s="29"/>
      <c r="BB26" s="24">
        <v>497.4</v>
      </c>
      <c r="BC26" s="25">
        <v>499.7</v>
      </c>
      <c r="BD26" s="28">
        <v>518</v>
      </c>
      <c r="BE26" s="29">
        <v>520.29999999999995</v>
      </c>
      <c r="BF26" s="24">
        <v>543.79999999999995</v>
      </c>
      <c r="BG26" s="25">
        <v>572.29999999999995</v>
      </c>
      <c r="BH26" s="28">
        <v>574.9</v>
      </c>
      <c r="BI26" s="29">
        <v>590.5</v>
      </c>
      <c r="BJ26" s="24">
        <v>742.6</v>
      </c>
      <c r="BK26" s="58"/>
      <c r="BL26" s="58"/>
      <c r="BM26" s="25"/>
      <c r="BN26" s="93">
        <v>812.1</v>
      </c>
      <c r="BO26" s="90">
        <v>816.5</v>
      </c>
      <c r="BP26" s="91">
        <v>968.8</v>
      </c>
      <c r="BQ26" s="89">
        <v>984.5</v>
      </c>
      <c r="BR26" s="28">
        <v>1008.7</v>
      </c>
      <c r="BS26" s="29">
        <v>1038.7</v>
      </c>
      <c r="BT26" s="12">
        <v>1223.2</v>
      </c>
      <c r="BU26" s="57">
        <v>1393.6</v>
      </c>
      <c r="BV26" s="57">
        <v>1471.1</v>
      </c>
      <c r="BW26" s="13">
        <v>1578.7</v>
      </c>
      <c r="BX26" s="28">
        <v>1905</v>
      </c>
      <c r="BY26" s="29">
        <v>2044.8</v>
      </c>
      <c r="BZ26" s="91">
        <v>2332</v>
      </c>
      <c r="CA26" s="89">
        <v>2419.6</v>
      </c>
      <c r="CB26" s="28">
        <v>2506.6</v>
      </c>
      <c r="CC26" s="29">
        <v>2533.6</v>
      </c>
      <c r="CD26" s="24">
        <v>2920.7</v>
      </c>
      <c r="CE26" s="25">
        <v>2886.9</v>
      </c>
      <c r="CF26" s="14">
        <v>3214.5</v>
      </c>
      <c r="CG26" s="15">
        <v>3479.1</v>
      </c>
      <c r="CH26" s="15">
        <v>3861</v>
      </c>
      <c r="CI26" s="15">
        <v>3974</v>
      </c>
      <c r="CJ26" s="88">
        <v>4284.5</v>
      </c>
      <c r="CK26" s="92">
        <v>4342</v>
      </c>
      <c r="CL26" s="14">
        <v>4483.5</v>
      </c>
      <c r="CM26" s="15">
        <v>4793.6000000000004</v>
      </c>
      <c r="CN26" s="88">
        <v>5576.7</v>
      </c>
      <c r="CO26" s="92">
        <v>5671.7</v>
      </c>
      <c r="CP26" s="14"/>
      <c r="CQ26" s="15"/>
    </row>
    <row r="27" spans="1:95" x14ac:dyDescent="0.55000000000000004">
      <c r="A27" s="7">
        <v>25</v>
      </c>
      <c r="B27" s="24">
        <v>106.3</v>
      </c>
      <c r="C27" s="25">
        <v>106.4</v>
      </c>
      <c r="D27" s="28">
        <v>106.4</v>
      </c>
      <c r="E27" s="29">
        <v>117.7</v>
      </c>
      <c r="F27" s="24">
        <v>130.1</v>
      </c>
      <c r="G27" s="25">
        <v>130.19999999999999</v>
      </c>
      <c r="H27" s="28">
        <v>131</v>
      </c>
      <c r="I27" s="29">
        <v>131</v>
      </c>
      <c r="J27" s="24">
        <v>131.1</v>
      </c>
      <c r="K27" s="25">
        <v>131.1</v>
      </c>
      <c r="L27" s="28">
        <v>152.4</v>
      </c>
      <c r="M27" s="29">
        <v>152.4</v>
      </c>
      <c r="N27" s="24">
        <v>161.5</v>
      </c>
      <c r="O27" s="25">
        <v>161.5</v>
      </c>
      <c r="P27" s="28">
        <v>163.30000000000001</v>
      </c>
      <c r="Q27" s="29">
        <v>163.30000000000001</v>
      </c>
      <c r="R27" s="24">
        <v>183.6</v>
      </c>
      <c r="S27" s="25">
        <v>183.7</v>
      </c>
      <c r="T27" s="28">
        <v>210.6</v>
      </c>
      <c r="U27" s="29">
        <v>210.7</v>
      </c>
      <c r="V27" s="24">
        <v>217.3</v>
      </c>
      <c r="W27" s="25">
        <v>217.3</v>
      </c>
      <c r="X27" s="28">
        <v>217.4</v>
      </c>
      <c r="Y27" s="29">
        <v>217.5</v>
      </c>
      <c r="Z27" s="24">
        <v>217.8</v>
      </c>
      <c r="AA27" s="25">
        <v>217.8</v>
      </c>
      <c r="AB27" s="28">
        <v>231.6</v>
      </c>
      <c r="AC27" s="29">
        <v>231.7</v>
      </c>
      <c r="AD27" s="24"/>
      <c r="AE27" s="25"/>
      <c r="AF27" s="28"/>
      <c r="AG27" s="29"/>
      <c r="AH27" s="24"/>
      <c r="AI27" s="25"/>
      <c r="AJ27" s="28"/>
      <c r="AK27" s="29"/>
      <c r="AL27" s="24"/>
      <c r="AM27" s="25"/>
      <c r="AN27" s="28"/>
      <c r="AO27" s="29">
        <v>828</v>
      </c>
      <c r="AP27" s="24">
        <v>971.2</v>
      </c>
      <c r="AQ27" s="25">
        <v>866.9</v>
      </c>
      <c r="AR27" s="28">
        <v>914.9</v>
      </c>
      <c r="AS27" s="29">
        <v>959.8</v>
      </c>
      <c r="AT27" s="24" t="s">
        <v>14</v>
      </c>
      <c r="AU27" s="25" t="s">
        <v>16</v>
      </c>
      <c r="AV27" s="28" t="s">
        <v>12</v>
      </c>
      <c r="AW27" s="29">
        <v>1037</v>
      </c>
      <c r="AX27" s="24"/>
      <c r="AY27" s="25"/>
      <c r="AZ27" s="28"/>
      <c r="BA27" s="29"/>
      <c r="BB27" s="24">
        <v>1040.5</v>
      </c>
      <c r="BC27" s="25">
        <v>1040.7</v>
      </c>
      <c r="BD27" s="28">
        <v>1174.2</v>
      </c>
      <c r="BE27" s="29">
        <v>1174.3</v>
      </c>
      <c r="BF27" s="24">
        <v>1175.5999999999999</v>
      </c>
      <c r="BG27" s="25">
        <v>1175.8</v>
      </c>
      <c r="BH27" s="28">
        <v>1349.8</v>
      </c>
      <c r="BI27" s="29">
        <v>1408</v>
      </c>
      <c r="BJ27" s="24">
        <v>2301</v>
      </c>
      <c r="BK27" s="58"/>
      <c r="BL27" s="58"/>
      <c r="BM27" s="25"/>
      <c r="BN27" s="87">
        <v>2803.4</v>
      </c>
      <c r="BO27" s="97">
        <v>2803.9</v>
      </c>
      <c r="BP27" s="88">
        <v>3253.4</v>
      </c>
      <c r="BQ27" s="92">
        <v>3365.8</v>
      </c>
      <c r="BR27" s="28">
        <v>3283</v>
      </c>
      <c r="BS27" s="29">
        <v>3367</v>
      </c>
      <c r="BT27" s="12">
        <v>3809.9</v>
      </c>
      <c r="BU27" s="57">
        <v>4677.3</v>
      </c>
      <c r="BV27" s="57">
        <v>5285.6</v>
      </c>
      <c r="BW27" s="13">
        <v>6150.3</v>
      </c>
      <c r="BX27" s="28">
        <v>6121.7</v>
      </c>
      <c r="BY27" s="29">
        <v>6123.6</v>
      </c>
      <c r="BZ27" s="88">
        <v>6318.5</v>
      </c>
      <c r="CA27" s="92">
        <v>6443.6</v>
      </c>
      <c r="CB27" s="28">
        <v>6869.7</v>
      </c>
      <c r="CC27" s="29">
        <v>6566.4</v>
      </c>
      <c r="CD27" s="24">
        <v>6910.4</v>
      </c>
      <c r="CE27" s="25">
        <v>7055.5</v>
      </c>
      <c r="CF27" s="14">
        <v>7760</v>
      </c>
      <c r="CG27" s="15">
        <v>8024.7</v>
      </c>
      <c r="CH27" s="15">
        <v>8870.6</v>
      </c>
      <c r="CI27" s="15">
        <v>9065.9</v>
      </c>
      <c r="CJ27" s="88">
        <v>9983.7999999999993</v>
      </c>
      <c r="CK27" s="92">
        <v>9988.2999999999993</v>
      </c>
      <c r="CL27" s="14">
        <v>9992.6</v>
      </c>
      <c r="CM27" s="15">
        <v>10444.299999999999</v>
      </c>
      <c r="CN27" s="88"/>
      <c r="CO27" s="92"/>
      <c r="CP27" s="14"/>
      <c r="CQ27" s="15"/>
    </row>
    <row r="28" spans="1:95" x14ac:dyDescent="0.55000000000000004">
      <c r="A28" s="7">
        <v>26</v>
      </c>
      <c r="B28" s="24">
        <v>104.7</v>
      </c>
      <c r="C28" s="25">
        <v>105.2</v>
      </c>
      <c r="D28" s="28">
        <v>105.5</v>
      </c>
      <c r="E28" s="29">
        <v>107.6</v>
      </c>
      <c r="F28" s="24">
        <v>117.6</v>
      </c>
      <c r="G28" s="25">
        <v>118.1</v>
      </c>
      <c r="H28" s="28">
        <v>127</v>
      </c>
      <c r="I28" s="29">
        <v>127</v>
      </c>
      <c r="J28" s="24">
        <v>129.30000000000001</v>
      </c>
      <c r="K28" s="25">
        <v>129.4</v>
      </c>
      <c r="L28" s="28">
        <v>140.30000000000001</v>
      </c>
      <c r="M28" s="29">
        <v>140.4</v>
      </c>
      <c r="N28" s="24">
        <v>149.30000000000001</v>
      </c>
      <c r="O28" s="25">
        <v>149.30000000000001</v>
      </c>
      <c r="P28" s="28">
        <v>151.80000000000001</v>
      </c>
      <c r="Q28" s="29">
        <v>151.9</v>
      </c>
      <c r="R28" s="24">
        <v>163.9</v>
      </c>
      <c r="S28" s="25">
        <v>164.3</v>
      </c>
      <c r="T28" s="28">
        <v>164.8</v>
      </c>
      <c r="U28" s="29">
        <v>175.2</v>
      </c>
      <c r="V28" s="24">
        <v>196.8</v>
      </c>
      <c r="W28" s="25">
        <v>197</v>
      </c>
      <c r="X28" s="28">
        <v>197.7</v>
      </c>
      <c r="Y28" s="29">
        <v>197.9</v>
      </c>
      <c r="Z28" s="24">
        <v>200.1</v>
      </c>
      <c r="AA28" s="25">
        <v>200.4</v>
      </c>
      <c r="AB28" s="28">
        <v>215</v>
      </c>
      <c r="AC28" s="29">
        <v>215.5</v>
      </c>
      <c r="AD28" s="24"/>
      <c r="AE28" s="25"/>
      <c r="AF28" s="28"/>
      <c r="AG28" s="29"/>
      <c r="AH28" s="24"/>
      <c r="AI28" s="25"/>
      <c r="AJ28" s="28"/>
      <c r="AK28" s="29"/>
      <c r="AL28" s="24"/>
      <c r="AM28" s="25"/>
      <c r="AN28" s="28"/>
      <c r="AO28" s="29">
        <v>458.2</v>
      </c>
      <c r="AP28" s="24">
        <v>478.3</v>
      </c>
      <c r="AQ28" s="25">
        <v>503.7</v>
      </c>
      <c r="AR28" s="28">
        <v>484.2</v>
      </c>
      <c r="AS28" s="29">
        <v>533</v>
      </c>
      <c r="AT28" s="24">
        <v>477.9</v>
      </c>
      <c r="AU28" s="25">
        <v>479.3</v>
      </c>
      <c r="AV28" s="28">
        <v>524.5</v>
      </c>
      <c r="AW28" s="29">
        <v>525.79999999999995</v>
      </c>
      <c r="AX28" s="24"/>
      <c r="AY28" s="25"/>
      <c r="AZ28" s="28"/>
      <c r="BA28" s="29"/>
      <c r="BB28" s="24">
        <v>596</v>
      </c>
      <c r="BC28" s="25">
        <v>597</v>
      </c>
      <c r="BD28" s="28">
        <v>632.9</v>
      </c>
      <c r="BE28" s="29">
        <v>667.6</v>
      </c>
      <c r="BF28" s="24">
        <v>761.6</v>
      </c>
      <c r="BG28" s="25">
        <v>776.8</v>
      </c>
      <c r="BH28" s="28">
        <v>797.5</v>
      </c>
      <c r="BI28" s="29">
        <v>801.8</v>
      </c>
      <c r="BJ28" s="24">
        <v>935</v>
      </c>
      <c r="BK28" s="58"/>
      <c r="BL28" s="58"/>
      <c r="BM28" s="25"/>
      <c r="BN28" s="93">
        <v>1720.7</v>
      </c>
      <c r="BO28" s="97">
        <v>1844.1</v>
      </c>
      <c r="BP28" s="88">
        <v>2191.5</v>
      </c>
      <c r="BQ28" s="92">
        <v>1935.2</v>
      </c>
      <c r="BR28" s="28">
        <v>2174.1</v>
      </c>
      <c r="BS28" s="29">
        <v>2287.3000000000002</v>
      </c>
      <c r="BT28" s="12">
        <v>2701.1</v>
      </c>
      <c r="BU28" s="57">
        <v>3282.5</v>
      </c>
      <c r="BV28" s="57">
        <v>3695.6</v>
      </c>
      <c r="BW28" s="13">
        <v>4246.1000000000004</v>
      </c>
      <c r="BX28" s="28">
        <v>4260.8</v>
      </c>
      <c r="BY28" s="29">
        <v>4273.8999999999996</v>
      </c>
      <c r="BZ28" s="88">
        <v>4480</v>
      </c>
      <c r="CA28" s="92">
        <v>4578.3999999999996</v>
      </c>
      <c r="CB28" s="28">
        <v>4738.8</v>
      </c>
      <c r="CC28" s="29">
        <v>4740</v>
      </c>
      <c r="CD28" s="24">
        <v>4935.8999999999996</v>
      </c>
      <c r="CE28" s="25">
        <v>4946.3</v>
      </c>
      <c r="CF28" s="14">
        <v>5620.8</v>
      </c>
      <c r="CG28" s="15">
        <v>6022.9</v>
      </c>
      <c r="CH28" s="15">
        <v>6395.3</v>
      </c>
      <c r="CI28" s="15">
        <v>6395.4</v>
      </c>
      <c r="CJ28" s="88">
        <v>6659.2</v>
      </c>
      <c r="CK28" s="92">
        <v>7109.8</v>
      </c>
      <c r="CL28" s="14">
        <v>7210.7</v>
      </c>
      <c r="CM28" s="15">
        <v>7487</v>
      </c>
      <c r="CN28" s="88">
        <v>8698.1</v>
      </c>
      <c r="CO28" s="92">
        <v>8470.7000000000007</v>
      </c>
      <c r="CP28" s="14"/>
      <c r="CQ28" s="15"/>
    </row>
    <row r="29" spans="1:95" x14ac:dyDescent="0.55000000000000004">
      <c r="A29" s="7">
        <v>27</v>
      </c>
      <c r="B29" s="24">
        <v>100.5</v>
      </c>
      <c r="C29" s="25">
        <v>100.7</v>
      </c>
      <c r="D29" s="28">
        <v>100.8</v>
      </c>
      <c r="E29" s="29">
        <v>101</v>
      </c>
      <c r="F29" s="24">
        <v>107.4</v>
      </c>
      <c r="G29" s="25">
        <v>107.6</v>
      </c>
      <c r="H29" s="28">
        <v>109.3</v>
      </c>
      <c r="I29" s="29">
        <v>109.3</v>
      </c>
      <c r="J29" s="24">
        <v>109.7</v>
      </c>
      <c r="K29" s="25">
        <v>109.8</v>
      </c>
      <c r="L29" s="28">
        <v>109.9</v>
      </c>
      <c r="M29" s="29">
        <v>109.9</v>
      </c>
      <c r="N29" s="24">
        <v>112.4</v>
      </c>
      <c r="O29" s="25">
        <v>112.4</v>
      </c>
      <c r="P29" s="28">
        <v>118.1</v>
      </c>
      <c r="Q29" s="29">
        <v>118.1</v>
      </c>
      <c r="R29" s="24">
        <v>127.3</v>
      </c>
      <c r="S29" s="25">
        <v>127.4</v>
      </c>
      <c r="T29" s="28">
        <v>127.7</v>
      </c>
      <c r="U29" s="29">
        <v>144.30000000000001</v>
      </c>
      <c r="V29" s="24">
        <v>155.30000000000001</v>
      </c>
      <c r="W29" s="25">
        <v>155.4</v>
      </c>
      <c r="X29" s="28">
        <v>155.80000000000001</v>
      </c>
      <c r="Y29" s="29">
        <v>155.9</v>
      </c>
      <c r="Z29" s="24">
        <v>156.9</v>
      </c>
      <c r="AA29" s="25">
        <v>157</v>
      </c>
      <c r="AB29" s="28">
        <v>157.4</v>
      </c>
      <c r="AC29" s="29">
        <v>157.69999999999999</v>
      </c>
      <c r="AD29" s="24"/>
      <c r="AE29" s="25"/>
      <c r="AF29" s="28"/>
      <c r="AG29" s="29"/>
      <c r="AH29" s="24"/>
      <c r="AI29" s="25"/>
      <c r="AJ29" s="28"/>
      <c r="AK29" s="29"/>
      <c r="AL29" s="24"/>
      <c r="AM29" s="25"/>
      <c r="AN29" s="28"/>
      <c r="AO29" s="29">
        <v>414.8</v>
      </c>
      <c r="AP29" s="24">
        <v>490.6</v>
      </c>
      <c r="AQ29" s="25">
        <v>491.1</v>
      </c>
      <c r="AR29" s="28">
        <v>460.9</v>
      </c>
      <c r="AS29" s="29">
        <v>509.9</v>
      </c>
      <c r="AT29" s="24">
        <v>509.9</v>
      </c>
      <c r="AU29" s="25">
        <v>510.4</v>
      </c>
      <c r="AV29" s="28">
        <v>515.79999999999995</v>
      </c>
      <c r="AW29" s="29">
        <v>516.29999999999995</v>
      </c>
      <c r="AX29" s="24"/>
      <c r="AY29" s="25"/>
      <c r="AZ29" s="28"/>
      <c r="BA29" s="29"/>
      <c r="BB29" s="24">
        <v>582.29999999999995</v>
      </c>
      <c r="BC29" s="25">
        <v>582.70000000000005</v>
      </c>
      <c r="BD29" s="28">
        <v>618.5</v>
      </c>
      <c r="BE29" s="29">
        <v>618.9</v>
      </c>
      <c r="BF29" s="24">
        <v>697.4</v>
      </c>
      <c r="BG29" s="25">
        <v>720.9</v>
      </c>
      <c r="BH29" s="28">
        <v>721.4</v>
      </c>
      <c r="BI29" s="29">
        <v>750.5</v>
      </c>
      <c r="BJ29" s="24">
        <v>872</v>
      </c>
      <c r="BK29" s="58"/>
      <c r="BL29" s="58"/>
      <c r="BM29" s="25"/>
      <c r="BN29" s="93">
        <v>1373.3</v>
      </c>
      <c r="BO29" s="97">
        <v>1380</v>
      </c>
      <c r="BP29" s="88">
        <v>1607.6</v>
      </c>
      <c r="BQ29" s="92">
        <v>1618.8</v>
      </c>
      <c r="BR29" s="28">
        <v>1625.5</v>
      </c>
      <c r="BS29" s="29">
        <v>1656.7</v>
      </c>
      <c r="BT29" s="12">
        <v>1918.4</v>
      </c>
      <c r="BU29" s="57">
        <v>2341.6</v>
      </c>
      <c r="BV29" s="57">
        <v>2638.6</v>
      </c>
      <c r="BW29" s="13">
        <v>3037.6</v>
      </c>
      <c r="BX29" s="28">
        <v>3084.4</v>
      </c>
      <c r="BY29" s="29">
        <v>3124.9</v>
      </c>
      <c r="BZ29" s="88">
        <v>3355.4</v>
      </c>
      <c r="CA29" s="92">
        <v>3433.4</v>
      </c>
      <c r="CB29" s="28">
        <v>3531.5</v>
      </c>
      <c r="CC29" s="29">
        <v>3862.3</v>
      </c>
      <c r="CD29" s="24">
        <v>4319</v>
      </c>
      <c r="CE29" s="25">
        <v>4346.8</v>
      </c>
      <c r="CF29" s="14">
        <v>5165.3</v>
      </c>
      <c r="CG29" s="15">
        <v>5415.8</v>
      </c>
      <c r="CH29" s="15">
        <v>5735</v>
      </c>
      <c r="CI29" s="15">
        <v>5739.8</v>
      </c>
      <c r="CJ29" s="88">
        <v>6300.3</v>
      </c>
      <c r="CK29" s="92">
        <v>6738.8</v>
      </c>
      <c r="CL29" s="14">
        <v>6749.8</v>
      </c>
      <c r="CM29" s="15">
        <v>6917.7</v>
      </c>
      <c r="CN29" s="88">
        <v>7304.7</v>
      </c>
      <c r="CO29" s="92">
        <v>7612.2</v>
      </c>
      <c r="CP29" s="14"/>
      <c r="CQ29" s="15"/>
    </row>
    <row r="30" spans="1:95" x14ac:dyDescent="0.55000000000000004">
      <c r="A30" s="7">
        <v>28</v>
      </c>
      <c r="B30" s="41">
        <v>103.3</v>
      </c>
      <c r="C30" s="31">
        <v>104</v>
      </c>
      <c r="D30" s="32">
        <v>104.4</v>
      </c>
      <c r="E30" s="33">
        <v>114.2</v>
      </c>
      <c r="F30" s="24">
        <v>128.30000000000001</v>
      </c>
      <c r="G30" s="25">
        <v>128.9</v>
      </c>
      <c r="H30" s="28">
        <v>129.80000000000001</v>
      </c>
      <c r="I30" s="29">
        <v>129.80000000000001</v>
      </c>
      <c r="J30" s="24">
        <v>130.80000000000001</v>
      </c>
      <c r="K30" s="25">
        <v>131.1</v>
      </c>
      <c r="L30" s="28">
        <v>131.5</v>
      </c>
      <c r="M30" s="29">
        <v>131.69999999999999</v>
      </c>
      <c r="N30" s="24">
        <v>132.5</v>
      </c>
      <c r="O30" s="25">
        <v>146.1</v>
      </c>
      <c r="P30" s="28">
        <v>148.9</v>
      </c>
      <c r="Q30" s="29">
        <v>149</v>
      </c>
      <c r="R30" s="24">
        <v>158</v>
      </c>
      <c r="S30" s="25">
        <v>158.5</v>
      </c>
      <c r="T30" s="28">
        <v>159.1</v>
      </c>
      <c r="U30" s="29">
        <v>160.69999999999999</v>
      </c>
      <c r="V30" s="24">
        <v>178.2</v>
      </c>
      <c r="W30" s="25">
        <v>178.5</v>
      </c>
      <c r="X30" s="28">
        <v>168.8</v>
      </c>
      <c r="Y30" s="29">
        <v>166.3</v>
      </c>
      <c r="Z30" s="24">
        <v>169</v>
      </c>
      <c r="AA30" s="25">
        <v>169.4</v>
      </c>
      <c r="AB30" s="28">
        <v>181.6</v>
      </c>
      <c r="AC30" s="29">
        <v>182.2</v>
      </c>
      <c r="AD30" s="24"/>
      <c r="AE30" s="25"/>
      <c r="AF30" s="28"/>
      <c r="AG30" s="29"/>
      <c r="AH30" s="24"/>
      <c r="AI30" s="25"/>
      <c r="AJ30" s="28"/>
      <c r="AK30" s="29"/>
      <c r="AL30" s="24"/>
      <c r="AM30" s="25"/>
      <c r="AN30" s="28"/>
      <c r="AO30" s="29">
        <v>334</v>
      </c>
      <c r="AP30" s="24">
        <v>359.4</v>
      </c>
      <c r="AQ30" s="25">
        <v>365.7</v>
      </c>
      <c r="AR30" s="28">
        <v>372.5</v>
      </c>
      <c r="AS30" s="29">
        <v>376.2</v>
      </c>
      <c r="AT30" s="24">
        <v>407.2</v>
      </c>
      <c r="AU30" s="25">
        <v>411.5</v>
      </c>
      <c r="AV30" s="28">
        <v>410.1</v>
      </c>
      <c r="AW30" s="29">
        <v>412.8</v>
      </c>
      <c r="AX30" s="24"/>
      <c r="AY30" s="25"/>
      <c r="AZ30" s="28"/>
      <c r="BA30" s="29"/>
      <c r="BB30" s="24">
        <v>431.7</v>
      </c>
      <c r="BC30" s="25">
        <v>433.9</v>
      </c>
      <c r="BD30" s="28">
        <v>460.3</v>
      </c>
      <c r="BE30" s="29">
        <v>477.1</v>
      </c>
      <c r="BF30" s="24">
        <v>521.5</v>
      </c>
      <c r="BG30" s="25">
        <v>538.29999999999995</v>
      </c>
      <c r="BH30" s="28">
        <v>548.5</v>
      </c>
      <c r="BI30" s="29">
        <v>560.29999999999995</v>
      </c>
      <c r="BJ30" s="24">
        <v>615.6</v>
      </c>
      <c r="BK30" s="58"/>
      <c r="BL30" s="58"/>
      <c r="BM30" s="25"/>
      <c r="BN30" s="93">
        <v>866</v>
      </c>
      <c r="BO30" s="90">
        <v>875.4</v>
      </c>
      <c r="BP30" s="91">
        <v>992.8</v>
      </c>
      <c r="BQ30" s="92">
        <v>988.3</v>
      </c>
      <c r="BR30" s="28">
        <v>1054</v>
      </c>
      <c r="BS30" s="29">
        <v>1084.8</v>
      </c>
      <c r="BT30" s="12">
        <v>1528.7</v>
      </c>
      <c r="BU30" s="57">
        <v>1645.8</v>
      </c>
      <c r="BV30" s="57">
        <v>1764.4</v>
      </c>
      <c r="BW30" s="13">
        <v>1922.2</v>
      </c>
      <c r="BX30" s="28">
        <v>1983.9</v>
      </c>
      <c r="BY30" s="29">
        <v>2165.3000000000002</v>
      </c>
      <c r="BZ30" s="91">
        <v>2673.8</v>
      </c>
      <c r="CA30" s="92">
        <v>2743.5</v>
      </c>
      <c r="CB30" s="28">
        <v>2821.2</v>
      </c>
      <c r="CC30" s="29">
        <v>2706.3</v>
      </c>
      <c r="CD30" s="24">
        <v>3045.5</v>
      </c>
      <c r="CE30" s="25">
        <v>3067.5</v>
      </c>
      <c r="CF30" s="14">
        <v>3325.6</v>
      </c>
      <c r="CG30" s="15">
        <v>3541.9</v>
      </c>
      <c r="CH30" s="15">
        <v>3760.8</v>
      </c>
      <c r="CI30" s="15">
        <v>3809.3</v>
      </c>
      <c r="CJ30" s="88">
        <v>4002</v>
      </c>
      <c r="CK30" s="92">
        <v>4059.4</v>
      </c>
      <c r="CL30" s="14">
        <v>4557.7</v>
      </c>
      <c r="CM30" s="15">
        <v>4599</v>
      </c>
      <c r="CN30" s="88">
        <v>5335.7</v>
      </c>
      <c r="CO30" s="92">
        <v>5284.5</v>
      </c>
      <c r="CP30" s="14"/>
      <c r="CQ30" s="15"/>
    </row>
    <row r="31" spans="1:95" ht="23.45" customHeight="1" x14ac:dyDescent="0.55000000000000004">
      <c r="A31" s="7">
        <v>29</v>
      </c>
      <c r="B31" s="41">
        <v>109</v>
      </c>
      <c r="C31" s="31">
        <v>112.8</v>
      </c>
      <c r="D31" s="32">
        <v>114.9</v>
      </c>
      <c r="E31" s="33">
        <v>117</v>
      </c>
      <c r="F31" s="24">
        <v>133.4</v>
      </c>
      <c r="G31" s="25">
        <v>137.1</v>
      </c>
      <c r="H31" s="28">
        <v>139.80000000000001</v>
      </c>
      <c r="I31" s="29">
        <v>139.80000000000001</v>
      </c>
      <c r="J31" s="24">
        <v>147.80000000000001</v>
      </c>
      <c r="K31" s="25">
        <v>149.9</v>
      </c>
      <c r="L31" s="28">
        <v>152.5</v>
      </c>
      <c r="M31" s="29">
        <v>153.30000000000001</v>
      </c>
      <c r="N31" s="24">
        <v>166.8</v>
      </c>
      <c r="O31" s="25">
        <v>170.5</v>
      </c>
      <c r="P31" s="28">
        <v>171.4</v>
      </c>
      <c r="Q31" s="29">
        <v>171.7</v>
      </c>
      <c r="R31" s="24">
        <v>189.7</v>
      </c>
      <c r="S31" s="25">
        <v>192.2</v>
      </c>
      <c r="T31" s="28">
        <v>198.6</v>
      </c>
      <c r="U31" s="29">
        <v>203</v>
      </c>
      <c r="V31" s="24"/>
      <c r="W31" s="25">
        <v>209.5</v>
      </c>
      <c r="X31" s="28">
        <v>210</v>
      </c>
      <c r="Y31" s="29">
        <v>210.2</v>
      </c>
      <c r="Z31" s="24">
        <v>211.8</v>
      </c>
      <c r="AA31" s="25">
        <v>212.1</v>
      </c>
      <c r="AB31" s="28">
        <v>237.7</v>
      </c>
      <c r="AC31" s="29">
        <v>238.1</v>
      </c>
      <c r="AD31" s="24"/>
      <c r="AE31" s="25"/>
      <c r="AF31" s="28"/>
      <c r="AG31" s="29"/>
      <c r="AH31" s="24"/>
      <c r="AI31" s="25"/>
      <c r="AJ31" s="28"/>
      <c r="AK31" s="29"/>
      <c r="AL31" s="24"/>
      <c r="AM31" s="25"/>
      <c r="AN31" s="28"/>
      <c r="AO31" s="29">
        <v>403.8</v>
      </c>
      <c r="AP31" s="24">
        <v>410.3</v>
      </c>
      <c r="AQ31" s="25">
        <v>411.2</v>
      </c>
      <c r="AR31" s="28">
        <v>537.4</v>
      </c>
      <c r="AS31" s="29">
        <v>539.29999999999995</v>
      </c>
      <c r="AT31" s="24">
        <v>596.70000000000005</v>
      </c>
      <c r="AU31" s="25">
        <v>597.9</v>
      </c>
      <c r="AV31" s="28">
        <v>600.70000000000005</v>
      </c>
      <c r="AW31" s="29">
        <v>601.79999999999995</v>
      </c>
      <c r="AX31" s="24"/>
      <c r="AY31" s="25"/>
      <c r="AZ31" s="28"/>
      <c r="BA31" s="29"/>
      <c r="BB31" s="24">
        <v>617.70000000000005</v>
      </c>
      <c r="BC31" s="25">
        <v>618.5</v>
      </c>
      <c r="BD31" s="28">
        <v>644.5</v>
      </c>
      <c r="BE31" s="29">
        <v>645.29999999999995</v>
      </c>
      <c r="BF31" s="24">
        <v>657.1</v>
      </c>
      <c r="BG31" s="25">
        <v>712.1</v>
      </c>
      <c r="BH31" s="28">
        <v>738.3</v>
      </c>
      <c r="BI31" s="29">
        <v>766.8</v>
      </c>
      <c r="BJ31" s="24">
        <v>849.1</v>
      </c>
      <c r="BK31" s="58"/>
      <c r="BL31" s="58"/>
      <c r="BM31" s="25"/>
      <c r="BN31" s="87">
        <v>1187.4000000000001</v>
      </c>
      <c r="BO31" s="97">
        <v>1189.8</v>
      </c>
      <c r="BP31" s="91">
        <v>1490.3</v>
      </c>
      <c r="BQ31" s="89">
        <v>1462.5</v>
      </c>
      <c r="BR31" s="28">
        <v>1438.5</v>
      </c>
      <c r="BS31" s="29">
        <v>1473</v>
      </c>
      <c r="BT31" s="12">
        <v>1734.4</v>
      </c>
      <c r="BU31" s="57">
        <v>2092</v>
      </c>
      <c r="BV31" s="57">
        <v>2357</v>
      </c>
      <c r="BW31" s="13">
        <v>2682.9</v>
      </c>
      <c r="BX31" s="28">
        <v>2913.3</v>
      </c>
      <c r="BY31" s="29">
        <v>3293.6</v>
      </c>
      <c r="BZ31" s="91">
        <v>3516.7</v>
      </c>
      <c r="CA31" s="89">
        <v>3633</v>
      </c>
      <c r="CB31" s="28">
        <v>3732.8</v>
      </c>
      <c r="CC31" s="29">
        <v>3942.8</v>
      </c>
      <c r="CD31" s="24">
        <v>4195.3999999999996</v>
      </c>
      <c r="CE31" s="25">
        <v>4205</v>
      </c>
      <c r="CF31" s="14">
        <v>4526.3999999999996</v>
      </c>
      <c r="CG31" s="15">
        <v>4652.7</v>
      </c>
      <c r="CH31" s="15">
        <v>5335.4</v>
      </c>
      <c r="CI31" s="15">
        <v>5550.1</v>
      </c>
      <c r="CJ31" s="88">
        <v>5784.6</v>
      </c>
      <c r="CK31" s="92">
        <v>5922.1</v>
      </c>
      <c r="CL31" s="14">
        <v>6248.5</v>
      </c>
      <c r="CM31" s="15">
        <v>6462.6</v>
      </c>
      <c r="CN31" s="88">
        <v>7619.5</v>
      </c>
      <c r="CO31" s="92">
        <v>7654.9</v>
      </c>
      <c r="CP31" s="14"/>
      <c r="CQ31" s="15"/>
    </row>
    <row r="32" spans="1:95" ht="23.45" customHeight="1" x14ac:dyDescent="0.55000000000000004">
      <c r="A32" s="7">
        <v>30</v>
      </c>
      <c r="B32" s="41"/>
      <c r="C32" s="31"/>
      <c r="D32" s="32"/>
      <c r="E32" s="33"/>
      <c r="F32" s="24"/>
      <c r="G32" s="25"/>
      <c r="H32" s="28"/>
      <c r="I32" s="29"/>
      <c r="J32" s="24"/>
      <c r="K32" s="25"/>
      <c r="L32" s="28"/>
      <c r="M32" s="29"/>
      <c r="N32" s="24"/>
      <c r="O32" s="25"/>
      <c r="P32" s="28"/>
      <c r="Q32" s="29"/>
      <c r="R32" s="24"/>
      <c r="S32" s="25"/>
      <c r="T32" s="28"/>
      <c r="U32" s="29"/>
      <c r="V32" s="24"/>
      <c r="W32" s="25"/>
      <c r="X32" s="28"/>
      <c r="Y32" s="29"/>
      <c r="Z32" s="24"/>
      <c r="AA32" s="25"/>
      <c r="AB32" s="28"/>
      <c r="AC32" s="29"/>
      <c r="AD32" s="24"/>
      <c r="AE32" s="25"/>
      <c r="AF32" s="28"/>
      <c r="AG32" s="29"/>
      <c r="AH32" s="24"/>
      <c r="AI32" s="25"/>
      <c r="AJ32" s="28"/>
      <c r="AK32" s="29"/>
      <c r="AL32" s="24"/>
      <c r="AM32" s="25"/>
      <c r="AN32" s="28"/>
      <c r="AO32" s="29"/>
      <c r="AP32" s="24"/>
      <c r="AQ32" s="25"/>
      <c r="AR32" s="28"/>
      <c r="AS32" s="29"/>
      <c r="AT32" s="24"/>
      <c r="AU32" s="25"/>
      <c r="AV32" s="28"/>
      <c r="AW32" s="29"/>
      <c r="AX32" s="24"/>
      <c r="AY32" s="25"/>
      <c r="AZ32" s="28"/>
      <c r="BA32" s="29"/>
      <c r="BB32" s="24"/>
      <c r="BC32" s="25"/>
      <c r="BD32" s="28"/>
      <c r="BE32" s="29"/>
      <c r="BF32" s="24"/>
      <c r="BG32" s="25"/>
      <c r="BH32" s="28"/>
      <c r="BI32" s="29"/>
      <c r="BJ32" s="24"/>
      <c r="BK32" s="58"/>
      <c r="BL32" s="58"/>
      <c r="BM32" s="25"/>
      <c r="BN32" s="87"/>
      <c r="BO32" s="97"/>
      <c r="BP32" s="91" t="s">
        <v>17</v>
      </c>
      <c r="BQ32" s="89" t="s">
        <v>17</v>
      </c>
      <c r="BR32" s="28"/>
      <c r="BS32" s="29"/>
      <c r="BT32" s="12">
        <v>0</v>
      </c>
      <c r="BU32" s="57">
        <v>0</v>
      </c>
      <c r="BV32" s="57">
        <v>0</v>
      </c>
      <c r="BW32" s="13">
        <v>0</v>
      </c>
      <c r="BX32" s="28"/>
      <c r="BY32" s="29"/>
      <c r="BZ32" s="91"/>
      <c r="CA32" s="89"/>
      <c r="CB32" s="28"/>
      <c r="CC32" s="29"/>
      <c r="CD32" s="24"/>
      <c r="CE32" s="25"/>
      <c r="CF32" s="167"/>
      <c r="CG32" s="168"/>
      <c r="CH32" s="168"/>
      <c r="CI32" s="168"/>
      <c r="CJ32" s="88"/>
      <c r="CK32" s="92"/>
      <c r="CL32" s="14"/>
      <c r="CM32" s="15">
        <v>8000</v>
      </c>
      <c r="CN32" s="88">
        <v>8320</v>
      </c>
      <c r="CO32" s="92">
        <v>9040</v>
      </c>
      <c r="CP32" s="14"/>
      <c r="CQ32" s="15"/>
    </row>
    <row r="33" spans="1:95" ht="23.45" customHeight="1" x14ac:dyDescent="0.55000000000000004">
      <c r="A33" s="7">
        <v>31</v>
      </c>
      <c r="B33" s="41"/>
      <c r="C33" s="31"/>
      <c r="D33" s="32"/>
      <c r="E33" s="33"/>
      <c r="F33" s="24"/>
      <c r="G33" s="25"/>
      <c r="H33" s="28"/>
      <c r="I33" s="29"/>
      <c r="J33" s="24"/>
      <c r="K33" s="25"/>
      <c r="L33" s="28"/>
      <c r="M33" s="29"/>
      <c r="N33" s="24"/>
      <c r="O33" s="25"/>
      <c r="P33" s="28"/>
      <c r="Q33" s="29"/>
      <c r="R33" s="24"/>
      <c r="S33" s="25"/>
      <c r="T33" s="28"/>
      <c r="U33" s="29"/>
      <c r="V33" s="24"/>
      <c r="W33" s="25"/>
      <c r="X33" s="28"/>
      <c r="Y33" s="29"/>
      <c r="Z33" s="24"/>
      <c r="AA33" s="25"/>
      <c r="AB33" s="28"/>
      <c r="AC33" s="29"/>
      <c r="AD33" s="24"/>
      <c r="AE33" s="25"/>
      <c r="AF33" s="28"/>
      <c r="AG33" s="29"/>
      <c r="AH33" s="24"/>
      <c r="AI33" s="25"/>
      <c r="AJ33" s="28"/>
      <c r="AK33" s="29"/>
      <c r="AL33" s="24"/>
      <c r="AM33" s="25"/>
      <c r="AN33" s="28"/>
      <c r="AO33" s="29"/>
      <c r="AP33" s="24"/>
      <c r="AQ33" s="25"/>
      <c r="AR33" s="28"/>
      <c r="AS33" s="29"/>
      <c r="AT33" s="24"/>
      <c r="AU33" s="25"/>
      <c r="AV33" s="28"/>
      <c r="AW33" s="29"/>
      <c r="AX33" s="24"/>
      <c r="AY33" s="25"/>
      <c r="AZ33" s="28"/>
      <c r="BA33" s="29"/>
      <c r="BB33" s="24"/>
      <c r="BC33" s="25"/>
      <c r="BD33" s="28"/>
      <c r="BE33" s="29"/>
      <c r="BF33" s="24"/>
      <c r="BG33" s="25"/>
      <c r="BH33" s="28"/>
      <c r="BI33" s="29"/>
      <c r="BJ33" s="24"/>
      <c r="BK33" s="58"/>
      <c r="BL33" s="58"/>
      <c r="BM33" s="25"/>
      <c r="BN33" s="87"/>
      <c r="BO33" s="97"/>
      <c r="BP33" s="91" t="s">
        <v>17</v>
      </c>
      <c r="BQ33" s="89" t="s">
        <v>17</v>
      </c>
      <c r="BR33" s="28"/>
      <c r="BS33" s="29"/>
      <c r="BT33" s="12">
        <v>0</v>
      </c>
      <c r="BU33" s="57">
        <v>0</v>
      </c>
      <c r="BV33" s="57">
        <v>0</v>
      </c>
      <c r="BW33" s="13">
        <v>0</v>
      </c>
      <c r="BX33" s="28"/>
      <c r="BY33" s="29"/>
      <c r="BZ33" s="91"/>
      <c r="CA33" s="89"/>
      <c r="CB33" s="28"/>
      <c r="CC33" s="29"/>
      <c r="CD33" s="24"/>
      <c r="CE33" s="25"/>
      <c r="CF33" s="169"/>
      <c r="CG33" s="170"/>
      <c r="CH33" s="170"/>
      <c r="CI33" s="170"/>
      <c r="CJ33" s="88"/>
      <c r="CK33" s="92"/>
      <c r="CL33" s="14"/>
      <c r="CM33" s="15"/>
      <c r="CN33" s="88"/>
      <c r="CO33" s="92"/>
      <c r="CP33" s="14"/>
      <c r="CQ33" s="15"/>
    </row>
    <row r="34" spans="1:95" ht="23.45" customHeight="1" x14ac:dyDescent="0.55000000000000004">
      <c r="A34" s="7">
        <v>32</v>
      </c>
      <c r="B34" s="41"/>
      <c r="C34" s="31"/>
      <c r="D34" s="32"/>
      <c r="E34" s="33"/>
      <c r="F34" s="24"/>
      <c r="G34" s="25"/>
      <c r="H34" s="28"/>
      <c r="I34" s="29"/>
      <c r="J34" s="24"/>
      <c r="K34" s="25"/>
      <c r="L34" s="28"/>
      <c r="M34" s="29"/>
      <c r="N34" s="24"/>
      <c r="O34" s="25"/>
      <c r="P34" s="28"/>
      <c r="Q34" s="29"/>
      <c r="R34" s="24"/>
      <c r="S34" s="25"/>
      <c r="T34" s="28"/>
      <c r="U34" s="29"/>
      <c r="V34" s="24"/>
      <c r="W34" s="25"/>
      <c r="X34" s="28"/>
      <c r="Y34" s="29"/>
      <c r="Z34" s="24"/>
      <c r="AA34" s="25"/>
      <c r="AB34" s="28"/>
      <c r="AC34" s="29"/>
      <c r="AD34" s="24"/>
      <c r="AE34" s="25"/>
      <c r="AF34" s="28"/>
      <c r="AG34" s="29"/>
      <c r="AH34" s="24"/>
      <c r="AI34" s="25"/>
      <c r="AJ34" s="28"/>
      <c r="AK34" s="29"/>
      <c r="AL34" s="24"/>
      <c r="AM34" s="25"/>
      <c r="AN34" s="28"/>
      <c r="AO34" s="29"/>
      <c r="AP34" s="24"/>
      <c r="AQ34" s="25"/>
      <c r="AR34" s="28"/>
      <c r="AS34" s="29"/>
      <c r="AT34" s="24"/>
      <c r="AU34" s="25"/>
      <c r="AV34" s="28"/>
      <c r="AW34" s="29"/>
      <c r="AX34" s="24"/>
      <c r="AY34" s="25"/>
      <c r="AZ34" s="28"/>
      <c r="BA34" s="29"/>
      <c r="BB34" s="24"/>
      <c r="BC34" s="25"/>
      <c r="BD34" s="28"/>
      <c r="BE34" s="29"/>
      <c r="BF34" s="24"/>
      <c r="BG34" s="25"/>
      <c r="BH34" s="28"/>
      <c r="BI34" s="29"/>
      <c r="BJ34" s="24"/>
      <c r="BK34" s="58"/>
      <c r="BL34" s="58"/>
      <c r="BM34" s="25"/>
      <c r="BN34" s="87"/>
      <c r="BO34" s="97"/>
      <c r="BP34" s="91" t="s">
        <v>17</v>
      </c>
      <c r="BQ34" s="89" t="s">
        <v>17</v>
      </c>
      <c r="BR34" s="28"/>
      <c r="BS34" s="29"/>
      <c r="BT34" s="12">
        <v>0</v>
      </c>
      <c r="BU34" s="57">
        <v>0</v>
      </c>
      <c r="BV34" s="57">
        <v>0</v>
      </c>
      <c r="BW34" s="13">
        <v>0</v>
      </c>
      <c r="BX34" s="28"/>
      <c r="BY34" s="29"/>
      <c r="BZ34" s="91"/>
      <c r="CA34" s="89"/>
      <c r="CB34" s="28"/>
      <c r="CC34" s="29"/>
      <c r="CD34" s="24"/>
      <c r="CE34" s="25"/>
      <c r="CF34" s="169"/>
      <c r="CG34" s="170"/>
      <c r="CH34" s="170"/>
      <c r="CI34" s="170"/>
      <c r="CJ34" s="88"/>
      <c r="CK34" s="92"/>
      <c r="CL34" s="14"/>
      <c r="CM34" s="15"/>
      <c r="CN34" s="88"/>
      <c r="CO34" s="92"/>
      <c r="CP34" s="14"/>
      <c r="CQ34" s="15"/>
    </row>
    <row r="35" spans="1:95" ht="23.45" customHeight="1" x14ac:dyDescent="0.55000000000000004">
      <c r="A35" s="7">
        <v>33</v>
      </c>
      <c r="B35" s="41"/>
      <c r="C35" s="31"/>
      <c r="D35" s="32"/>
      <c r="E35" s="33"/>
      <c r="F35" s="24"/>
      <c r="G35" s="25"/>
      <c r="H35" s="28"/>
      <c r="I35" s="29"/>
      <c r="J35" s="24"/>
      <c r="K35" s="25"/>
      <c r="L35" s="28"/>
      <c r="M35" s="29"/>
      <c r="N35" s="24"/>
      <c r="O35" s="25"/>
      <c r="P35" s="28"/>
      <c r="Q35" s="29"/>
      <c r="R35" s="24"/>
      <c r="S35" s="25"/>
      <c r="T35" s="28"/>
      <c r="U35" s="29"/>
      <c r="V35" s="24"/>
      <c r="W35" s="25"/>
      <c r="X35" s="28"/>
      <c r="Y35" s="29"/>
      <c r="Z35" s="24"/>
      <c r="AA35" s="25"/>
      <c r="AB35" s="28"/>
      <c r="AC35" s="29"/>
      <c r="AD35" s="24"/>
      <c r="AE35" s="25"/>
      <c r="AF35" s="28"/>
      <c r="AG35" s="29"/>
      <c r="AH35" s="24"/>
      <c r="AI35" s="25"/>
      <c r="AJ35" s="28"/>
      <c r="AK35" s="29"/>
      <c r="AL35" s="24"/>
      <c r="AM35" s="25"/>
      <c r="AN35" s="28"/>
      <c r="AO35" s="29"/>
      <c r="AP35" s="24"/>
      <c r="AQ35" s="25"/>
      <c r="AR35" s="28"/>
      <c r="AS35" s="29"/>
      <c r="AT35" s="24"/>
      <c r="AU35" s="25"/>
      <c r="AV35" s="28"/>
      <c r="AW35" s="29"/>
      <c r="AX35" s="24"/>
      <c r="AY35" s="25"/>
      <c r="AZ35" s="28"/>
      <c r="BA35" s="29"/>
      <c r="BB35" s="24"/>
      <c r="BC35" s="25"/>
      <c r="BD35" s="28"/>
      <c r="BE35" s="29"/>
      <c r="BF35" s="24"/>
      <c r="BG35" s="25"/>
      <c r="BH35" s="28"/>
      <c r="BI35" s="29"/>
      <c r="BJ35" s="24"/>
      <c r="BK35" s="58"/>
      <c r="BL35" s="58"/>
      <c r="BM35" s="25"/>
      <c r="BN35" s="87"/>
      <c r="BO35" s="97"/>
      <c r="BP35" s="91" t="s">
        <v>17</v>
      </c>
      <c r="BQ35" s="89" t="s">
        <v>17</v>
      </c>
      <c r="BR35" s="28"/>
      <c r="BS35" s="29"/>
      <c r="BT35" s="12">
        <v>0</v>
      </c>
      <c r="BU35" s="57">
        <v>0</v>
      </c>
      <c r="BV35" s="57">
        <v>0</v>
      </c>
      <c r="BW35" s="13">
        <v>0</v>
      </c>
      <c r="BX35" s="28"/>
      <c r="BY35" s="29"/>
      <c r="BZ35" s="91"/>
      <c r="CA35" s="89"/>
      <c r="CB35" s="28"/>
      <c r="CC35" s="29"/>
      <c r="CD35" s="24"/>
      <c r="CE35" s="25"/>
      <c r="CF35" s="169"/>
      <c r="CG35" s="170"/>
      <c r="CH35" s="170"/>
      <c r="CI35" s="170"/>
      <c r="CJ35" s="88"/>
      <c r="CK35" s="92"/>
      <c r="CL35" s="14"/>
      <c r="CM35" s="15"/>
      <c r="CN35" s="88"/>
      <c r="CO35" s="92"/>
      <c r="CP35" s="14"/>
      <c r="CQ35" s="15"/>
    </row>
    <row r="36" spans="1:95" ht="23.45" customHeight="1" x14ac:dyDescent="0.55000000000000004">
      <c r="A36" s="7">
        <v>34</v>
      </c>
      <c r="B36" s="41"/>
      <c r="C36" s="31"/>
      <c r="D36" s="32"/>
      <c r="E36" s="33"/>
      <c r="F36" s="24"/>
      <c r="G36" s="25"/>
      <c r="H36" s="28"/>
      <c r="I36" s="29"/>
      <c r="J36" s="24"/>
      <c r="K36" s="25"/>
      <c r="L36" s="28"/>
      <c r="M36" s="29"/>
      <c r="N36" s="24"/>
      <c r="O36" s="25"/>
      <c r="P36" s="28"/>
      <c r="Q36" s="29"/>
      <c r="R36" s="24"/>
      <c r="S36" s="25"/>
      <c r="T36" s="28"/>
      <c r="U36" s="29"/>
      <c r="V36" s="24"/>
      <c r="W36" s="25"/>
      <c r="X36" s="28"/>
      <c r="Y36" s="29"/>
      <c r="Z36" s="24"/>
      <c r="AA36" s="25"/>
      <c r="AB36" s="28"/>
      <c r="AC36" s="29"/>
      <c r="AD36" s="24"/>
      <c r="AE36" s="25"/>
      <c r="AF36" s="28"/>
      <c r="AG36" s="29"/>
      <c r="AH36" s="24"/>
      <c r="AI36" s="25"/>
      <c r="AJ36" s="28"/>
      <c r="AK36" s="29"/>
      <c r="AL36" s="24"/>
      <c r="AM36" s="25"/>
      <c r="AN36" s="28"/>
      <c r="AO36" s="29"/>
      <c r="AP36" s="24"/>
      <c r="AQ36" s="25"/>
      <c r="AR36" s="28"/>
      <c r="AS36" s="29"/>
      <c r="AT36" s="24"/>
      <c r="AU36" s="25"/>
      <c r="AV36" s="28"/>
      <c r="AW36" s="29"/>
      <c r="AX36" s="24"/>
      <c r="AY36" s="25"/>
      <c r="AZ36" s="28"/>
      <c r="BA36" s="29"/>
      <c r="BB36" s="24"/>
      <c r="BC36" s="25"/>
      <c r="BD36" s="28"/>
      <c r="BE36" s="29"/>
      <c r="BF36" s="24"/>
      <c r="BG36" s="25"/>
      <c r="BH36" s="28"/>
      <c r="BI36" s="29"/>
      <c r="BJ36" s="24"/>
      <c r="BK36" s="58"/>
      <c r="BL36" s="58"/>
      <c r="BM36" s="25"/>
      <c r="BN36" s="87"/>
      <c r="BO36" s="97"/>
      <c r="BP36" s="91" t="s">
        <v>17</v>
      </c>
      <c r="BQ36" s="89" t="s">
        <v>17</v>
      </c>
      <c r="BR36" s="28"/>
      <c r="BS36" s="29"/>
      <c r="BT36" s="12">
        <v>0</v>
      </c>
      <c r="BU36" s="57">
        <v>0</v>
      </c>
      <c r="BV36" s="57">
        <v>0</v>
      </c>
      <c r="BW36" s="13">
        <v>0</v>
      </c>
      <c r="BX36" s="28"/>
      <c r="BY36" s="29"/>
      <c r="BZ36" s="91">
        <v>4343.2</v>
      </c>
      <c r="CA36" s="89">
        <v>4343.2</v>
      </c>
      <c r="CB36" s="28">
        <v>4378.8</v>
      </c>
      <c r="CC36" s="29">
        <v>5340</v>
      </c>
      <c r="CD36" s="24">
        <v>5425.4</v>
      </c>
      <c r="CE36" s="25">
        <v>5799.2</v>
      </c>
      <c r="CF36" s="14">
        <v>6675</v>
      </c>
      <c r="CG36" s="15">
        <v>8597.4</v>
      </c>
      <c r="CH36" s="15">
        <v>8650.7999999999993</v>
      </c>
      <c r="CI36" s="15">
        <v>8490.6</v>
      </c>
      <c r="CJ36" s="88">
        <v>9084.9</v>
      </c>
      <c r="CK36" s="92">
        <v>9254.7999999999993</v>
      </c>
      <c r="CL36" s="14">
        <v>10018.9</v>
      </c>
      <c r="CM36" s="15">
        <v>10443.4</v>
      </c>
      <c r="CN36" s="88">
        <v>12323.2</v>
      </c>
      <c r="CO36" s="92">
        <v>11487.7</v>
      </c>
      <c r="CP36" s="14"/>
      <c r="CQ36" s="15"/>
    </row>
    <row r="37" spans="1:95" ht="23.45" customHeight="1" x14ac:dyDescent="0.55000000000000004">
      <c r="A37" s="7">
        <v>35</v>
      </c>
      <c r="B37" s="41"/>
      <c r="C37" s="31"/>
      <c r="D37" s="32"/>
      <c r="E37" s="33"/>
      <c r="F37" s="24"/>
      <c r="G37" s="25"/>
      <c r="H37" s="28"/>
      <c r="I37" s="29"/>
      <c r="J37" s="24"/>
      <c r="K37" s="25"/>
      <c r="L37" s="28"/>
      <c r="M37" s="29"/>
      <c r="N37" s="24"/>
      <c r="O37" s="25"/>
      <c r="P37" s="28"/>
      <c r="Q37" s="29"/>
      <c r="R37" s="24"/>
      <c r="S37" s="25"/>
      <c r="T37" s="28"/>
      <c r="U37" s="29"/>
      <c r="V37" s="24"/>
      <c r="W37" s="25"/>
      <c r="X37" s="28"/>
      <c r="Y37" s="29"/>
      <c r="Z37" s="24"/>
      <c r="AA37" s="25"/>
      <c r="AB37" s="28"/>
      <c r="AC37" s="29"/>
      <c r="AD37" s="24"/>
      <c r="AE37" s="25"/>
      <c r="AF37" s="28"/>
      <c r="AG37" s="29"/>
      <c r="AH37" s="24"/>
      <c r="AI37" s="25"/>
      <c r="AJ37" s="28"/>
      <c r="AK37" s="29"/>
      <c r="AL37" s="24"/>
      <c r="AM37" s="25"/>
      <c r="AN37" s="28"/>
      <c r="AO37" s="29"/>
      <c r="AP37" s="24"/>
      <c r="AQ37" s="25"/>
      <c r="AR37" s="28"/>
      <c r="AS37" s="29"/>
      <c r="AT37" s="24"/>
      <c r="AU37" s="25"/>
      <c r="AV37" s="28"/>
      <c r="AW37" s="29"/>
      <c r="AX37" s="24"/>
      <c r="AY37" s="25"/>
      <c r="AZ37" s="28"/>
      <c r="BA37" s="29"/>
      <c r="BB37" s="24"/>
      <c r="BC37" s="25"/>
      <c r="BD37" s="28"/>
      <c r="BE37" s="29"/>
      <c r="BF37" s="24"/>
      <c r="BG37" s="25"/>
      <c r="BH37" s="28"/>
      <c r="BI37" s="29"/>
      <c r="BJ37" s="24"/>
      <c r="BK37" s="58"/>
      <c r="BL37" s="58"/>
      <c r="BM37" s="25"/>
      <c r="BN37" s="87"/>
      <c r="BO37" s="97"/>
      <c r="BP37" s="91" t="s">
        <v>17</v>
      </c>
      <c r="BQ37" s="89" t="s">
        <v>17</v>
      </c>
      <c r="BR37" s="28"/>
      <c r="BS37" s="29"/>
      <c r="BT37" s="12">
        <v>0</v>
      </c>
      <c r="BU37" s="57">
        <v>0</v>
      </c>
      <c r="BV37" s="57">
        <v>0</v>
      </c>
      <c r="BW37" s="13">
        <v>0</v>
      </c>
      <c r="BX37" s="28"/>
      <c r="BY37" s="29"/>
      <c r="BZ37" s="91">
        <v>3774</v>
      </c>
      <c r="CA37" s="89">
        <v>3811</v>
      </c>
      <c r="CB37" s="28">
        <v>3885</v>
      </c>
      <c r="CC37" s="29">
        <v>3885</v>
      </c>
      <c r="CD37" s="24">
        <v>3947.2</v>
      </c>
      <c r="CE37" s="25">
        <v>4219.1000000000004</v>
      </c>
      <c r="CF37" s="14">
        <v>4933.8999999999996</v>
      </c>
      <c r="CG37" s="15">
        <v>4895.1000000000004</v>
      </c>
      <c r="CH37" s="15">
        <v>4972.8</v>
      </c>
      <c r="CI37" s="15">
        <v>6060.6</v>
      </c>
      <c r="CJ37" s="88">
        <v>6484.8</v>
      </c>
      <c r="CK37" s="92">
        <v>6181.8</v>
      </c>
      <c r="CL37" s="14">
        <v>6181.8</v>
      </c>
      <c r="CM37" s="15">
        <v>6242.4</v>
      </c>
      <c r="CN37" s="88">
        <v>6367.2</v>
      </c>
      <c r="CO37" s="92">
        <v>6679.4</v>
      </c>
      <c r="CP37" s="14"/>
      <c r="CQ37" s="15"/>
    </row>
    <row r="38" spans="1:95" ht="23.45" customHeight="1" x14ac:dyDescent="0.55000000000000004">
      <c r="A38" s="7">
        <v>36</v>
      </c>
      <c r="B38" s="41"/>
      <c r="C38" s="31"/>
      <c r="D38" s="32"/>
      <c r="E38" s="33"/>
      <c r="F38" s="24"/>
      <c r="G38" s="25"/>
      <c r="H38" s="28"/>
      <c r="I38" s="29"/>
      <c r="J38" s="24"/>
      <c r="K38" s="25"/>
      <c r="L38" s="28"/>
      <c r="M38" s="29"/>
      <c r="N38" s="24"/>
      <c r="O38" s="25"/>
      <c r="P38" s="28"/>
      <c r="Q38" s="29"/>
      <c r="R38" s="24"/>
      <c r="S38" s="25"/>
      <c r="T38" s="28"/>
      <c r="U38" s="29"/>
      <c r="V38" s="24"/>
      <c r="W38" s="25"/>
      <c r="X38" s="28"/>
      <c r="Y38" s="29"/>
      <c r="Z38" s="24"/>
      <c r="AA38" s="25"/>
      <c r="AB38" s="28"/>
      <c r="AC38" s="29"/>
      <c r="AD38" s="24"/>
      <c r="AE38" s="25"/>
      <c r="AF38" s="28"/>
      <c r="AG38" s="29"/>
      <c r="AH38" s="24"/>
      <c r="AI38" s="25"/>
      <c r="AJ38" s="28"/>
      <c r="AK38" s="29"/>
      <c r="AL38" s="24"/>
      <c r="AM38" s="25"/>
      <c r="AN38" s="28"/>
      <c r="AO38" s="29"/>
      <c r="AP38" s="24"/>
      <c r="AQ38" s="25"/>
      <c r="AR38" s="28"/>
      <c r="AS38" s="29"/>
      <c r="AT38" s="24"/>
      <c r="AU38" s="25"/>
      <c r="AV38" s="28"/>
      <c r="AW38" s="29"/>
      <c r="AX38" s="24"/>
      <c r="AY38" s="25"/>
      <c r="AZ38" s="28"/>
      <c r="BA38" s="29"/>
      <c r="BB38" s="24"/>
      <c r="BC38" s="25"/>
      <c r="BD38" s="28"/>
      <c r="BE38" s="29"/>
      <c r="BF38" s="24"/>
      <c r="BG38" s="25"/>
      <c r="BH38" s="28"/>
      <c r="BI38" s="29"/>
      <c r="BJ38" s="24"/>
      <c r="BK38" s="58"/>
      <c r="BL38" s="58"/>
      <c r="BM38" s="25"/>
      <c r="BN38" s="87"/>
      <c r="BO38" s="97"/>
      <c r="BP38" s="91" t="s">
        <v>17</v>
      </c>
      <c r="BQ38" s="89" t="s">
        <v>17</v>
      </c>
      <c r="BR38" s="28"/>
      <c r="BS38" s="29"/>
      <c r="BT38" s="12">
        <v>0</v>
      </c>
      <c r="BU38" s="57">
        <v>0</v>
      </c>
      <c r="BV38" s="57">
        <v>0</v>
      </c>
      <c r="BW38" s="13">
        <v>0</v>
      </c>
      <c r="BX38" s="28"/>
      <c r="BY38" s="29"/>
      <c r="BZ38" s="91">
        <v>4756</v>
      </c>
      <c r="CA38" s="89">
        <v>5002</v>
      </c>
      <c r="CB38" s="28">
        <v>4797</v>
      </c>
      <c r="CC38" s="29">
        <v>4715</v>
      </c>
      <c r="CD38" s="24">
        <v>5092.2</v>
      </c>
      <c r="CE38" s="25">
        <v>5233.7</v>
      </c>
      <c r="CF38" s="14">
        <v>5469.4</v>
      </c>
      <c r="CG38" s="15">
        <v>6176.7</v>
      </c>
      <c r="CH38" s="15">
        <v>6789.6</v>
      </c>
      <c r="CI38" s="15">
        <v>7355.4</v>
      </c>
      <c r="CJ38" s="88">
        <v>7649.6</v>
      </c>
      <c r="CK38" s="92">
        <v>8164.5</v>
      </c>
      <c r="CL38" s="14">
        <v>9341.2999999999993</v>
      </c>
      <c r="CM38" s="15">
        <v>9341.2999999999993</v>
      </c>
      <c r="CN38" s="88">
        <v>10088.6</v>
      </c>
      <c r="CO38" s="92">
        <v>10462.299999999999</v>
      </c>
      <c r="CP38" s="14"/>
      <c r="CQ38" s="15"/>
    </row>
    <row r="39" spans="1:95" ht="23.45" customHeight="1" x14ac:dyDescent="0.55000000000000004">
      <c r="A39" s="7">
        <v>37</v>
      </c>
      <c r="B39" s="41"/>
      <c r="C39" s="31"/>
      <c r="D39" s="32"/>
      <c r="E39" s="33"/>
      <c r="F39" s="24"/>
      <c r="G39" s="25"/>
      <c r="H39" s="28"/>
      <c r="I39" s="29"/>
      <c r="J39" s="24"/>
      <c r="K39" s="25"/>
      <c r="L39" s="28"/>
      <c r="M39" s="29"/>
      <c r="N39" s="24"/>
      <c r="O39" s="25"/>
      <c r="P39" s="28"/>
      <c r="Q39" s="29"/>
      <c r="R39" s="24"/>
      <c r="S39" s="25"/>
      <c r="T39" s="28"/>
      <c r="U39" s="29"/>
      <c r="V39" s="24"/>
      <c r="W39" s="25"/>
      <c r="X39" s="28"/>
      <c r="Y39" s="29"/>
      <c r="Z39" s="24"/>
      <c r="AA39" s="25"/>
      <c r="AB39" s="28"/>
      <c r="AC39" s="29"/>
      <c r="AD39" s="24"/>
      <c r="AE39" s="25"/>
      <c r="AF39" s="28"/>
      <c r="AG39" s="29"/>
      <c r="AH39" s="24"/>
      <c r="AI39" s="25"/>
      <c r="AJ39" s="28"/>
      <c r="AK39" s="29"/>
      <c r="AL39" s="24"/>
      <c r="AM39" s="25"/>
      <c r="AN39" s="28"/>
      <c r="AO39" s="29"/>
      <c r="AP39" s="24"/>
      <c r="AQ39" s="25"/>
      <c r="AR39" s="28"/>
      <c r="AS39" s="29"/>
      <c r="AT39" s="24"/>
      <c r="AU39" s="25"/>
      <c r="AV39" s="28"/>
      <c r="AW39" s="29"/>
      <c r="AX39" s="24"/>
      <c r="AY39" s="25"/>
      <c r="AZ39" s="28"/>
      <c r="BA39" s="29"/>
      <c r="BB39" s="24"/>
      <c r="BC39" s="25"/>
      <c r="BD39" s="28"/>
      <c r="BE39" s="29"/>
      <c r="BF39" s="24"/>
      <c r="BG39" s="25"/>
      <c r="BH39" s="28"/>
      <c r="BI39" s="29"/>
      <c r="BJ39" s="24"/>
      <c r="BK39" s="58"/>
      <c r="BL39" s="58"/>
      <c r="BM39" s="25"/>
      <c r="BN39" s="87"/>
      <c r="BO39" s="97"/>
      <c r="BP39" s="91" t="s">
        <v>17</v>
      </c>
      <c r="BQ39" s="89" t="s">
        <v>17</v>
      </c>
      <c r="BR39" s="28"/>
      <c r="BS39" s="29"/>
      <c r="BT39" s="12">
        <v>0</v>
      </c>
      <c r="BU39" s="57">
        <v>0</v>
      </c>
      <c r="BV39" s="57">
        <v>0</v>
      </c>
      <c r="BW39" s="13">
        <v>0</v>
      </c>
      <c r="BX39" s="28"/>
      <c r="BY39" s="29"/>
      <c r="BZ39" s="91">
        <v>4245.6000000000004</v>
      </c>
      <c r="CA39" s="89">
        <v>4245.6000000000004</v>
      </c>
      <c r="CB39" s="28">
        <v>4350</v>
      </c>
      <c r="CC39" s="29">
        <v>4176</v>
      </c>
      <c r="CD39" s="24">
        <v>4259.5</v>
      </c>
      <c r="CE39" s="25">
        <v>4568.5</v>
      </c>
      <c r="CF39" s="14">
        <v>5470.6</v>
      </c>
      <c r="CG39" s="15">
        <v>5888.2</v>
      </c>
      <c r="CH39" s="15">
        <v>6013.4</v>
      </c>
      <c r="CI39" s="15">
        <v>5888.2</v>
      </c>
      <c r="CJ39" s="88">
        <v>6889.2</v>
      </c>
      <c r="CK39" s="92">
        <v>6948.1</v>
      </c>
      <c r="CL39" s="14">
        <v>6948</v>
      </c>
      <c r="CM39" s="15">
        <v>7242.4</v>
      </c>
      <c r="CN39" s="88">
        <v>8111.5</v>
      </c>
      <c r="CO39" s="92">
        <v>8256.4</v>
      </c>
      <c r="CP39" s="14"/>
      <c r="CQ39" s="15"/>
    </row>
    <row r="40" spans="1:95" ht="23.45" customHeight="1" x14ac:dyDescent="0.55000000000000004">
      <c r="A40" s="7">
        <v>38</v>
      </c>
      <c r="B40" s="41"/>
      <c r="C40" s="31"/>
      <c r="D40" s="32"/>
      <c r="E40" s="33"/>
      <c r="F40" s="24"/>
      <c r="G40" s="25"/>
      <c r="H40" s="28"/>
      <c r="I40" s="29"/>
      <c r="J40" s="24"/>
      <c r="K40" s="25"/>
      <c r="L40" s="28"/>
      <c r="M40" s="29"/>
      <c r="N40" s="24"/>
      <c r="O40" s="25"/>
      <c r="P40" s="28"/>
      <c r="Q40" s="29"/>
      <c r="R40" s="24"/>
      <c r="S40" s="25"/>
      <c r="T40" s="28"/>
      <c r="U40" s="29"/>
      <c r="V40" s="24"/>
      <c r="W40" s="25"/>
      <c r="X40" s="28"/>
      <c r="Y40" s="29"/>
      <c r="Z40" s="24"/>
      <c r="AA40" s="25"/>
      <c r="AB40" s="28"/>
      <c r="AC40" s="29"/>
      <c r="AD40" s="24"/>
      <c r="AE40" s="25"/>
      <c r="AF40" s="28"/>
      <c r="AG40" s="29"/>
      <c r="AH40" s="24"/>
      <c r="AI40" s="25"/>
      <c r="AJ40" s="28"/>
      <c r="AK40" s="29"/>
      <c r="AL40" s="24"/>
      <c r="AM40" s="25"/>
      <c r="AN40" s="28"/>
      <c r="AO40" s="29"/>
      <c r="AP40" s="24"/>
      <c r="AQ40" s="25"/>
      <c r="AR40" s="28"/>
      <c r="AS40" s="29"/>
      <c r="AT40" s="24"/>
      <c r="AU40" s="25"/>
      <c r="AV40" s="28"/>
      <c r="AW40" s="29"/>
      <c r="AX40" s="24"/>
      <c r="AY40" s="25"/>
      <c r="AZ40" s="28"/>
      <c r="BA40" s="29"/>
      <c r="BB40" s="24"/>
      <c r="BC40" s="25"/>
      <c r="BD40" s="28"/>
      <c r="BE40" s="29"/>
      <c r="BF40" s="24"/>
      <c r="BG40" s="25"/>
      <c r="BH40" s="28"/>
      <c r="BI40" s="29"/>
      <c r="BJ40" s="24"/>
      <c r="BK40" s="58"/>
      <c r="BL40" s="58"/>
      <c r="BM40" s="25"/>
      <c r="BN40" s="87"/>
      <c r="BO40" s="97"/>
      <c r="BP40" s="91" t="s">
        <v>17</v>
      </c>
      <c r="BQ40" s="89" t="s">
        <v>17</v>
      </c>
      <c r="BR40" s="28"/>
      <c r="BS40" s="29"/>
      <c r="BT40" s="12">
        <v>0</v>
      </c>
      <c r="BU40" s="57">
        <v>0</v>
      </c>
      <c r="BV40" s="57">
        <v>0</v>
      </c>
      <c r="BW40" s="13">
        <v>0</v>
      </c>
      <c r="BX40" s="28"/>
      <c r="BY40" s="29"/>
      <c r="BZ40" s="91">
        <v>4025</v>
      </c>
      <c r="CA40" s="89">
        <v>4270</v>
      </c>
      <c r="CB40" s="28">
        <v>4445</v>
      </c>
      <c r="CC40" s="29">
        <v>4235</v>
      </c>
      <c r="CD40" s="24">
        <v>4658.5</v>
      </c>
      <c r="CE40" s="25">
        <v>4870.3</v>
      </c>
      <c r="CF40" s="14">
        <v>5336.1</v>
      </c>
      <c r="CG40" s="15">
        <v>6733.6</v>
      </c>
      <c r="CH40" s="15">
        <v>6776</v>
      </c>
      <c r="CI40" s="15">
        <v>6776</v>
      </c>
      <c r="CJ40" s="88">
        <v>8266.7000000000007</v>
      </c>
      <c r="CK40" s="92">
        <v>8334.5</v>
      </c>
      <c r="CL40" s="14">
        <v>7995.6</v>
      </c>
      <c r="CM40" s="15">
        <v>8334.4</v>
      </c>
      <c r="CN40" s="88">
        <v>8751.1</v>
      </c>
      <c r="CO40" s="92">
        <v>9251.2000000000007</v>
      </c>
      <c r="CP40" s="14"/>
      <c r="CQ40" s="15"/>
    </row>
    <row r="41" spans="1:95" ht="23.45" customHeight="1" x14ac:dyDescent="0.55000000000000004">
      <c r="A41" s="7">
        <v>39</v>
      </c>
      <c r="B41" s="41"/>
      <c r="C41" s="31"/>
      <c r="D41" s="32"/>
      <c r="E41" s="33"/>
      <c r="F41" s="24"/>
      <c r="G41" s="25"/>
      <c r="H41" s="28"/>
      <c r="I41" s="29"/>
      <c r="J41" s="24"/>
      <c r="K41" s="25"/>
      <c r="L41" s="28"/>
      <c r="M41" s="29"/>
      <c r="N41" s="24"/>
      <c r="O41" s="25"/>
      <c r="P41" s="28"/>
      <c r="Q41" s="29"/>
      <c r="R41" s="24"/>
      <c r="S41" s="25"/>
      <c r="T41" s="28"/>
      <c r="U41" s="29"/>
      <c r="V41" s="24">
        <v>226</v>
      </c>
      <c r="W41" s="25">
        <v>228.4</v>
      </c>
      <c r="X41" s="28">
        <v>233.1</v>
      </c>
      <c r="Y41" s="29">
        <v>234.3</v>
      </c>
      <c r="Z41" s="24">
        <v>251.6</v>
      </c>
      <c r="AA41" s="25">
        <v>255.7</v>
      </c>
      <c r="AB41" s="28">
        <v>259.39999999999998</v>
      </c>
      <c r="AC41" s="29">
        <v>264.5</v>
      </c>
      <c r="AD41" s="24"/>
      <c r="AE41" s="25"/>
      <c r="AF41" s="28"/>
      <c r="AG41" s="29"/>
      <c r="AH41" s="24"/>
      <c r="AI41" s="25"/>
      <c r="AJ41" s="28"/>
      <c r="AK41" s="29"/>
      <c r="AL41" s="24"/>
      <c r="AM41" s="25"/>
      <c r="AN41" s="28"/>
      <c r="AO41" s="29">
        <v>429.7</v>
      </c>
      <c r="AP41" s="24">
        <v>486.1</v>
      </c>
      <c r="AQ41" s="25">
        <v>495.3</v>
      </c>
      <c r="AR41" s="28">
        <v>510.1</v>
      </c>
      <c r="AS41" s="29">
        <v>524.1</v>
      </c>
      <c r="AT41" s="24">
        <v>607.9</v>
      </c>
      <c r="AU41" s="25">
        <v>618.6</v>
      </c>
      <c r="AV41" s="28">
        <v>628.1</v>
      </c>
      <c r="AW41" s="29">
        <v>637.79999999999995</v>
      </c>
      <c r="AX41" s="24"/>
      <c r="AY41" s="25"/>
      <c r="AZ41" s="28"/>
      <c r="BA41" s="29"/>
      <c r="BB41" s="24"/>
      <c r="BC41" s="25"/>
      <c r="BD41" s="28"/>
      <c r="BE41" s="29"/>
      <c r="BF41" s="24"/>
      <c r="BG41" s="25"/>
      <c r="BH41" s="28"/>
      <c r="BI41" s="29"/>
      <c r="BJ41" s="24"/>
      <c r="BK41" s="58"/>
      <c r="BL41" s="58"/>
      <c r="BM41" s="25"/>
      <c r="BN41" s="87">
        <v>1112.3</v>
      </c>
      <c r="BO41" s="97">
        <v>1141</v>
      </c>
      <c r="BP41" s="91">
        <v>1390.2</v>
      </c>
      <c r="BQ41" s="89">
        <v>1452.4</v>
      </c>
      <c r="BR41" s="28">
        <v>1479.2</v>
      </c>
      <c r="BS41" s="29">
        <v>1514</v>
      </c>
      <c r="BT41" s="12">
        <v>1848.6</v>
      </c>
      <c r="BU41" s="57">
        <v>2019.7</v>
      </c>
      <c r="BV41" s="57">
        <v>2033.3</v>
      </c>
      <c r="BW41" s="13">
        <v>2063.6</v>
      </c>
      <c r="BX41" s="28">
        <v>2266.5</v>
      </c>
      <c r="BY41" s="29">
        <v>2380</v>
      </c>
      <c r="BZ41" s="91">
        <v>3124.9</v>
      </c>
      <c r="CA41" s="89">
        <v>3272.5</v>
      </c>
      <c r="CB41" s="28">
        <v>3279.6</v>
      </c>
      <c r="CC41" s="29">
        <v>3296.3</v>
      </c>
      <c r="CD41" s="24">
        <v>4285.2</v>
      </c>
      <c r="CE41" s="25">
        <v>4367.6000000000004</v>
      </c>
      <c r="CF41" s="14">
        <v>4641.2</v>
      </c>
      <c r="CG41" s="15">
        <v>4812.6000000000004</v>
      </c>
      <c r="CH41" s="15">
        <v>4812.6000000000004</v>
      </c>
      <c r="CI41" s="15">
        <v>4812.6000000000004</v>
      </c>
      <c r="CJ41" s="88">
        <v>5948.4</v>
      </c>
      <c r="CK41" s="92">
        <v>6150.5</v>
      </c>
      <c r="CL41" s="14">
        <v>6309.3</v>
      </c>
      <c r="CM41" s="15">
        <v>6472.9</v>
      </c>
      <c r="CN41" s="88">
        <v>8058.8</v>
      </c>
      <c r="CO41" s="92">
        <v>8375.9</v>
      </c>
      <c r="CP41" s="14"/>
      <c r="CQ41" s="15"/>
    </row>
    <row r="42" spans="1:95" ht="23.45" customHeight="1" x14ac:dyDescent="0.55000000000000004">
      <c r="A42" s="7">
        <v>40</v>
      </c>
      <c r="B42" s="41"/>
      <c r="C42" s="31"/>
      <c r="D42" s="32"/>
      <c r="E42" s="33"/>
      <c r="F42" s="24"/>
      <c r="G42" s="25"/>
      <c r="H42" s="28"/>
      <c r="I42" s="29"/>
      <c r="J42" s="24"/>
      <c r="K42" s="25"/>
      <c r="L42" s="28"/>
      <c r="M42" s="29"/>
      <c r="N42" s="24"/>
      <c r="O42" s="25"/>
      <c r="P42" s="28"/>
      <c r="Q42" s="29"/>
      <c r="R42" s="24"/>
      <c r="S42" s="25"/>
      <c r="T42" s="28"/>
      <c r="U42" s="29"/>
      <c r="V42" s="24"/>
      <c r="W42" s="25"/>
      <c r="X42" s="28"/>
      <c r="Y42" s="29"/>
      <c r="Z42" s="24"/>
      <c r="AA42" s="25"/>
      <c r="AB42" s="28"/>
      <c r="AC42" s="29"/>
      <c r="AD42" s="24"/>
      <c r="AE42" s="25"/>
      <c r="AF42" s="28"/>
      <c r="AG42" s="29"/>
      <c r="AH42" s="24"/>
      <c r="AI42" s="25"/>
      <c r="AJ42" s="28"/>
      <c r="AK42" s="29"/>
      <c r="AL42" s="24"/>
      <c r="AM42" s="25"/>
      <c r="AN42" s="28"/>
      <c r="AO42" s="29"/>
      <c r="AP42" s="24"/>
      <c r="AQ42" s="25"/>
      <c r="AR42" s="28"/>
      <c r="AS42" s="29"/>
      <c r="AT42" s="24"/>
      <c r="AU42" s="25"/>
      <c r="AV42" s="28"/>
      <c r="AW42" s="29"/>
      <c r="AX42" s="24"/>
      <c r="AY42" s="25"/>
      <c r="AZ42" s="28"/>
      <c r="BA42" s="29"/>
      <c r="BB42" s="24"/>
      <c r="BC42" s="25"/>
      <c r="BD42" s="28"/>
      <c r="BE42" s="29"/>
      <c r="BF42" s="24"/>
      <c r="BG42" s="25"/>
      <c r="BH42" s="28"/>
      <c r="BI42" s="29"/>
      <c r="BJ42" s="24"/>
      <c r="BK42" s="58"/>
      <c r="BL42" s="58"/>
      <c r="BM42" s="25"/>
      <c r="BN42" s="87"/>
      <c r="BO42" s="97"/>
      <c r="BP42" s="91"/>
      <c r="BQ42" s="89"/>
      <c r="BR42" s="28"/>
      <c r="BS42" s="29"/>
      <c r="BT42" s="12">
        <v>0</v>
      </c>
      <c r="BU42" s="57">
        <v>0</v>
      </c>
      <c r="BV42" s="57">
        <v>0</v>
      </c>
      <c r="BW42" s="13">
        <v>0</v>
      </c>
      <c r="BX42" s="28"/>
      <c r="BY42" s="29"/>
      <c r="BZ42" s="91"/>
      <c r="CA42" s="89"/>
      <c r="CB42" s="28"/>
      <c r="CC42" s="29"/>
      <c r="CD42" s="24"/>
      <c r="CE42" s="25"/>
      <c r="CF42" s="169"/>
      <c r="CG42" s="170"/>
      <c r="CH42" s="170"/>
      <c r="CI42" s="170"/>
      <c r="CJ42" s="88"/>
      <c r="CK42" s="92"/>
      <c r="CL42" s="14"/>
      <c r="CM42" s="15"/>
      <c r="CN42" s="88"/>
      <c r="CO42" s="92"/>
      <c r="CP42" s="14"/>
      <c r="CQ42" s="15"/>
    </row>
    <row r="43" spans="1:95" ht="23.45" customHeight="1" x14ac:dyDescent="0.55000000000000004">
      <c r="A43" s="7">
        <v>41</v>
      </c>
      <c r="B43" s="41"/>
      <c r="C43" s="31"/>
      <c r="D43" s="32"/>
      <c r="E43" s="33"/>
      <c r="F43" s="24"/>
      <c r="G43" s="25"/>
      <c r="H43" s="28"/>
      <c r="I43" s="29"/>
      <c r="J43" s="24"/>
      <c r="K43" s="25"/>
      <c r="L43" s="28"/>
      <c r="M43" s="29"/>
      <c r="N43" s="24"/>
      <c r="O43" s="25"/>
      <c r="P43" s="28"/>
      <c r="Q43" s="29"/>
      <c r="R43" s="24"/>
      <c r="S43" s="25"/>
      <c r="T43" s="28"/>
      <c r="U43" s="29"/>
      <c r="V43" s="24"/>
      <c r="W43" s="25"/>
      <c r="X43" s="28"/>
      <c r="Y43" s="29"/>
      <c r="Z43" s="24"/>
      <c r="AA43" s="25"/>
      <c r="AB43" s="28"/>
      <c r="AC43" s="29"/>
      <c r="AD43" s="24"/>
      <c r="AE43" s="25"/>
      <c r="AF43" s="28"/>
      <c r="AG43" s="29"/>
      <c r="AH43" s="24"/>
      <c r="AI43" s="25"/>
      <c r="AJ43" s="28"/>
      <c r="AK43" s="29"/>
      <c r="AL43" s="24"/>
      <c r="AM43" s="25"/>
      <c r="AN43" s="28"/>
      <c r="AO43" s="29"/>
      <c r="AP43" s="24"/>
      <c r="AQ43" s="25"/>
      <c r="AR43" s="28"/>
      <c r="AS43" s="29"/>
      <c r="AT43" s="24"/>
      <c r="AU43" s="25"/>
      <c r="AV43" s="28"/>
      <c r="AW43" s="29"/>
      <c r="AX43" s="24"/>
      <c r="AY43" s="25"/>
      <c r="AZ43" s="28"/>
      <c r="BA43" s="29"/>
      <c r="BB43" s="24"/>
      <c r="BC43" s="25"/>
      <c r="BD43" s="28"/>
      <c r="BE43" s="29"/>
      <c r="BF43" s="24"/>
      <c r="BG43" s="25"/>
      <c r="BH43" s="28"/>
      <c r="BI43" s="29"/>
      <c r="BJ43" s="24"/>
      <c r="BK43" s="58"/>
      <c r="BL43" s="58"/>
      <c r="BM43" s="25"/>
      <c r="BN43" s="87"/>
      <c r="BO43" s="97"/>
      <c r="BP43" s="91"/>
      <c r="BQ43" s="89"/>
      <c r="BR43" s="28"/>
      <c r="BS43" s="29"/>
      <c r="BT43" s="12">
        <v>0</v>
      </c>
      <c r="BU43" s="57">
        <v>0</v>
      </c>
      <c r="BV43" s="57">
        <v>0</v>
      </c>
      <c r="BW43" s="13">
        <v>0</v>
      </c>
      <c r="BX43" s="28"/>
      <c r="BY43" s="29"/>
      <c r="BZ43" s="91"/>
      <c r="CA43" s="89"/>
      <c r="CB43" s="28"/>
      <c r="CC43" s="29"/>
      <c r="CD43" s="24"/>
      <c r="CE43" s="25"/>
      <c r="CF43" s="169"/>
      <c r="CG43" s="170"/>
      <c r="CH43" s="170"/>
      <c r="CI43" s="170"/>
      <c r="CJ43" s="88"/>
      <c r="CK43" s="92"/>
      <c r="CL43" s="14"/>
      <c r="CM43" s="15"/>
      <c r="CN43" s="88"/>
      <c r="CO43" s="92"/>
      <c r="CP43" s="14"/>
      <c r="CQ43" s="15"/>
    </row>
    <row r="44" spans="1:95" ht="23.45" customHeight="1" x14ac:dyDescent="0.55000000000000004">
      <c r="A44" s="7">
        <v>42</v>
      </c>
      <c r="B44" s="41"/>
      <c r="C44" s="31"/>
      <c r="D44" s="32"/>
      <c r="E44" s="33"/>
      <c r="F44" s="24"/>
      <c r="G44" s="25"/>
      <c r="H44" s="28"/>
      <c r="I44" s="29"/>
      <c r="J44" s="24"/>
      <c r="K44" s="25"/>
      <c r="L44" s="28"/>
      <c r="M44" s="29"/>
      <c r="N44" s="24"/>
      <c r="O44" s="25"/>
      <c r="P44" s="28"/>
      <c r="Q44" s="29"/>
      <c r="R44" s="24"/>
      <c r="S44" s="25"/>
      <c r="T44" s="28"/>
      <c r="U44" s="29"/>
      <c r="V44" s="24"/>
      <c r="W44" s="25"/>
      <c r="X44" s="28"/>
      <c r="Y44" s="29"/>
      <c r="Z44" s="24"/>
      <c r="AA44" s="25"/>
      <c r="AB44" s="28"/>
      <c r="AC44" s="29"/>
      <c r="AD44" s="24"/>
      <c r="AE44" s="25"/>
      <c r="AF44" s="28"/>
      <c r="AG44" s="29"/>
      <c r="AH44" s="24"/>
      <c r="AI44" s="25"/>
      <c r="AJ44" s="28"/>
      <c r="AK44" s="29"/>
      <c r="AL44" s="24"/>
      <c r="AM44" s="25"/>
      <c r="AN44" s="28"/>
      <c r="AO44" s="29"/>
      <c r="AP44" s="24"/>
      <c r="AQ44" s="25"/>
      <c r="AR44" s="28"/>
      <c r="AS44" s="29"/>
      <c r="AT44" s="24"/>
      <c r="AU44" s="25"/>
      <c r="AV44" s="28"/>
      <c r="AW44" s="29"/>
      <c r="AX44" s="24"/>
      <c r="AY44" s="25"/>
      <c r="AZ44" s="28"/>
      <c r="BA44" s="29"/>
      <c r="BB44" s="24"/>
      <c r="BC44" s="25"/>
      <c r="BD44" s="28"/>
      <c r="BE44" s="29"/>
      <c r="BF44" s="24"/>
      <c r="BG44" s="25"/>
      <c r="BH44" s="28"/>
      <c r="BI44" s="29"/>
      <c r="BJ44" s="24"/>
      <c r="BK44" s="58"/>
      <c r="BL44" s="58"/>
      <c r="BM44" s="25"/>
      <c r="BN44" s="87"/>
      <c r="BO44" s="97"/>
      <c r="BP44" s="91"/>
      <c r="BQ44" s="89"/>
      <c r="BR44" s="28"/>
      <c r="BS44" s="29"/>
      <c r="BT44" s="12">
        <v>0</v>
      </c>
      <c r="BU44" s="57">
        <v>0</v>
      </c>
      <c r="BV44" s="57">
        <v>0</v>
      </c>
      <c r="BW44" s="13">
        <v>0</v>
      </c>
      <c r="BX44" s="28"/>
      <c r="BY44" s="29"/>
      <c r="BZ44" s="91"/>
      <c r="CA44" s="89"/>
      <c r="CB44" s="28"/>
      <c r="CC44" s="29"/>
      <c r="CD44" s="24"/>
      <c r="CE44" s="25"/>
      <c r="CF44" s="169"/>
      <c r="CG44" s="170"/>
      <c r="CH44" s="170"/>
      <c r="CI44" s="170"/>
      <c r="CJ44" s="88"/>
      <c r="CK44" s="92"/>
      <c r="CL44" s="14"/>
      <c r="CM44" s="15"/>
      <c r="CN44" s="88"/>
      <c r="CO44" s="92"/>
      <c r="CP44" s="14"/>
      <c r="CQ44" s="15"/>
    </row>
    <row r="45" spans="1:95" ht="23.45" customHeight="1" x14ac:dyDescent="0.55000000000000004">
      <c r="A45" s="7">
        <v>43</v>
      </c>
      <c r="B45" s="41"/>
      <c r="C45" s="31"/>
      <c r="D45" s="32"/>
      <c r="E45" s="33"/>
      <c r="F45" s="24"/>
      <c r="G45" s="25"/>
      <c r="H45" s="28"/>
      <c r="I45" s="29"/>
      <c r="J45" s="24"/>
      <c r="K45" s="25"/>
      <c r="L45" s="28"/>
      <c r="M45" s="29"/>
      <c r="N45" s="24"/>
      <c r="O45" s="25"/>
      <c r="P45" s="28"/>
      <c r="Q45" s="29"/>
      <c r="R45" s="24"/>
      <c r="S45" s="25"/>
      <c r="T45" s="28"/>
      <c r="U45" s="29"/>
      <c r="V45" s="24"/>
      <c r="W45" s="25"/>
      <c r="X45" s="28"/>
      <c r="Y45" s="29"/>
      <c r="Z45" s="24"/>
      <c r="AA45" s="25"/>
      <c r="AB45" s="28"/>
      <c r="AC45" s="29"/>
      <c r="AD45" s="24"/>
      <c r="AE45" s="25"/>
      <c r="AF45" s="28"/>
      <c r="AG45" s="29"/>
      <c r="AH45" s="24"/>
      <c r="AI45" s="25"/>
      <c r="AJ45" s="28"/>
      <c r="AK45" s="29"/>
      <c r="AL45" s="24"/>
      <c r="AM45" s="25"/>
      <c r="AN45" s="28"/>
      <c r="AO45" s="29"/>
      <c r="AP45" s="24"/>
      <c r="AQ45" s="25"/>
      <c r="AR45" s="28"/>
      <c r="AS45" s="29"/>
      <c r="AT45" s="24"/>
      <c r="AU45" s="25"/>
      <c r="AV45" s="28"/>
      <c r="AW45" s="29"/>
      <c r="AX45" s="24"/>
      <c r="AY45" s="25"/>
      <c r="AZ45" s="28"/>
      <c r="BA45" s="29"/>
      <c r="BB45" s="24"/>
      <c r="BC45" s="25"/>
      <c r="BD45" s="28"/>
      <c r="BE45" s="29"/>
      <c r="BF45" s="24"/>
      <c r="BG45" s="25"/>
      <c r="BH45" s="28"/>
      <c r="BI45" s="29"/>
      <c r="BJ45" s="24"/>
      <c r="BK45" s="58"/>
      <c r="BL45" s="58"/>
      <c r="BM45" s="25"/>
      <c r="BN45" s="87"/>
      <c r="BO45" s="97"/>
      <c r="BP45" s="91"/>
      <c r="BQ45" s="89"/>
      <c r="BR45" s="28"/>
      <c r="BS45" s="29"/>
      <c r="BT45" s="12">
        <v>0</v>
      </c>
      <c r="BU45" s="57">
        <v>0</v>
      </c>
      <c r="BV45" s="57">
        <v>0</v>
      </c>
      <c r="BW45" s="13">
        <v>0</v>
      </c>
      <c r="BX45" s="28"/>
      <c r="BY45" s="29"/>
      <c r="BZ45" s="91"/>
      <c r="CA45" s="89"/>
      <c r="CB45" s="28"/>
      <c r="CC45" s="29"/>
      <c r="CD45" s="24"/>
      <c r="CE45" s="25"/>
      <c r="CF45" s="169"/>
      <c r="CG45" s="170"/>
      <c r="CH45" s="170"/>
      <c r="CI45" s="170"/>
      <c r="CJ45" s="88"/>
      <c r="CK45" s="92"/>
      <c r="CL45" s="14"/>
      <c r="CM45" s="15"/>
      <c r="CN45" s="88"/>
      <c r="CO45" s="92"/>
      <c r="CP45" s="14"/>
      <c r="CQ45" s="15"/>
    </row>
    <row r="46" spans="1:95" ht="23.45" customHeight="1" x14ac:dyDescent="0.55000000000000004">
      <c r="A46" s="7">
        <v>44</v>
      </c>
      <c r="B46" s="41"/>
      <c r="C46" s="31"/>
      <c r="D46" s="32"/>
      <c r="E46" s="33"/>
      <c r="F46" s="24"/>
      <c r="G46" s="25"/>
      <c r="H46" s="28"/>
      <c r="I46" s="29"/>
      <c r="J46" s="24"/>
      <c r="K46" s="25"/>
      <c r="L46" s="28"/>
      <c r="M46" s="29"/>
      <c r="N46" s="24"/>
      <c r="O46" s="25"/>
      <c r="P46" s="28"/>
      <c r="Q46" s="29"/>
      <c r="R46" s="24"/>
      <c r="S46" s="25"/>
      <c r="T46" s="28"/>
      <c r="U46" s="29"/>
      <c r="V46" s="24"/>
      <c r="W46" s="25"/>
      <c r="X46" s="28"/>
      <c r="Y46" s="29"/>
      <c r="Z46" s="24"/>
      <c r="AA46" s="25"/>
      <c r="AB46" s="28"/>
      <c r="AC46" s="29"/>
      <c r="AD46" s="24"/>
      <c r="AE46" s="25"/>
      <c r="AF46" s="28"/>
      <c r="AG46" s="29"/>
      <c r="AH46" s="24"/>
      <c r="AI46" s="25"/>
      <c r="AJ46" s="28"/>
      <c r="AK46" s="29"/>
      <c r="AL46" s="24"/>
      <c r="AM46" s="25"/>
      <c r="AN46" s="28"/>
      <c r="AO46" s="29"/>
      <c r="AP46" s="24"/>
      <c r="AQ46" s="25"/>
      <c r="AR46" s="28"/>
      <c r="AS46" s="29"/>
      <c r="AT46" s="24"/>
      <c r="AU46" s="25"/>
      <c r="AV46" s="28"/>
      <c r="AW46" s="29"/>
      <c r="AX46" s="24"/>
      <c r="AY46" s="25"/>
      <c r="AZ46" s="28"/>
      <c r="BA46" s="29"/>
      <c r="BB46" s="24"/>
      <c r="BC46" s="25"/>
      <c r="BD46" s="28"/>
      <c r="BE46" s="29"/>
      <c r="BF46" s="24"/>
      <c r="BG46" s="25"/>
      <c r="BH46" s="28"/>
      <c r="BI46" s="29"/>
      <c r="BJ46" s="24"/>
      <c r="BK46" s="58"/>
      <c r="BL46" s="58"/>
      <c r="BM46" s="25"/>
      <c r="BN46" s="87"/>
      <c r="BO46" s="97"/>
      <c r="BP46" s="91"/>
      <c r="BQ46" s="89"/>
      <c r="BR46" s="28"/>
      <c r="BS46" s="29"/>
      <c r="BT46" s="12">
        <v>0</v>
      </c>
      <c r="BU46" s="57">
        <v>0</v>
      </c>
      <c r="BV46" s="57">
        <v>0</v>
      </c>
      <c r="BW46" s="13">
        <v>0</v>
      </c>
      <c r="BX46" s="28"/>
      <c r="BY46" s="29"/>
      <c r="BZ46" s="91"/>
      <c r="CA46" s="89"/>
      <c r="CB46" s="28"/>
      <c r="CC46" s="29"/>
      <c r="CD46" s="24"/>
      <c r="CE46" s="25"/>
      <c r="CF46" s="169"/>
      <c r="CG46" s="170"/>
      <c r="CH46" s="170"/>
      <c r="CI46" s="170"/>
      <c r="CJ46" s="88"/>
      <c r="CK46" s="92"/>
      <c r="CL46" s="14"/>
      <c r="CM46" s="15"/>
      <c r="CN46" s="88"/>
      <c r="CO46" s="92"/>
      <c r="CP46" s="14"/>
      <c r="CQ46" s="15"/>
    </row>
    <row r="47" spans="1:95" ht="23.45" customHeight="1" x14ac:dyDescent="0.55000000000000004">
      <c r="A47" s="7">
        <v>45</v>
      </c>
      <c r="B47" s="41"/>
      <c r="C47" s="31"/>
      <c r="D47" s="32"/>
      <c r="E47" s="33"/>
      <c r="F47" s="24"/>
      <c r="G47" s="25"/>
      <c r="H47" s="28"/>
      <c r="I47" s="29"/>
      <c r="J47" s="24"/>
      <c r="K47" s="25"/>
      <c r="L47" s="28"/>
      <c r="M47" s="29"/>
      <c r="N47" s="24"/>
      <c r="O47" s="25"/>
      <c r="P47" s="28"/>
      <c r="Q47" s="29"/>
      <c r="R47" s="24"/>
      <c r="S47" s="25"/>
      <c r="T47" s="28"/>
      <c r="U47" s="29"/>
      <c r="V47" s="24"/>
      <c r="W47" s="25"/>
      <c r="X47" s="28"/>
      <c r="Y47" s="29"/>
      <c r="Z47" s="24"/>
      <c r="AA47" s="25"/>
      <c r="AB47" s="28"/>
      <c r="AC47" s="29"/>
      <c r="AD47" s="24"/>
      <c r="AE47" s="25"/>
      <c r="AF47" s="28"/>
      <c r="AG47" s="29"/>
      <c r="AH47" s="24"/>
      <c r="AI47" s="25"/>
      <c r="AJ47" s="28"/>
      <c r="AK47" s="29"/>
      <c r="AL47" s="24"/>
      <c r="AM47" s="25"/>
      <c r="AN47" s="28"/>
      <c r="AO47" s="29"/>
      <c r="AP47" s="24"/>
      <c r="AQ47" s="25"/>
      <c r="AR47" s="28"/>
      <c r="AS47" s="29"/>
      <c r="AT47" s="24"/>
      <c r="AU47" s="25"/>
      <c r="AV47" s="28"/>
      <c r="AW47" s="29"/>
      <c r="AX47" s="24"/>
      <c r="AY47" s="25"/>
      <c r="AZ47" s="28"/>
      <c r="BA47" s="29"/>
      <c r="BB47" s="24"/>
      <c r="BC47" s="25"/>
      <c r="BD47" s="28"/>
      <c r="BE47" s="29"/>
      <c r="BF47" s="24"/>
      <c r="BG47" s="25"/>
      <c r="BH47" s="28"/>
      <c r="BI47" s="29"/>
      <c r="BJ47" s="24"/>
      <c r="BK47" s="58"/>
      <c r="BL47" s="58"/>
      <c r="BM47" s="25"/>
      <c r="BN47" s="87"/>
      <c r="BO47" s="97"/>
      <c r="BP47" s="91"/>
      <c r="BQ47" s="89"/>
      <c r="BR47" s="28"/>
      <c r="BS47" s="29"/>
      <c r="BT47" s="12">
        <v>0</v>
      </c>
      <c r="BU47" s="57">
        <v>0</v>
      </c>
      <c r="BV47" s="57">
        <v>0</v>
      </c>
      <c r="BW47" s="13">
        <v>0</v>
      </c>
      <c r="BX47" s="28"/>
      <c r="BY47" s="29"/>
      <c r="BZ47" s="91"/>
      <c r="CA47" s="89"/>
      <c r="CB47" s="28"/>
      <c r="CC47" s="29"/>
      <c r="CD47" s="24"/>
      <c r="CE47" s="25"/>
      <c r="CF47" s="169"/>
      <c r="CG47" s="170"/>
      <c r="CH47" s="170"/>
      <c r="CI47" s="170"/>
      <c r="CJ47" s="88"/>
      <c r="CK47" s="92"/>
      <c r="CL47" s="14"/>
      <c r="CM47" s="15"/>
      <c r="CN47" s="88"/>
      <c r="CO47" s="92"/>
      <c r="CP47" s="14"/>
      <c r="CQ47" s="15"/>
    </row>
    <row r="48" spans="1:95" ht="23.45" customHeight="1" x14ac:dyDescent="0.55000000000000004">
      <c r="A48" s="7">
        <v>46</v>
      </c>
      <c r="B48" s="41"/>
      <c r="C48" s="31"/>
      <c r="D48" s="32"/>
      <c r="E48" s="33"/>
      <c r="F48" s="24"/>
      <c r="G48" s="25"/>
      <c r="H48" s="28"/>
      <c r="I48" s="29"/>
      <c r="J48" s="24"/>
      <c r="K48" s="25"/>
      <c r="L48" s="28"/>
      <c r="M48" s="29"/>
      <c r="N48" s="24"/>
      <c r="O48" s="25"/>
      <c r="P48" s="28"/>
      <c r="Q48" s="29"/>
      <c r="R48" s="24"/>
      <c r="S48" s="25"/>
      <c r="T48" s="28"/>
      <c r="U48" s="29"/>
      <c r="V48" s="24"/>
      <c r="W48" s="25"/>
      <c r="X48" s="28"/>
      <c r="Y48" s="29"/>
      <c r="Z48" s="24"/>
      <c r="AA48" s="25"/>
      <c r="AB48" s="28"/>
      <c r="AC48" s="29"/>
      <c r="AD48" s="24"/>
      <c r="AE48" s="25"/>
      <c r="AF48" s="28"/>
      <c r="AG48" s="29"/>
      <c r="AH48" s="24"/>
      <c r="AI48" s="25"/>
      <c r="AJ48" s="28"/>
      <c r="AK48" s="29"/>
      <c r="AL48" s="24"/>
      <c r="AM48" s="25"/>
      <c r="AN48" s="28"/>
      <c r="AO48" s="29"/>
      <c r="AP48" s="24"/>
      <c r="AQ48" s="25"/>
      <c r="AR48" s="28"/>
      <c r="AS48" s="29"/>
      <c r="AT48" s="24"/>
      <c r="AU48" s="25"/>
      <c r="AV48" s="28"/>
      <c r="AW48" s="29"/>
      <c r="AX48" s="24"/>
      <c r="AY48" s="25"/>
      <c r="AZ48" s="28"/>
      <c r="BA48" s="29"/>
      <c r="BB48" s="24"/>
      <c r="BC48" s="25"/>
      <c r="BD48" s="28"/>
      <c r="BE48" s="29"/>
      <c r="BF48" s="24"/>
      <c r="BG48" s="25"/>
      <c r="BH48" s="28"/>
      <c r="BI48" s="29"/>
      <c r="BJ48" s="24"/>
      <c r="BK48" s="58"/>
      <c r="BL48" s="58"/>
      <c r="BM48" s="25"/>
      <c r="BN48" s="87"/>
      <c r="BO48" s="97"/>
      <c r="BP48" s="91"/>
      <c r="BQ48" s="89"/>
      <c r="BR48" s="28"/>
      <c r="BS48" s="29"/>
      <c r="BT48" s="12">
        <v>0</v>
      </c>
      <c r="BU48" s="57">
        <v>0</v>
      </c>
      <c r="BV48" s="57">
        <v>0</v>
      </c>
      <c r="BW48" s="13">
        <v>0</v>
      </c>
      <c r="BX48" s="28"/>
      <c r="BY48" s="29"/>
      <c r="BZ48" s="91"/>
      <c r="CA48" s="89"/>
      <c r="CB48" s="28"/>
      <c r="CC48" s="29"/>
      <c r="CD48" s="24"/>
      <c r="CE48" s="25"/>
      <c r="CF48" s="169"/>
      <c r="CG48" s="170"/>
      <c r="CH48" s="170"/>
      <c r="CI48" s="170"/>
      <c r="CJ48" s="88"/>
      <c r="CK48" s="92"/>
      <c r="CL48" s="14"/>
      <c r="CM48" s="15"/>
      <c r="CN48" s="88"/>
      <c r="CO48" s="92"/>
      <c r="CP48" s="14"/>
      <c r="CQ48" s="15"/>
    </row>
    <row r="49" spans="1:95" ht="23.45" customHeight="1" x14ac:dyDescent="0.55000000000000004">
      <c r="A49" s="7">
        <v>47</v>
      </c>
      <c r="B49" s="41"/>
      <c r="C49" s="31"/>
      <c r="D49" s="32"/>
      <c r="E49" s="33"/>
      <c r="F49" s="24"/>
      <c r="G49" s="25"/>
      <c r="H49" s="28"/>
      <c r="I49" s="29"/>
      <c r="J49" s="24"/>
      <c r="K49" s="25"/>
      <c r="L49" s="28"/>
      <c r="M49" s="29"/>
      <c r="N49" s="24"/>
      <c r="O49" s="25"/>
      <c r="P49" s="28"/>
      <c r="Q49" s="29"/>
      <c r="R49" s="24"/>
      <c r="S49" s="25"/>
      <c r="T49" s="28"/>
      <c r="U49" s="29"/>
      <c r="V49" s="24"/>
      <c r="W49" s="25"/>
      <c r="X49" s="28"/>
      <c r="Y49" s="29"/>
      <c r="Z49" s="24"/>
      <c r="AA49" s="25"/>
      <c r="AB49" s="28"/>
      <c r="AC49" s="29"/>
      <c r="AD49" s="24"/>
      <c r="AE49" s="25"/>
      <c r="AF49" s="28"/>
      <c r="AG49" s="29"/>
      <c r="AH49" s="24"/>
      <c r="AI49" s="25"/>
      <c r="AJ49" s="28"/>
      <c r="AK49" s="29"/>
      <c r="AL49" s="24"/>
      <c r="AM49" s="25"/>
      <c r="AN49" s="28"/>
      <c r="AO49" s="29"/>
      <c r="AP49" s="24"/>
      <c r="AQ49" s="25"/>
      <c r="AR49" s="28"/>
      <c r="AS49" s="29"/>
      <c r="AT49" s="24"/>
      <c r="AU49" s="25"/>
      <c r="AV49" s="28"/>
      <c r="AW49" s="29"/>
      <c r="AX49" s="24"/>
      <c r="AY49" s="25"/>
      <c r="AZ49" s="28"/>
      <c r="BA49" s="29"/>
      <c r="BB49" s="24"/>
      <c r="BC49" s="25"/>
      <c r="BD49" s="28"/>
      <c r="BE49" s="29"/>
      <c r="BF49" s="24"/>
      <c r="BG49" s="25"/>
      <c r="BH49" s="28"/>
      <c r="BI49" s="29"/>
      <c r="BJ49" s="24"/>
      <c r="BK49" s="58"/>
      <c r="BL49" s="58"/>
      <c r="BM49" s="25"/>
      <c r="BN49" s="87"/>
      <c r="BO49" s="97"/>
      <c r="BP49" s="91"/>
      <c r="BQ49" s="89"/>
      <c r="BR49" s="28"/>
      <c r="BS49" s="29"/>
      <c r="BT49" s="12">
        <v>0</v>
      </c>
      <c r="BU49" s="57">
        <v>0</v>
      </c>
      <c r="BV49" s="57">
        <v>0</v>
      </c>
      <c r="BW49" s="13">
        <v>0</v>
      </c>
      <c r="BX49" s="28"/>
      <c r="BY49" s="29"/>
      <c r="BZ49" s="91"/>
      <c r="CA49" s="89"/>
      <c r="CB49" s="28"/>
      <c r="CC49" s="29"/>
      <c r="CD49" s="24"/>
      <c r="CE49" s="25"/>
      <c r="CF49" s="169"/>
      <c r="CG49" s="170"/>
      <c r="CH49" s="170"/>
      <c r="CI49" s="170"/>
      <c r="CJ49" s="88"/>
      <c r="CK49" s="92"/>
      <c r="CL49" s="14"/>
      <c r="CM49" s="15"/>
      <c r="CN49" s="88"/>
      <c r="CO49" s="92"/>
      <c r="CP49" s="14"/>
      <c r="CQ49" s="15"/>
    </row>
    <row r="50" spans="1:95" ht="23.45" customHeight="1" x14ac:dyDescent="0.55000000000000004">
      <c r="A50" s="7">
        <v>48</v>
      </c>
      <c r="B50" s="41"/>
      <c r="C50" s="31"/>
      <c r="D50" s="32"/>
      <c r="E50" s="33"/>
      <c r="F50" s="24"/>
      <c r="G50" s="25"/>
      <c r="H50" s="28"/>
      <c r="I50" s="29"/>
      <c r="J50" s="24"/>
      <c r="K50" s="25"/>
      <c r="L50" s="28"/>
      <c r="M50" s="29"/>
      <c r="N50" s="24"/>
      <c r="O50" s="25"/>
      <c r="P50" s="28"/>
      <c r="Q50" s="29"/>
      <c r="R50" s="24"/>
      <c r="S50" s="25"/>
      <c r="T50" s="28"/>
      <c r="U50" s="29"/>
      <c r="V50" s="24"/>
      <c r="W50" s="25"/>
      <c r="X50" s="28"/>
      <c r="Y50" s="29"/>
      <c r="Z50" s="24"/>
      <c r="AA50" s="25"/>
      <c r="AB50" s="28"/>
      <c r="AC50" s="29"/>
      <c r="AD50" s="24"/>
      <c r="AE50" s="25"/>
      <c r="AF50" s="28"/>
      <c r="AG50" s="29"/>
      <c r="AH50" s="24"/>
      <c r="AI50" s="25"/>
      <c r="AJ50" s="28"/>
      <c r="AK50" s="29"/>
      <c r="AL50" s="24"/>
      <c r="AM50" s="25"/>
      <c r="AN50" s="28"/>
      <c r="AO50" s="29"/>
      <c r="AP50" s="24"/>
      <c r="AQ50" s="25"/>
      <c r="AR50" s="28"/>
      <c r="AS50" s="29"/>
      <c r="AT50" s="24"/>
      <c r="AU50" s="25"/>
      <c r="AV50" s="28"/>
      <c r="AW50" s="29"/>
      <c r="AX50" s="24"/>
      <c r="AY50" s="25"/>
      <c r="AZ50" s="28"/>
      <c r="BA50" s="29"/>
      <c r="BB50" s="24"/>
      <c r="BC50" s="25"/>
      <c r="BD50" s="28"/>
      <c r="BE50" s="29"/>
      <c r="BF50" s="24"/>
      <c r="BG50" s="25"/>
      <c r="BH50" s="28"/>
      <c r="BI50" s="29"/>
      <c r="BJ50" s="24"/>
      <c r="BK50" s="58"/>
      <c r="BL50" s="58"/>
      <c r="BM50" s="25"/>
      <c r="BN50" s="87"/>
      <c r="BO50" s="97"/>
      <c r="BP50" s="91"/>
      <c r="BQ50" s="89"/>
      <c r="BR50" s="28"/>
      <c r="BS50" s="29"/>
      <c r="BT50" s="12">
        <v>0</v>
      </c>
      <c r="BU50" s="57">
        <v>0</v>
      </c>
      <c r="BV50" s="57">
        <v>0</v>
      </c>
      <c r="BW50" s="13">
        <v>0</v>
      </c>
      <c r="BX50" s="28"/>
      <c r="BY50" s="29"/>
      <c r="BZ50" s="91"/>
      <c r="CA50" s="89"/>
      <c r="CB50" s="28"/>
      <c r="CC50" s="29"/>
      <c r="CD50" s="24"/>
      <c r="CE50" s="25"/>
      <c r="CF50" s="169"/>
      <c r="CG50" s="170"/>
      <c r="CH50" s="170"/>
      <c r="CI50" s="170"/>
      <c r="CJ50" s="88"/>
      <c r="CK50" s="92"/>
      <c r="CL50" s="14"/>
      <c r="CM50" s="15"/>
      <c r="CN50" s="88"/>
      <c r="CO50" s="92"/>
      <c r="CP50" s="14"/>
      <c r="CQ50" s="15"/>
    </row>
    <row r="51" spans="1:95" ht="23.45" customHeight="1" x14ac:dyDescent="0.55000000000000004">
      <c r="A51" s="7">
        <v>49</v>
      </c>
      <c r="B51" s="41"/>
      <c r="C51" s="31"/>
      <c r="D51" s="32"/>
      <c r="E51" s="33"/>
      <c r="F51" s="24"/>
      <c r="G51" s="25"/>
      <c r="H51" s="28"/>
      <c r="I51" s="29"/>
      <c r="J51" s="24"/>
      <c r="K51" s="25"/>
      <c r="L51" s="28"/>
      <c r="M51" s="29"/>
      <c r="N51" s="24"/>
      <c r="O51" s="25"/>
      <c r="P51" s="28"/>
      <c r="Q51" s="29"/>
      <c r="R51" s="24"/>
      <c r="S51" s="25"/>
      <c r="T51" s="28"/>
      <c r="U51" s="29"/>
      <c r="V51" s="24"/>
      <c r="W51" s="25"/>
      <c r="X51" s="28"/>
      <c r="Y51" s="29"/>
      <c r="Z51" s="24"/>
      <c r="AA51" s="25"/>
      <c r="AB51" s="28"/>
      <c r="AC51" s="29"/>
      <c r="AD51" s="24"/>
      <c r="AE51" s="25"/>
      <c r="AF51" s="28"/>
      <c r="AG51" s="29"/>
      <c r="AH51" s="24"/>
      <c r="AI51" s="25"/>
      <c r="AJ51" s="28"/>
      <c r="AK51" s="29"/>
      <c r="AL51" s="24"/>
      <c r="AM51" s="25"/>
      <c r="AN51" s="28"/>
      <c r="AO51" s="29"/>
      <c r="AP51" s="24"/>
      <c r="AQ51" s="25"/>
      <c r="AR51" s="28"/>
      <c r="AS51" s="29"/>
      <c r="AT51" s="24"/>
      <c r="AU51" s="25"/>
      <c r="AV51" s="28"/>
      <c r="AW51" s="29"/>
      <c r="AX51" s="24"/>
      <c r="AY51" s="25"/>
      <c r="AZ51" s="28"/>
      <c r="BA51" s="29"/>
      <c r="BB51" s="24"/>
      <c r="BC51" s="25"/>
      <c r="BD51" s="28"/>
      <c r="BE51" s="29"/>
      <c r="BF51" s="24"/>
      <c r="BG51" s="25"/>
      <c r="BH51" s="28"/>
      <c r="BI51" s="29"/>
      <c r="BJ51" s="24"/>
      <c r="BK51" s="58"/>
      <c r="BL51" s="58"/>
      <c r="BM51" s="25"/>
      <c r="BN51" s="87"/>
      <c r="BO51" s="97"/>
      <c r="BP51" s="91"/>
      <c r="BQ51" s="89"/>
      <c r="BR51" s="28"/>
      <c r="BS51" s="29"/>
      <c r="BT51" s="12">
        <v>0</v>
      </c>
      <c r="BU51" s="57">
        <v>0</v>
      </c>
      <c r="BV51" s="57">
        <v>0</v>
      </c>
      <c r="BW51" s="13">
        <v>0</v>
      </c>
      <c r="BX51" s="28"/>
      <c r="BY51" s="29"/>
      <c r="BZ51" s="91"/>
      <c r="CA51" s="89"/>
      <c r="CB51" s="28"/>
      <c r="CC51" s="29"/>
      <c r="CD51" s="24"/>
      <c r="CE51" s="25"/>
      <c r="CF51" s="169"/>
      <c r="CG51" s="170"/>
      <c r="CH51" s="170"/>
      <c r="CI51" s="170"/>
      <c r="CJ51" s="88"/>
      <c r="CK51" s="92"/>
      <c r="CL51" s="14"/>
      <c r="CM51" s="15"/>
      <c r="CN51" s="88"/>
      <c r="CO51" s="92"/>
      <c r="CP51" s="14"/>
      <c r="CQ51" s="15"/>
    </row>
    <row r="52" spans="1:95" ht="23.45" customHeight="1" x14ac:dyDescent="0.55000000000000004">
      <c r="A52" s="7">
        <v>50</v>
      </c>
      <c r="B52" s="41"/>
      <c r="C52" s="31"/>
      <c r="D52" s="32"/>
      <c r="E52" s="33"/>
      <c r="F52" s="24"/>
      <c r="G52" s="25"/>
      <c r="H52" s="28"/>
      <c r="I52" s="29"/>
      <c r="J52" s="24"/>
      <c r="K52" s="25"/>
      <c r="L52" s="28"/>
      <c r="M52" s="29"/>
      <c r="N52" s="24"/>
      <c r="O52" s="25"/>
      <c r="P52" s="28"/>
      <c r="Q52" s="29"/>
      <c r="R52" s="24"/>
      <c r="S52" s="25"/>
      <c r="T52" s="28"/>
      <c r="U52" s="29"/>
      <c r="V52" s="24"/>
      <c r="W52" s="25"/>
      <c r="X52" s="28"/>
      <c r="Y52" s="29"/>
      <c r="Z52" s="24"/>
      <c r="AA52" s="25"/>
      <c r="AB52" s="28"/>
      <c r="AC52" s="29"/>
      <c r="AD52" s="24"/>
      <c r="AE52" s="25"/>
      <c r="AF52" s="28"/>
      <c r="AG52" s="29"/>
      <c r="AH52" s="24"/>
      <c r="AI52" s="25"/>
      <c r="AJ52" s="28"/>
      <c r="AK52" s="29"/>
      <c r="AL52" s="24"/>
      <c r="AM52" s="25"/>
      <c r="AN52" s="28"/>
      <c r="AO52" s="29"/>
      <c r="AP52" s="24"/>
      <c r="AQ52" s="25"/>
      <c r="AR52" s="28"/>
      <c r="AS52" s="29"/>
      <c r="AT52" s="24"/>
      <c r="AU52" s="25"/>
      <c r="AV52" s="28"/>
      <c r="AW52" s="29"/>
      <c r="AX52" s="24"/>
      <c r="AY52" s="25"/>
      <c r="AZ52" s="28"/>
      <c r="BA52" s="29"/>
      <c r="BB52" s="24"/>
      <c r="BC52" s="25"/>
      <c r="BD52" s="28"/>
      <c r="BE52" s="29"/>
      <c r="BF52" s="24"/>
      <c r="BG52" s="25"/>
      <c r="BH52" s="28"/>
      <c r="BI52" s="29"/>
      <c r="BJ52" s="24"/>
      <c r="BK52" s="58"/>
      <c r="BL52" s="58"/>
      <c r="BM52" s="25"/>
      <c r="BN52" s="87"/>
      <c r="BO52" s="97"/>
      <c r="BP52" s="91"/>
      <c r="BQ52" s="89"/>
      <c r="BR52" s="28"/>
      <c r="BS52" s="29"/>
      <c r="BT52" s="12">
        <v>0</v>
      </c>
      <c r="BU52" s="57">
        <v>0</v>
      </c>
      <c r="BV52" s="57">
        <v>0</v>
      </c>
      <c r="BW52" s="13">
        <v>0</v>
      </c>
      <c r="BX52" s="28"/>
      <c r="BY52" s="29"/>
      <c r="BZ52" s="91"/>
      <c r="CA52" s="89"/>
      <c r="CB52" s="28"/>
      <c r="CC52" s="29"/>
      <c r="CD52" s="24"/>
      <c r="CE52" s="25"/>
      <c r="CF52" s="169"/>
      <c r="CG52" s="170"/>
      <c r="CH52" s="170"/>
      <c r="CI52" s="170"/>
      <c r="CJ52" s="88"/>
      <c r="CK52" s="92"/>
      <c r="CL52" s="14"/>
      <c r="CM52" s="15"/>
      <c r="CN52" s="88"/>
      <c r="CO52" s="92"/>
      <c r="CP52" s="14"/>
      <c r="CQ52" s="15"/>
    </row>
    <row r="53" spans="1:95" ht="23.45" customHeight="1" x14ac:dyDescent="0.55000000000000004">
      <c r="A53" s="7">
        <v>51</v>
      </c>
      <c r="B53" s="41"/>
      <c r="C53" s="31"/>
      <c r="D53" s="32"/>
      <c r="E53" s="33"/>
      <c r="F53" s="24"/>
      <c r="G53" s="25"/>
      <c r="H53" s="28"/>
      <c r="I53" s="29"/>
      <c r="J53" s="24"/>
      <c r="K53" s="25"/>
      <c r="L53" s="28"/>
      <c r="M53" s="29"/>
      <c r="N53" s="24"/>
      <c r="O53" s="25"/>
      <c r="P53" s="28"/>
      <c r="Q53" s="29"/>
      <c r="R53" s="24"/>
      <c r="S53" s="25"/>
      <c r="T53" s="28"/>
      <c r="U53" s="29"/>
      <c r="V53" s="24"/>
      <c r="W53" s="25"/>
      <c r="X53" s="28"/>
      <c r="Y53" s="29"/>
      <c r="Z53" s="24"/>
      <c r="AA53" s="25"/>
      <c r="AB53" s="28"/>
      <c r="AC53" s="29"/>
      <c r="AD53" s="24"/>
      <c r="AE53" s="25"/>
      <c r="AF53" s="28"/>
      <c r="AG53" s="29"/>
      <c r="AH53" s="24"/>
      <c r="AI53" s="25"/>
      <c r="AJ53" s="28"/>
      <c r="AK53" s="29"/>
      <c r="AL53" s="24"/>
      <c r="AM53" s="25"/>
      <c r="AN53" s="28"/>
      <c r="AO53" s="29"/>
      <c r="AP53" s="24"/>
      <c r="AQ53" s="25"/>
      <c r="AR53" s="28"/>
      <c r="AS53" s="29"/>
      <c r="AT53" s="24"/>
      <c r="AU53" s="25"/>
      <c r="AV53" s="28"/>
      <c r="AW53" s="29"/>
      <c r="AX53" s="24"/>
      <c r="AY53" s="25"/>
      <c r="AZ53" s="28"/>
      <c r="BA53" s="29"/>
      <c r="BB53" s="24"/>
      <c r="BC53" s="25"/>
      <c r="BD53" s="28"/>
      <c r="BE53" s="29"/>
      <c r="BF53" s="24"/>
      <c r="BG53" s="25"/>
      <c r="BH53" s="28"/>
      <c r="BI53" s="29"/>
      <c r="BJ53" s="24"/>
      <c r="BK53" s="58"/>
      <c r="BL53" s="58"/>
      <c r="BM53" s="25"/>
      <c r="BN53" s="87"/>
      <c r="BO53" s="97"/>
      <c r="BP53" s="91"/>
      <c r="BQ53" s="89"/>
      <c r="BR53" s="28"/>
      <c r="BS53" s="29"/>
      <c r="BT53" s="12">
        <v>0</v>
      </c>
      <c r="BU53" s="57">
        <v>0</v>
      </c>
      <c r="BV53" s="57">
        <v>0</v>
      </c>
      <c r="BW53" s="13">
        <v>0</v>
      </c>
      <c r="BX53" s="28"/>
      <c r="BY53" s="29"/>
      <c r="BZ53" s="91"/>
      <c r="CA53" s="89"/>
      <c r="CB53" s="28"/>
      <c r="CC53" s="29"/>
      <c r="CD53" s="24"/>
      <c r="CE53" s="25"/>
      <c r="CF53" s="169"/>
      <c r="CG53" s="170"/>
      <c r="CH53" s="170"/>
      <c r="CI53" s="170"/>
      <c r="CJ53" s="88"/>
      <c r="CK53" s="92"/>
      <c r="CL53" s="14"/>
      <c r="CM53" s="15"/>
      <c r="CN53" s="88"/>
      <c r="CO53" s="92"/>
      <c r="CP53" s="14"/>
      <c r="CQ53" s="15"/>
    </row>
    <row r="54" spans="1:95" ht="23.45" customHeight="1" x14ac:dyDescent="0.55000000000000004">
      <c r="A54" s="7">
        <v>52</v>
      </c>
      <c r="B54" s="41"/>
      <c r="C54" s="31"/>
      <c r="D54" s="32"/>
      <c r="E54" s="33"/>
      <c r="F54" s="24"/>
      <c r="G54" s="25"/>
      <c r="H54" s="28"/>
      <c r="I54" s="29"/>
      <c r="J54" s="24"/>
      <c r="K54" s="25"/>
      <c r="L54" s="28"/>
      <c r="M54" s="29"/>
      <c r="N54" s="24"/>
      <c r="O54" s="25"/>
      <c r="P54" s="28"/>
      <c r="Q54" s="29"/>
      <c r="R54" s="24"/>
      <c r="S54" s="25"/>
      <c r="T54" s="28"/>
      <c r="U54" s="29"/>
      <c r="V54" s="24"/>
      <c r="W54" s="25"/>
      <c r="X54" s="28"/>
      <c r="Y54" s="29"/>
      <c r="Z54" s="24"/>
      <c r="AA54" s="25"/>
      <c r="AB54" s="28"/>
      <c r="AC54" s="29"/>
      <c r="AD54" s="24"/>
      <c r="AE54" s="25"/>
      <c r="AF54" s="28"/>
      <c r="AG54" s="29"/>
      <c r="AH54" s="24"/>
      <c r="AI54" s="25"/>
      <c r="AJ54" s="28"/>
      <c r="AK54" s="29"/>
      <c r="AL54" s="24"/>
      <c r="AM54" s="25"/>
      <c r="AN54" s="28"/>
      <c r="AO54" s="29"/>
      <c r="AP54" s="24"/>
      <c r="AQ54" s="25"/>
      <c r="AR54" s="28"/>
      <c r="AS54" s="29"/>
      <c r="AT54" s="24"/>
      <c r="AU54" s="25"/>
      <c r="AV54" s="28"/>
      <c r="AW54" s="29"/>
      <c r="AX54" s="24"/>
      <c r="AY54" s="25"/>
      <c r="AZ54" s="28"/>
      <c r="BA54" s="29"/>
      <c r="BB54" s="24"/>
      <c r="BC54" s="25"/>
      <c r="BD54" s="28"/>
      <c r="BE54" s="29"/>
      <c r="BF54" s="24"/>
      <c r="BG54" s="25"/>
      <c r="BH54" s="28"/>
      <c r="BI54" s="29"/>
      <c r="BJ54" s="24"/>
      <c r="BK54" s="58"/>
      <c r="BL54" s="58"/>
      <c r="BM54" s="25"/>
      <c r="BN54" s="87"/>
      <c r="BO54" s="97"/>
      <c r="BP54" s="91"/>
      <c r="BQ54" s="89"/>
      <c r="BR54" s="28"/>
      <c r="BS54" s="29"/>
      <c r="BT54" s="12">
        <v>0</v>
      </c>
      <c r="BU54" s="57">
        <v>0</v>
      </c>
      <c r="BV54" s="57">
        <v>0</v>
      </c>
      <c r="BW54" s="13">
        <v>0</v>
      </c>
      <c r="BX54" s="28"/>
      <c r="BY54" s="29"/>
      <c r="BZ54" s="91"/>
      <c r="CA54" s="89"/>
      <c r="CB54" s="28"/>
      <c r="CC54" s="29"/>
      <c r="CD54" s="24"/>
      <c r="CE54" s="25"/>
      <c r="CF54" s="169"/>
      <c r="CG54" s="170"/>
      <c r="CH54" s="170"/>
      <c r="CI54" s="170"/>
      <c r="CJ54" s="88"/>
      <c r="CK54" s="92"/>
      <c r="CL54" s="14"/>
      <c r="CM54" s="15"/>
      <c r="CN54" s="88"/>
      <c r="CO54" s="92"/>
      <c r="CP54" s="14"/>
      <c r="CQ54" s="15"/>
    </row>
    <row r="55" spans="1:95" ht="23.45" customHeight="1" x14ac:dyDescent="0.55000000000000004">
      <c r="A55" s="7">
        <v>53</v>
      </c>
      <c r="B55" s="41"/>
      <c r="C55" s="31"/>
      <c r="D55" s="32"/>
      <c r="E55" s="33"/>
      <c r="F55" s="24"/>
      <c r="G55" s="25"/>
      <c r="H55" s="28"/>
      <c r="I55" s="29"/>
      <c r="J55" s="24"/>
      <c r="K55" s="25"/>
      <c r="L55" s="28"/>
      <c r="M55" s="29"/>
      <c r="N55" s="24"/>
      <c r="O55" s="25"/>
      <c r="P55" s="28"/>
      <c r="Q55" s="29"/>
      <c r="R55" s="24"/>
      <c r="S55" s="25"/>
      <c r="T55" s="28"/>
      <c r="U55" s="29"/>
      <c r="V55" s="24"/>
      <c r="W55" s="25"/>
      <c r="X55" s="28"/>
      <c r="Y55" s="29"/>
      <c r="Z55" s="24"/>
      <c r="AA55" s="25"/>
      <c r="AB55" s="28"/>
      <c r="AC55" s="29"/>
      <c r="AD55" s="24"/>
      <c r="AE55" s="25"/>
      <c r="AF55" s="28"/>
      <c r="AG55" s="29"/>
      <c r="AH55" s="24"/>
      <c r="AI55" s="25"/>
      <c r="AJ55" s="28"/>
      <c r="AK55" s="29"/>
      <c r="AL55" s="24"/>
      <c r="AM55" s="25"/>
      <c r="AN55" s="28"/>
      <c r="AO55" s="29"/>
      <c r="AP55" s="24"/>
      <c r="AQ55" s="25"/>
      <c r="AR55" s="28"/>
      <c r="AS55" s="29"/>
      <c r="AT55" s="24"/>
      <c r="AU55" s="25"/>
      <c r="AV55" s="28"/>
      <c r="AW55" s="29"/>
      <c r="AX55" s="24"/>
      <c r="AY55" s="25"/>
      <c r="AZ55" s="28"/>
      <c r="BA55" s="29"/>
      <c r="BB55" s="24"/>
      <c r="BC55" s="25"/>
      <c r="BD55" s="28"/>
      <c r="BE55" s="29"/>
      <c r="BF55" s="24"/>
      <c r="BG55" s="25"/>
      <c r="BH55" s="28"/>
      <c r="BI55" s="29"/>
      <c r="BJ55" s="24"/>
      <c r="BK55" s="58"/>
      <c r="BL55" s="58"/>
      <c r="BM55" s="25"/>
      <c r="BN55" s="87"/>
      <c r="BO55" s="97"/>
      <c r="BP55" s="91"/>
      <c r="BQ55" s="89"/>
      <c r="BR55" s="28"/>
      <c r="BS55" s="29"/>
      <c r="BT55" s="12">
        <v>0</v>
      </c>
      <c r="BU55" s="57">
        <v>0</v>
      </c>
      <c r="BV55" s="57">
        <v>0</v>
      </c>
      <c r="BW55" s="13">
        <v>0</v>
      </c>
      <c r="BX55" s="28"/>
      <c r="BY55" s="29"/>
      <c r="BZ55" s="91"/>
      <c r="CA55" s="89"/>
      <c r="CB55" s="28"/>
      <c r="CC55" s="29"/>
      <c r="CD55" s="24"/>
      <c r="CE55" s="25"/>
      <c r="CF55" s="169"/>
      <c r="CG55" s="170"/>
      <c r="CH55" s="170"/>
      <c r="CI55" s="170"/>
      <c r="CJ55" s="88"/>
      <c r="CK55" s="92"/>
      <c r="CL55" s="14"/>
      <c r="CM55" s="15"/>
      <c r="CN55" s="88"/>
      <c r="CO55" s="92"/>
      <c r="CP55" s="14"/>
      <c r="CQ55" s="15"/>
    </row>
    <row r="56" spans="1:95" ht="23.45" customHeight="1" x14ac:dyDescent="0.55000000000000004">
      <c r="A56" s="7">
        <v>54</v>
      </c>
      <c r="B56" s="41"/>
      <c r="C56" s="31"/>
      <c r="D56" s="32"/>
      <c r="E56" s="33"/>
      <c r="F56" s="24"/>
      <c r="G56" s="25"/>
      <c r="H56" s="28"/>
      <c r="I56" s="29"/>
      <c r="J56" s="24"/>
      <c r="K56" s="25"/>
      <c r="L56" s="28"/>
      <c r="M56" s="29"/>
      <c r="N56" s="24"/>
      <c r="O56" s="25"/>
      <c r="P56" s="28"/>
      <c r="Q56" s="29"/>
      <c r="R56" s="24"/>
      <c r="S56" s="25"/>
      <c r="T56" s="28"/>
      <c r="U56" s="29"/>
      <c r="V56" s="24"/>
      <c r="W56" s="25"/>
      <c r="X56" s="28"/>
      <c r="Y56" s="29"/>
      <c r="Z56" s="24"/>
      <c r="AA56" s="25"/>
      <c r="AB56" s="28"/>
      <c r="AC56" s="29"/>
      <c r="AD56" s="24"/>
      <c r="AE56" s="25"/>
      <c r="AF56" s="28"/>
      <c r="AG56" s="29"/>
      <c r="AH56" s="24"/>
      <c r="AI56" s="25"/>
      <c r="AJ56" s="28"/>
      <c r="AK56" s="29"/>
      <c r="AL56" s="24"/>
      <c r="AM56" s="25"/>
      <c r="AN56" s="28"/>
      <c r="AO56" s="29"/>
      <c r="AP56" s="24"/>
      <c r="AQ56" s="25"/>
      <c r="AR56" s="28"/>
      <c r="AS56" s="29"/>
      <c r="AT56" s="24"/>
      <c r="AU56" s="25"/>
      <c r="AV56" s="28"/>
      <c r="AW56" s="29"/>
      <c r="AX56" s="24"/>
      <c r="AY56" s="25"/>
      <c r="AZ56" s="28"/>
      <c r="BA56" s="29"/>
      <c r="BB56" s="24"/>
      <c r="BC56" s="25"/>
      <c r="BD56" s="28"/>
      <c r="BE56" s="29"/>
      <c r="BF56" s="24"/>
      <c r="BG56" s="25"/>
      <c r="BH56" s="28"/>
      <c r="BI56" s="29"/>
      <c r="BJ56" s="24"/>
      <c r="BK56" s="58"/>
      <c r="BL56" s="58"/>
      <c r="BM56" s="25"/>
      <c r="BN56" s="87"/>
      <c r="BO56" s="97"/>
      <c r="BP56" s="91"/>
      <c r="BQ56" s="89"/>
      <c r="BR56" s="28"/>
      <c r="BS56" s="29"/>
      <c r="BT56" s="12">
        <v>0</v>
      </c>
      <c r="BU56" s="57">
        <v>0</v>
      </c>
      <c r="BV56" s="57">
        <v>0</v>
      </c>
      <c r="BW56" s="13">
        <v>0</v>
      </c>
      <c r="BX56" s="28"/>
      <c r="BY56" s="29"/>
      <c r="BZ56" s="91"/>
      <c r="CA56" s="89"/>
      <c r="CB56" s="28"/>
      <c r="CC56" s="29"/>
      <c r="CD56" s="24"/>
      <c r="CE56" s="25"/>
      <c r="CF56" s="169"/>
      <c r="CG56" s="170"/>
      <c r="CH56" s="170"/>
      <c r="CI56" s="170"/>
      <c r="CJ56" s="88"/>
      <c r="CK56" s="92"/>
      <c r="CL56" s="14"/>
      <c r="CM56" s="15"/>
      <c r="CN56" s="88"/>
      <c r="CO56" s="92"/>
      <c r="CP56" s="14"/>
      <c r="CQ56" s="15"/>
    </row>
    <row r="57" spans="1:95" ht="23.45" customHeight="1" x14ac:dyDescent="0.55000000000000004">
      <c r="A57" s="7">
        <v>55</v>
      </c>
      <c r="B57" s="41"/>
      <c r="C57" s="31"/>
      <c r="D57" s="32"/>
      <c r="E57" s="33"/>
      <c r="F57" s="24"/>
      <c r="G57" s="25"/>
      <c r="H57" s="28"/>
      <c r="I57" s="29"/>
      <c r="J57" s="24"/>
      <c r="K57" s="25"/>
      <c r="L57" s="28"/>
      <c r="M57" s="29"/>
      <c r="N57" s="24"/>
      <c r="O57" s="25"/>
      <c r="P57" s="28"/>
      <c r="Q57" s="29"/>
      <c r="R57" s="24"/>
      <c r="S57" s="25"/>
      <c r="T57" s="28"/>
      <c r="U57" s="29"/>
      <c r="V57" s="24"/>
      <c r="W57" s="25"/>
      <c r="X57" s="28"/>
      <c r="Y57" s="29"/>
      <c r="Z57" s="24"/>
      <c r="AA57" s="25"/>
      <c r="AB57" s="28"/>
      <c r="AC57" s="29"/>
      <c r="AD57" s="24"/>
      <c r="AE57" s="25"/>
      <c r="AF57" s="28"/>
      <c r="AG57" s="29"/>
      <c r="AH57" s="24"/>
      <c r="AI57" s="25"/>
      <c r="AJ57" s="28"/>
      <c r="AK57" s="29"/>
      <c r="AL57" s="24"/>
      <c r="AM57" s="25"/>
      <c r="AN57" s="28"/>
      <c r="AO57" s="29"/>
      <c r="AP57" s="24"/>
      <c r="AQ57" s="25"/>
      <c r="AR57" s="28"/>
      <c r="AS57" s="29"/>
      <c r="AT57" s="24"/>
      <c r="AU57" s="25"/>
      <c r="AV57" s="28"/>
      <c r="AW57" s="29"/>
      <c r="AX57" s="24"/>
      <c r="AY57" s="25"/>
      <c r="AZ57" s="28"/>
      <c r="BA57" s="29"/>
      <c r="BB57" s="24"/>
      <c r="BC57" s="25"/>
      <c r="BD57" s="28"/>
      <c r="BE57" s="29"/>
      <c r="BF57" s="24"/>
      <c r="BG57" s="25"/>
      <c r="BH57" s="28"/>
      <c r="BI57" s="29"/>
      <c r="BJ57" s="24"/>
      <c r="BK57" s="58"/>
      <c r="BL57" s="58"/>
      <c r="BM57" s="25"/>
      <c r="BN57" s="87"/>
      <c r="BO57" s="97"/>
      <c r="BP57" s="91"/>
      <c r="BQ57" s="89"/>
      <c r="BR57" s="28"/>
      <c r="BS57" s="29"/>
      <c r="BT57" s="12">
        <v>0</v>
      </c>
      <c r="BU57" s="57">
        <v>0</v>
      </c>
      <c r="BV57" s="57">
        <v>0</v>
      </c>
      <c r="BW57" s="13">
        <v>0</v>
      </c>
      <c r="BX57" s="28"/>
      <c r="BY57" s="29"/>
      <c r="BZ57" s="91"/>
      <c r="CA57" s="89"/>
      <c r="CB57" s="28"/>
      <c r="CC57" s="29"/>
      <c r="CD57" s="24"/>
      <c r="CE57" s="25"/>
      <c r="CF57" s="169"/>
      <c r="CG57" s="170"/>
      <c r="CH57" s="170"/>
      <c r="CI57" s="170"/>
      <c r="CJ57" s="88"/>
      <c r="CK57" s="92"/>
      <c r="CL57" s="14"/>
      <c r="CM57" s="15"/>
      <c r="CN57" s="88"/>
      <c r="CO57" s="92"/>
      <c r="CP57" s="14"/>
      <c r="CQ57" s="15"/>
    </row>
    <row r="58" spans="1:95" ht="23.45" customHeight="1" x14ac:dyDescent="0.55000000000000004">
      <c r="A58" s="7">
        <v>56</v>
      </c>
      <c r="B58" s="41"/>
      <c r="C58" s="31"/>
      <c r="D58" s="32"/>
      <c r="E58" s="33"/>
      <c r="F58" s="24"/>
      <c r="G58" s="25"/>
      <c r="H58" s="28"/>
      <c r="I58" s="29"/>
      <c r="J58" s="24"/>
      <c r="K58" s="25"/>
      <c r="L58" s="28"/>
      <c r="M58" s="29"/>
      <c r="N58" s="24"/>
      <c r="O58" s="25"/>
      <c r="P58" s="28"/>
      <c r="Q58" s="29"/>
      <c r="R58" s="24"/>
      <c r="S58" s="25"/>
      <c r="T58" s="28"/>
      <c r="U58" s="29"/>
      <c r="V58" s="24"/>
      <c r="W58" s="25"/>
      <c r="X58" s="28"/>
      <c r="Y58" s="29"/>
      <c r="Z58" s="24"/>
      <c r="AA58" s="25"/>
      <c r="AB58" s="28"/>
      <c r="AC58" s="29"/>
      <c r="AD58" s="24"/>
      <c r="AE58" s="25"/>
      <c r="AF58" s="28"/>
      <c r="AG58" s="29"/>
      <c r="AH58" s="24"/>
      <c r="AI58" s="25"/>
      <c r="AJ58" s="28"/>
      <c r="AK58" s="29"/>
      <c r="AL58" s="24"/>
      <c r="AM58" s="25"/>
      <c r="AN58" s="28"/>
      <c r="AO58" s="29"/>
      <c r="AP58" s="24"/>
      <c r="AQ58" s="25"/>
      <c r="AR58" s="28"/>
      <c r="AS58" s="29"/>
      <c r="AT58" s="24"/>
      <c r="AU58" s="25"/>
      <c r="AV58" s="28"/>
      <c r="AW58" s="29"/>
      <c r="AX58" s="24"/>
      <c r="AY58" s="25"/>
      <c r="AZ58" s="28"/>
      <c r="BA58" s="29"/>
      <c r="BB58" s="24"/>
      <c r="BC58" s="25"/>
      <c r="BD58" s="28"/>
      <c r="BE58" s="29"/>
      <c r="BF58" s="24"/>
      <c r="BG58" s="25"/>
      <c r="BH58" s="28"/>
      <c r="BI58" s="29"/>
      <c r="BJ58" s="24"/>
      <c r="BK58" s="58"/>
      <c r="BL58" s="58"/>
      <c r="BM58" s="25"/>
      <c r="BN58" s="87"/>
      <c r="BO58" s="97"/>
      <c r="BP58" s="91"/>
      <c r="BQ58" s="89"/>
      <c r="BR58" s="28"/>
      <c r="BS58" s="29"/>
      <c r="BT58" s="12">
        <v>0</v>
      </c>
      <c r="BU58" s="57">
        <v>0</v>
      </c>
      <c r="BV58" s="57">
        <v>0</v>
      </c>
      <c r="BW58" s="13">
        <v>0</v>
      </c>
      <c r="BX58" s="28"/>
      <c r="BY58" s="29"/>
      <c r="BZ58" s="91"/>
      <c r="CA58" s="89"/>
      <c r="CB58" s="28"/>
      <c r="CC58" s="29"/>
      <c r="CD58" s="24"/>
      <c r="CE58" s="25"/>
      <c r="CF58" s="169"/>
      <c r="CG58" s="170"/>
      <c r="CH58" s="170"/>
      <c r="CI58" s="170"/>
      <c r="CJ58" s="88"/>
      <c r="CK58" s="92"/>
      <c r="CL58" s="14"/>
      <c r="CM58" s="15"/>
      <c r="CN58" s="88"/>
      <c r="CO58" s="92"/>
      <c r="CP58" s="14"/>
      <c r="CQ58" s="15"/>
    </row>
    <row r="59" spans="1:95" ht="23.45" customHeight="1" x14ac:dyDescent="0.55000000000000004">
      <c r="A59" s="7">
        <v>57</v>
      </c>
      <c r="B59" s="41"/>
      <c r="C59" s="31"/>
      <c r="D59" s="32"/>
      <c r="E59" s="33"/>
      <c r="F59" s="24"/>
      <c r="G59" s="25"/>
      <c r="H59" s="28"/>
      <c r="I59" s="29"/>
      <c r="J59" s="24"/>
      <c r="K59" s="25"/>
      <c r="L59" s="28"/>
      <c r="M59" s="29"/>
      <c r="N59" s="24"/>
      <c r="O59" s="25"/>
      <c r="P59" s="28"/>
      <c r="Q59" s="29"/>
      <c r="R59" s="24"/>
      <c r="S59" s="25"/>
      <c r="T59" s="28"/>
      <c r="U59" s="29"/>
      <c r="V59" s="24"/>
      <c r="W59" s="25"/>
      <c r="X59" s="28"/>
      <c r="Y59" s="29"/>
      <c r="Z59" s="24"/>
      <c r="AA59" s="25"/>
      <c r="AB59" s="28"/>
      <c r="AC59" s="29"/>
      <c r="AD59" s="24"/>
      <c r="AE59" s="25"/>
      <c r="AF59" s="28"/>
      <c r="AG59" s="29"/>
      <c r="AH59" s="24"/>
      <c r="AI59" s="25"/>
      <c r="AJ59" s="28"/>
      <c r="AK59" s="29"/>
      <c r="AL59" s="24"/>
      <c r="AM59" s="25"/>
      <c r="AN59" s="28"/>
      <c r="AO59" s="29"/>
      <c r="AP59" s="24"/>
      <c r="AQ59" s="25"/>
      <c r="AR59" s="28"/>
      <c r="AS59" s="29"/>
      <c r="AT59" s="24"/>
      <c r="AU59" s="25"/>
      <c r="AV59" s="28"/>
      <c r="AW59" s="29"/>
      <c r="AX59" s="24"/>
      <c r="AY59" s="25"/>
      <c r="AZ59" s="28"/>
      <c r="BA59" s="29"/>
      <c r="BB59" s="24"/>
      <c r="BC59" s="25"/>
      <c r="BD59" s="28"/>
      <c r="BE59" s="29"/>
      <c r="BF59" s="24"/>
      <c r="BG59" s="25"/>
      <c r="BH59" s="28"/>
      <c r="BI59" s="29"/>
      <c r="BJ59" s="24"/>
      <c r="BK59" s="58"/>
      <c r="BL59" s="58"/>
      <c r="BM59" s="25"/>
      <c r="BN59" s="87"/>
      <c r="BO59" s="97"/>
      <c r="BP59" s="91"/>
      <c r="BQ59" s="89"/>
      <c r="BR59" s="28"/>
      <c r="BS59" s="29"/>
      <c r="BT59" s="12">
        <v>0</v>
      </c>
      <c r="BU59" s="57">
        <v>0</v>
      </c>
      <c r="BV59" s="57">
        <v>0</v>
      </c>
      <c r="BW59" s="13">
        <v>0</v>
      </c>
      <c r="BX59" s="28"/>
      <c r="BY59" s="29"/>
      <c r="BZ59" s="91"/>
      <c r="CA59" s="89"/>
      <c r="CB59" s="28"/>
      <c r="CC59" s="29"/>
      <c r="CD59" s="24"/>
      <c r="CE59" s="25"/>
      <c r="CF59" s="169"/>
      <c r="CG59" s="170"/>
      <c r="CH59" s="170"/>
      <c r="CI59" s="170"/>
      <c r="CJ59" s="88"/>
      <c r="CK59" s="92"/>
      <c r="CL59" s="14"/>
      <c r="CM59" s="15"/>
      <c r="CN59" s="88"/>
      <c r="CO59" s="92"/>
      <c r="CP59" s="14"/>
      <c r="CQ59" s="15"/>
    </row>
    <row r="60" spans="1:95" ht="23.45" customHeight="1" x14ac:dyDescent="0.55000000000000004">
      <c r="A60" s="7">
        <v>58</v>
      </c>
      <c r="B60" s="41"/>
      <c r="C60" s="31"/>
      <c r="D60" s="32"/>
      <c r="E60" s="33"/>
      <c r="F60" s="24"/>
      <c r="G60" s="25"/>
      <c r="H60" s="28"/>
      <c r="I60" s="29"/>
      <c r="J60" s="24"/>
      <c r="K60" s="25"/>
      <c r="L60" s="28"/>
      <c r="M60" s="29"/>
      <c r="N60" s="24"/>
      <c r="O60" s="25"/>
      <c r="P60" s="28"/>
      <c r="Q60" s="29"/>
      <c r="R60" s="24"/>
      <c r="S60" s="25"/>
      <c r="T60" s="28"/>
      <c r="U60" s="29"/>
      <c r="V60" s="24"/>
      <c r="W60" s="25"/>
      <c r="X60" s="28"/>
      <c r="Y60" s="29"/>
      <c r="Z60" s="24"/>
      <c r="AA60" s="25"/>
      <c r="AB60" s="28"/>
      <c r="AC60" s="29"/>
      <c r="AD60" s="24"/>
      <c r="AE60" s="25"/>
      <c r="AF60" s="28"/>
      <c r="AG60" s="29"/>
      <c r="AH60" s="24"/>
      <c r="AI60" s="25"/>
      <c r="AJ60" s="28"/>
      <c r="AK60" s="29"/>
      <c r="AL60" s="24"/>
      <c r="AM60" s="25"/>
      <c r="AN60" s="28"/>
      <c r="AO60" s="29"/>
      <c r="AP60" s="24"/>
      <c r="AQ60" s="25"/>
      <c r="AR60" s="28"/>
      <c r="AS60" s="29"/>
      <c r="AT60" s="24"/>
      <c r="AU60" s="25"/>
      <c r="AV60" s="28"/>
      <c r="AW60" s="29"/>
      <c r="AX60" s="24"/>
      <c r="AY60" s="25"/>
      <c r="AZ60" s="28"/>
      <c r="BA60" s="29"/>
      <c r="BB60" s="24"/>
      <c r="BC60" s="25"/>
      <c r="BD60" s="28"/>
      <c r="BE60" s="29"/>
      <c r="BF60" s="24"/>
      <c r="BG60" s="25"/>
      <c r="BH60" s="28"/>
      <c r="BI60" s="29"/>
      <c r="BJ60" s="24"/>
      <c r="BK60" s="58"/>
      <c r="BL60" s="58"/>
      <c r="BM60" s="25"/>
      <c r="BN60" s="87"/>
      <c r="BO60" s="97"/>
      <c r="BP60" s="91"/>
      <c r="BQ60" s="89"/>
      <c r="BR60" s="28"/>
      <c r="BS60" s="29"/>
      <c r="BT60" s="12">
        <v>0</v>
      </c>
      <c r="BU60" s="57">
        <v>0</v>
      </c>
      <c r="BV60" s="57">
        <v>0</v>
      </c>
      <c r="BW60" s="13">
        <v>0</v>
      </c>
      <c r="BX60" s="28"/>
      <c r="BY60" s="29"/>
      <c r="BZ60" s="91"/>
      <c r="CA60" s="89"/>
      <c r="CB60" s="28"/>
      <c r="CC60" s="29"/>
      <c r="CD60" s="24"/>
      <c r="CE60" s="25"/>
      <c r="CF60" s="169"/>
      <c r="CG60" s="170"/>
      <c r="CH60" s="170"/>
      <c r="CI60" s="170"/>
      <c r="CJ60" s="88"/>
      <c r="CK60" s="92"/>
      <c r="CL60" s="14"/>
      <c r="CM60" s="15"/>
      <c r="CN60" s="88"/>
      <c r="CO60" s="92"/>
      <c r="CP60" s="14"/>
      <c r="CQ60" s="15"/>
    </row>
    <row r="61" spans="1:95" ht="23.45" customHeight="1" x14ac:dyDescent="0.55000000000000004">
      <c r="A61" s="7">
        <v>59</v>
      </c>
      <c r="B61" s="41"/>
      <c r="C61" s="31"/>
      <c r="D61" s="32"/>
      <c r="E61" s="33"/>
      <c r="F61" s="24"/>
      <c r="G61" s="25"/>
      <c r="H61" s="28"/>
      <c r="I61" s="29"/>
      <c r="J61" s="24"/>
      <c r="K61" s="25"/>
      <c r="L61" s="28"/>
      <c r="M61" s="29"/>
      <c r="N61" s="24"/>
      <c r="O61" s="25"/>
      <c r="P61" s="28"/>
      <c r="Q61" s="29"/>
      <c r="R61" s="24"/>
      <c r="S61" s="25"/>
      <c r="T61" s="28"/>
      <c r="U61" s="29"/>
      <c r="V61" s="24"/>
      <c r="W61" s="25"/>
      <c r="X61" s="28"/>
      <c r="Y61" s="29"/>
      <c r="Z61" s="24"/>
      <c r="AA61" s="25"/>
      <c r="AB61" s="28"/>
      <c r="AC61" s="29"/>
      <c r="AD61" s="24"/>
      <c r="AE61" s="25"/>
      <c r="AF61" s="28"/>
      <c r="AG61" s="29"/>
      <c r="AH61" s="24"/>
      <c r="AI61" s="25"/>
      <c r="AJ61" s="28"/>
      <c r="AK61" s="29"/>
      <c r="AL61" s="24"/>
      <c r="AM61" s="25"/>
      <c r="AN61" s="28"/>
      <c r="AO61" s="29"/>
      <c r="AP61" s="24"/>
      <c r="AQ61" s="25"/>
      <c r="AR61" s="28"/>
      <c r="AS61" s="29"/>
      <c r="AT61" s="24"/>
      <c r="AU61" s="25"/>
      <c r="AV61" s="28"/>
      <c r="AW61" s="29"/>
      <c r="AX61" s="24"/>
      <c r="AY61" s="25"/>
      <c r="AZ61" s="28"/>
      <c r="BA61" s="29"/>
      <c r="BB61" s="24"/>
      <c r="BC61" s="25"/>
      <c r="BD61" s="28"/>
      <c r="BE61" s="29"/>
      <c r="BF61" s="24"/>
      <c r="BG61" s="25"/>
      <c r="BH61" s="28"/>
      <c r="BI61" s="29"/>
      <c r="BJ61" s="24"/>
      <c r="BK61" s="58"/>
      <c r="BL61" s="58"/>
      <c r="BM61" s="25"/>
      <c r="BN61" s="87"/>
      <c r="BO61" s="97"/>
      <c r="BP61" s="91"/>
      <c r="BQ61" s="89"/>
      <c r="BR61" s="28"/>
      <c r="BS61" s="29"/>
      <c r="BT61" s="12">
        <v>0</v>
      </c>
      <c r="BU61" s="57">
        <v>0</v>
      </c>
      <c r="BV61" s="57">
        <v>0</v>
      </c>
      <c r="BW61" s="13">
        <v>0</v>
      </c>
      <c r="BX61" s="28"/>
      <c r="BY61" s="29"/>
      <c r="BZ61" s="91"/>
      <c r="CA61" s="89"/>
      <c r="CB61" s="28"/>
      <c r="CC61" s="29"/>
      <c r="CD61" s="24"/>
      <c r="CE61" s="25"/>
      <c r="CF61" s="169"/>
      <c r="CG61" s="170"/>
      <c r="CH61" s="170"/>
      <c r="CI61" s="170"/>
      <c r="CJ61" s="88"/>
      <c r="CK61" s="92"/>
      <c r="CL61" s="14"/>
      <c r="CM61" s="15"/>
      <c r="CN61" s="88"/>
      <c r="CO61" s="92"/>
      <c r="CP61" s="14"/>
      <c r="CQ61" s="15"/>
    </row>
    <row r="62" spans="1:95" ht="23.45" customHeight="1" x14ac:dyDescent="0.55000000000000004">
      <c r="A62" s="7">
        <v>60</v>
      </c>
      <c r="B62" s="41"/>
      <c r="C62" s="31"/>
      <c r="D62" s="32"/>
      <c r="E62" s="33"/>
      <c r="F62" s="24"/>
      <c r="G62" s="25"/>
      <c r="H62" s="28"/>
      <c r="I62" s="29"/>
      <c r="J62" s="24"/>
      <c r="K62" s="25"/>
      <c r="L62" s="28"/>
      <c r="M62" s="29"/>
      <c r="N62" s="24"/>
      <c r="O62" s="25"/>
      <c r="P62" s="28"/>
      <c r="Q62" s="29"/>
      <c r="R62" s="24"/>
      <c r="S62" s="25"/>
      <c r="T62" s="28"/>
      <c r="U62" s="29"/>
      <c r="V62" s="24"/>
      <c r="W62" s="25"/>
      <c r="X62" s="28"/>
      <c r="Y62" s="29"/>
      <c r="Z62" s="24"/>
      <c r="AA62" s="25"/>
      <c r="AB62" s="28"/>
      <c r="AC62" s="29"/>
      <c r="AD62" s="24"/>
      <c r="AE62" s="25"/>
      <c r="AF62" s="28"/>
      <c r="AG62" s="29"/>
      <c r="AH62" s="24"/>
      <c r="AI62" s="25"/>
      <c r="AJ62" s="28"/>
      <c r="AK62" s="29"/>
      <c r="AL62" s="24"/>
      <c r="AM62" s="25"/>
      <c r="AN62" s="28"/>
      <c r="AO62" s="29"/>
      <c r="AP62" s="24"/>
      <c r="AQ62" s="25"/>
      <c r="AR62" s="28"/>
      <c r="AS62" s="29"/>
      <c r="AT62" s="24"/>
      <c r="AU62" s="25"/>
      <c r="AV62" s="28"/>
      <c r="AW62" s="29"/>
      <c r="AX62" s="24"/>
      <c r="AY62" s="25"/>
      <c r="AZ62" s="28"/>
      <c r="BA62" s="29"/>
      <c r="BB62" s="24"/>
      <c r="BC62" s="25"/>
      <c r="BD62" s="28"/>
      <c r="BE62" s="29"/>
      <c r="BF62" s="24"/>
      <c r="BG62" s="25"/>
      <c r="BH62" s="28"/>
      <c r="BI62" s="29"/>
      <c r="BJ62" s="24"/>
      <c r="BK62" s="58"/>
      <c r="BL62" s="58"/>
      <c r="BM62" s="25"/>
      <c r="BN62" s="87"/>
      <c r="BO62" s="97"/>
      <c r="BP62" s="91"/>
      <c r="BQ62" s="89"/>
      <c r="BR62" s="28"/>
      <c r="BS62" s="29"/>
      <c r="BT62" s="12">
        <v>0</v>
      </c>
      <c r="BU62" s="57">
        <v>0</v>
      </c>
      <c r="BV62" s="57">
        <v>0</v>
      </c>
      <c r="BW62" s="13">
        <v>0</v>
      </c>
      <c r="BX62" s="28"/>
      <c r="BY62" s="29"/>
      <c r="BZ62" s="91"/>
      <c r="CA62" s="89"/>
      <c r="CB62" s="28"/>
      <c r="CC62" s="29"/>
      <c r="CD62" s="24"/>
      <c r="CE62" s="25"/>
      <c r="CF62" s="169"/>
      <c r="CG62" s="170"/>
      <c r="CH62" s="170"/>
      <c r="CI62" s="170"/>
      <c r="CJ62" s="88"/>
      <c r="CK62" s="92"/>
      <c r="CL62" s="14"/>
      <c r="CM62" s="15"/>
      <c r="CN62" s="88"/>
      <c r="CO62" s="92"/>
      <c r="CP62" s="14"/>
      <c r="CQ62" s="15"/>
    </row>
    <row r="63" spans="1:95" ht="23.45" customHeight="1" x14ac:dyDescent="0.55000000000000004">
      <c r="A63" s="7">
        <v>61</v>
      </c>
      <c r="B63" s="41"/>
      <c r="C63" s="31"/>
      <c r="D63" s="32"/>
      <c r="E63" s="33"/>
      <c r="F63" s="24"/>
      <c r="G63" s="25"/>
      <c r="H63" s="28"/>
      <c r="I63" s="29"/>
      <c r="J63" s="24"/>
      <c r="K63" s="25"/>
      <c r="L63" s="28"/>
      <c r="M63" s="29"/>
      <c r="N63" s="24"/>
      <c r="O63" s="25"/>
      <c r="P63" s="28"/>
      <c r="Q63" s="29"/>
      <c r="R63" s="24"/>
      <c r="S63" s="25"/>
      <c r="T63" s="28"/>
      <c r="U63" s="29"/>
      <c r="V63" s="24"/>
      <c r="W63" s="25"/>
      <c r="X63" s="28"/>
      <c r="Y63" s="29"/>
      <c r="Z63" s="24"/>
      <c r="AA63" s="25"/>
      <c r="AB63" s="28"/>
      <c r="AC63" s="29"/>
      <c r="AD63" s="24"/>
      <c r="AE63" s="25"/>
      <c r="AF63" s="28"/>
      <c r="AG63" s="29"/>
      <c r="AH63" s="24"/>
      <c r="AI63" s="25"/>
      <c r="AJ63" s="28"/>
      <c r="AK63" s="29"/>
      <c r="AL63" s="24"/>
      <c r="AM63" s="25"/>
      <c r="AN63" s="28"/>
      <c r="AO63" s="29"/>
      <c r="AP63" s="24"/>
      <c r="AQ63" s="25"/>
      <c r="AR63" s="28"/>
      <c r="AS63" s="29"/>
      <c r="AT63" s="24"/>
      <c r="AU63" s="25"/>
      <c r="AV63" s="28"/>
      <c r="AW63" s="29"/>
      <c r="AX63" s="24"/>
      <c r="AY63" s="25"/>
      <c r="AZ63" s="28"/>
      <c r="BA63" s="29"/>
      <c r="BB63" s="24"/>
      <c r="BC63" s="25"/>
      <c r="BD63" s="28"/>
      <c r="BE63" s="29"/>
      <c r="BF63" s="24"/>
      <c r="BG63" s="25"/>
      <c r="BH63" s="28"/>
      <c r="BI63" s="29"/>
      <c r="BJ63" s="24"/>
      <c r="BK63" s="58"/>
      <c r="BL63" s="58"/>
      <c r="BM63" s="25"/>
      <c r="BN63" s="87"/>
      <c r="BO63" s="97"/>
      <c r="BP63" s="91"/>
      <c r="BQ63" s="89"/>
      <c r="BR63" s="28"/>
      <c r="BS63" s="29"/>
      <c r="BT63" s="12">
        <v>0</v>
      </c>
      <c r="BU63" s="57">
        <v>0</v>
      </c>
      <c r="BV63" s="57">
        <v>0</v>
      </c>
      <c r="BW63" s="13">
        <v>0</v>
      </c>
      <c r="BX63" s="28"/>
      <c r="BY63" s="29"/>
      <c r="BZ63" s="91"/>
      <c r="CA63" s="89"/>
      <c r="CB63" s="28"/>
      <c r="CC63" s="29"/>
      <c r="CD63" s="24"/>
      <c r="CE63" s="25"/>
      <c r="CF63" s="169"/>
      <c r="CG63" s="170"/>
      <c r="CH63" s="170"/>
      <c r="CI63" s="170"/>
      <c r="CJ63" s="88"/>
      <c r="CK63" s="92"/>
      <c r="CL63" s="14"/>
      <c r="CM63" s="15"/>
      <c r="CN63" s="88"/>
      <c r="CO63" s="92"/>
      <c r="CP63" s="14"/>
      <c r="CQ63" s="15"/>
    </row>
    <row r="64" spans="1:95" ht="23.45" customHeight="1" x14ac:dyDescent="0.55000000000000004">
      <c r="A64" s="7">
        <v>62</v>
      </c>
      <c r="B64" s="41"/>
      <c r="C64" s="31"/>
      <c r="D64" s="32"/>
      <c r="E64" s="33"/>
      <c r="F64" s="24"/>
      <c r="G64" s="25"/>
      <c r="H64" s="28"/>
      <c r="I64" s="29"/>
      <c r="J64" s="24"/>
      <c r="K64" s="25"/>
      <c r="L64" s="28"/>
      <c r="M64" s="29"/>
      <c r="N64" s="24"/>
      <c r="O64" s="25"/>
      <c r="P64" s="28"/>
      <c r="Q64" s="29"/>
      <c r="R64" s="24"/>
      <c r="S64" s="25"/>
      <c r="T64" s="28"/>
      <c r="U64" s="29"/>
      <c r="V64" s="24"/>
      <c r="W64" s="25"/>
      <c r="X64" s="28"/>
      <c r="Y64" s="29"/>
      <c r="Z64" s="24"/>
      <c r="AA64" s="25"/>
      <c r="AB64" s="28"/>
      <c r="AC64" s="29"/>
      <c r="AD64" s="24"/>
      <c r="AE64" s="25"/>
      <c r="AF64" s="28"/>
      <c r="AG64" s="29"/>
      <c r="AH64" s="24"/>
      <c r="AI64" s="25"/>
      <c r="AJ64" s="28"/>
      <c r="AK64" s="29"/>
      <c r="AL64" s="24"/>
      <c r="AM64" s="25"/>
      <c r="AN64" s="28"/>
      <c r="AO64" s="29"/>
      <c r="AP64" s="24"/>
      <c r="AQ64" s="25"/>
      <c r="AR64" s="28"/>
      <c r="AS64" s="29"/>
      <c r="AT64" s="24"/>
      <c r="AU64" s="25"/>
      <c r="AV64" s="28"/>
      <c r="AW64" s="29"/>
      <c r="AX64" s="24"/>
      <c r="AY64" s="25"/>
      <c r="AZ64" s="28"/>
      <c r="BA64" s="29"/>
      <c r="BB64" s="24"/>
      <c r="BC64" s="25"/>
      <c r="BD64" s="28"/>
      <c r="BE64" s="29"/>
      <c r="BF64" s="24"/>
      <c r="BG64" s="25"/>
      <c r="BH64" s="28"/>
      <c r="BI64" s="29"/>
      <c r="BJ64" s="24"/>
      <c r="BK64" s="58"/>
      <c r="BL64" s="58"/>
      <c r="BM64" s="25"/>
      <c r="BN64" s="87"/>
      <c r="BO64" s="97"/>
      <c r="BP64" s="91"/>
      <c r="BQ64" s="89"/>
      <c r="BR64" s="28"/>
      <c r="BS64" s="29"/>
      <c r="BT64" s="12">
        <v>0</v>
      </c>
      <c r="BU64" s="57">
        <v>0</v>
      </c>
      <c r="BV64" s="57">
        <v>0</v>
      </c>
      <c r="BW64" s="13">
        <v>0</v>
      </c>
      <c r="BX64" s="28"/>
      <c r="BY64" s="29"/>
      <c r="BZ64" s="91"/>
      <c r="CA64" s="89"/>
      <c r="CB64" s="28"/>
      <c r="CC64" s="29"/>
      <c r="CD64" s="24"/>
      <c r="CE64" s="25"/>
      <c r="CF64" s="169"/>
      <c r="CG64" s="170"/>
      <c r="CH64" s="170"/>
      <c r="CI64" s="170"/>
      <c r="CJ64" s="88"/>
      <c r="CK64" s="92"/>
      <c r="CL64" s="14"/>
      <c r="CM64" s="15"/>
      <c r="CN64" s="88"/>
      <c r="CO64" s="92"/>
      <c r="CP64" s="14"/>
      <c r="CQ64" s="15"/>
    </row>
    <row r="65" spans="1:95" ht="23.45" customHeight="1" x14ac:dyDescent="0.55000000000000004">
      <c r="A65" s="7">
        <v>63</v>
      </c>
      <c r="B65" s="41"/>
      <c r="C65" s="31"/>
      <c r="D65" s="32"/>
      <c r="E65" s="33"/>
      <c r="F65" s="24"/>
      <c r="G65" s="25"/>
      <c r="H65" s="28"/>
      <c r="I65" s="29"/>
      <c r="J65" s="24"/>
      <c r="K65" s="25"/>
      <c r="L65" s="28"/>
      <c r="M65" s="29"/>
      <c r="N65" s="24"/>
      <c r="O65" s="25"/>
      <c r="P65" s="28"/>
      <c r="Q65" s="29"/>
      <c r="R65" s="24"/>
      <c r="S65" s="25"/>
      <c r="T65" s="28"/>
      <c r="U65" s="29"/>
      <c r="V65" s="24"/>
      <c r="W65" s="25"/>
      <c r="X65" s="28"/>
      <c r="Y65" s="29"/>
      <c r="Z65" s="24"/>
      <c r="AA65" s="25"/>
      <c r="AB65" s="28"/>
      <c r="AC65" s="29"/>
      <c r="AD65" s="24"/>
      <c r="AE65" s="25"/>
      <c r="AF65" s="28"/>
      <c r="AG65" s="29"/>
      <c r="AH65" s="24"/>
      <c r="AI65" s="25"/>
      <c r="AJ65" s="28"/>
      <c r="AK65" s="29"/>
      <c r="AL65" s="24"/>
      <c r="AM65" s="25"/>
      <c r="AN65" s="28"/>
      <c r="AO65" s="29"/>
      <c r="AP65" s="24"/>
      <c r="AQ65" s="25"/>
      <c r="AR65" s="28"/>
      <c r="AS65" s="29"/>
      <c r="AT65" s="24"/>
      <c r="AU65" s="25"/>
      <c r="AV65" s="28"/>
      <c r="AW65" s="29"/>
      <c r="AX65" s="24"/>
      <c r="AY65" s="25"/>
      <c r="AZ65" s="28"/>
      <c r="BA65" s="29"/>
      <c r="BB65" s="24"/>
      <c r="BC65" s="25"/>
      <c r="BD65" s="28"/>
      <c r="BE65" s="29"/>
      <c r="BF65" s="24"/>
      <c r="BG65" s="25"/>
      <c r="BH65" s="28"/>
      <c r="BI65" s="29"/>
      <c r="BJ65" s="24"/>
      <c r="BK65" s="58"/>
      <c r="BL65" s="58"/>
      <c r="BM65" s="25"/>
      <c r="BN65" s="87"/>
      <c r="BO65" s="97"/>
      <c r="BP65" s="91"/>
      <c r="BQ65" s="89"/>
      <c r="BR65" s="28"/>
      <c r="BS65" s="29"/>
      <c r="BT65" s="12">
        <v>0</v>
      </c>
      <c r="BU65" s="57">
        <v>0</v>
      </c>
      <c r="BV65" s="57">
        <v>0</v>
      </c>
      <c r="BW65" s="13">
        <v>0</v>
      </c>
      <c r="BX65" s="28"/>
      <c r="BY65" s="29"/>
      <c r="BZ65" s="91"/>
      <c r="CA65" s="89"/>
      <c r="CB65" s="28"/>
      <c r="CC65" s="29"/>
      <c r="CD65" s="24"/>
      <c r="CE65" s="25"/>
      <c r="CF65" s="169"/>
      <c r="CG65" s="170"/>
      <c r="CH65" s="170"/>
      <c r="CI65" s="170"/>
      <c r="CJ65" s="88"/>
      <c r="CK65" s="92"/>
      <c r="CL65" s="14"/>
      <c r="CM65" s="15"/>
      <c r="CN65" s="88"/>
      <c r="CO65" s="92"/>
      <c r="CP65" s="14"/>
      <c r="CQ65" s="15"/>
    </row>
    <row r="66" spans="1:95" ht="23.45" customHeight="1" x14ac:dyDescent="0.55000000000000004">
      <c r="A66" s="7">
        <v>64</v>
      </c>
      <c r="B66" s="41"/>
      <c r="C66" s="31"/>
      <c r="D66" s="32"/>
      <c r="E66" s="33"/>
      <c r="F66" s="24"/>
      <c r="G66" s="25"/>
      <c r="H66" s="28"/>
      <c r="I66" s="29"/>
      <c r="J66" s="24"/>
      <c r="K66" s="25"/>
      <c r="L66" s="28"/>
      <c r="M66" s="29"/>
      <c r="N66" s="24"/>
      <c r="O66" s="25"/>
      <c r="P66" s="28"/>
      <c r="Q66" s="29"/>
      <c r="R66" s="24"/>
      <c r="S66" s="25"/>
      <c r="T66" s="28"/>
      <c r="U66" s="29"/>
      <c r="V66" s="24"/>
      <c r="W66" s="25"/>
      <c r="X66" s="28"/>
      <c r="Y66" s="29"/>
      <c r="Z66" s="24"/>
      <c r="AA66" s="25"/>
      <c r="AB66" s="28"/>
      <c r="AC66" s="29"/>
      <c r="AD66" s="24"/>
      <c r="AE66" s="25"/>
      <c r="AF66" s="28"/>
      <c r="AG66" s="29"/>
      <c r="AH66" s="24"/>
      <c r="AI66" s="25"/>
      <c r="AJ66" s="28"/>
      <c r="AK66" s="29"/>
      <c r="AL66" s="24"/>
      <c r="AM66" s="25"/>
      <c r="AN66" s="28"/>
      <c r="AO66" s="29"/>
      <c r="AP66" s="24"/>
      <c r="AQ66" s="25"/>
      <c r="AR66" s="28"/>
      <c r="AS66" s="29"/>
      <c r="AT66" s="24"/>
      <c r="AU66" s="25"/>
      <c r="AV66" s="28"/>
      <c r="AW66" s="29"/>
      <c r="AX66" s="24"/>
      <c r="AY66" s="25"/>
      <c r="AZ66" s="28"/>
      <c r="BA66" s="29"/>
      <c r="BB66" s="24"/>
      <c r="BC66" s="25"/>
      <c r="BD66" s="28"/>
      <c r="BE66" s="29"/>
      <c r="BF66" s="24"/>
      <c r="BG66" s="25"/>
      <c r="BH66" s="28"/>
      <c r="BI66" s="29"/>
      <c r="BJ66" s="24"/>
      <c r="BK66" s="58"/>
      <c r="BL66" s="58"/>
      <c r="BM66" s="25"/>
      <c r="BN66" s="87"/>
      <c r="BO66" s="97"/>
      <c r="BP66" s="91"/>
      <c r="BQ66" s="89"/>
      <c r="BR66" s="28"/>
      <c r="BS66" s="29"/>
      <c r="BT66" s="12">
        <v>0</v>
      </c>
      <c r="BU66" s="57">
        <v>0</v>
      </c>
      <c r="BV66" s="57">
        <v>0</v>
      </c>
      <c r="BW66" s="13">
        <v>0</v>
      </c>
      <c r="BX66" s="28"/>
      <c r="BY66" s="29"/>
      <c r="BZ66" s="91"/>
      <c r="CA66" s="89"/>
      <c r="CB66" s="28"/>
      <c r="CC66" s="29"/>
      <c r="CD66" s="24"/>
      <c r="CE66" s="25"/>
      <c r="CF66" s="169"/>
      <c r="CG66" s="170"/>
      <c r="CH66" s="170"/>
      <c r="CI66" s="170"/>
      <c r="CJ66" s="88"/>
      <c r="CK66" s="92"/>
      <c r="CL66" s="14"/>
      <c r="CM66" s="15"/>
      <c r="CN66" s="88"/>
      <c r="CO66" s="92"/>
      <c r="CP66" s="14"/>
      <c r="CQ66" s="15"/>
    </row>
    <row r="67" spans="1:95" ht="23.45" customHeight="1" x14ac:dyDescent="0.55000000000000004">
      <c r="A67" s="7">
        <v>65</v>
      </c>
      <c r="B67" s="41"/>
      <c r="C67" s="31"/>
      <c r="D67" s="32"/>
      <c r="E67" s="33"/>
      <c r="F67" s="24"/>
      <c r="G67" s="25"/>
      <c r="H67" s="28"/>
      <c r="I67" s="29"/>
      <c r="J67" s="24"/>
      <c r="K67" s="25"/>
      <c r="L67" s="28"/>
      <c r="M67" s="29"/>
      <c r="N67" s="24"/>
      <c r="O67" s="25"/>
      <c r="P67" s="28"/>
      <c r="Q67" s="29"/>
      <c r="R67" s="24"/>
      <c r="S67" s="25"/>
      <c r="T67" s="28"/>
      <c r="U67" s="29"/>
      <c r="V67" s="24"/>
      <c r="W67" s="25"/>
      <c r="X67" s="28"/>
      <c r="Y67" s="29"/>
      <c r="Z67" s="24"/>
      <c r="AA67" s="25"/>
      <c r="AB67" s="28"/>
      <c r="AC67" s="29"/>
      <c r="AD67" s="24"/>
      <c r="AE67" s="25"/>
      <c r="AF67" s="28"/>
      <c r="AG67" s="29"/>
      <c r="AH67" s="24"/>
      <c r="AI67" s="25"/>
      <c r="AJ67" s="28"/>
      <c r="AK67" s="29"/>
      <c r="AL67" s="24"/>
      <c r="AM67" s="25"/>
      <c r="AN67" s="28"/>
      <c r="AO67" s="29"/>
      <c r="AP67" s="24"/>
      <c r="AQ67" s="25"/>
      <c r="AR67" s="28"/>
      <c r="AS67" s="29"/>
      <c r="AT67" s="24"/>
      <c r="AU67" s="25"/>
      <c r="AV67" s="28"/>
      <c r="AW67" s="29"/>
      <c r="AX67" s="24"/>
      <c r="AY67" s="25"/>
      <c r="AZ67" s="28"/>
      <c r="BA67" s="29"/>
      <c r="BB67" s="24"/>
      <c r="BC67" s="25"/>
      <c r="BD67" s="28"/>
      <c r="BE67" s="29"/>
      <c r="BF67" s="24"/>
      <c r="BG67" s="25"/>
      <c r="BH67" s="28"/>
      <c r="BI67" s="29"/>
      <c r="BJ67" s="24"/>
      <c r="BK67" s="58"/>
      <c r="BL67" s="58"/>
      <c r="BM67" s="25"/>
      <c r="BN67" s="87"/>
      <c r="BO67" s="97"/>
      <c r="BP67" s="91"/>
      <c r="BQ67" s="89"/>
      <c r="BR67" s="28"/>
      <c r="BS67" s="29"/>
      <c r="BT67" s="12">
        <v>0</v>
      </c>
      <c r="BU67" s="57">
        <v>0</v>
      </c>
      <c r="BV67" s="57">
        <v>0</v>
      </c>
      <c r="BW67" s="13">
        <v>0</v>
      </c>
      <c r="BX67" s="28"/>
      <c r="BY67" s="29"/>
      <c r="BZ67" s="91"/>
      <c r="CA67" s="89"/>
      <c r="CB67" s="28"/>
      <c r="CC67" s="29"/>
      <c r="CD67" s="24"/>
      <c r="CE67" s="25"/>
      <c r="CF67" s="169"/>
      <c r="CG67" s="170"/>
      <c r="CH67" s="170"/>
      <c r="CI67" s="170"/>
      <c r="CJ67" s="88"/>
      <c r="CK67" s="92"/>
      <c r="CL67" s="14"/>
      <c r="CM67" s="15"/>
      <c r="CN67" s="88"/>
      <c r="CO67" s="92"/>
      <c r="CP67" s="14"/>
      <c r="CQ67" s="15"/>
    </row>
    <row r="68" spans="1:95" ht="23.45" customHeight="1" x14ac:dyDescent="0.55000000000000004">
      <c r="A68" s="7">
        <v>66</v>
      </c>
      <c r="B68" s="41"/>
      <c r="C68" s="31"/>
      <c r="D68" s="32"/>
      <c r="E68" s="33"/>
      <c r="F68" s="24"/>
      <c r="G68" s="25"/>
      <c r="H68" s="28"/>
      <c r="I68" s="29"/>
      <c r="J68" s="24"/>
      <c r="K68" s="25"/>
      <c r="L68" s="28"/>
      <c r="M68" s="29"/>
      <c r="N68" s="24"/>
      <c r="O68" s="25"/>
      <c r="P68" s="28"/>
      <c r="Q68" s="29"/>
      <c r="R68" s="24"/>
      <c r="S68" s="25"/>
      <c r="T68" s="28"/>
      <c r="U68" s="29"/>
      <c r="V68" s="24"/>
      <c r="W68" s="25"/>
      <c r="X68" s="28"/>
      <c r="Y68" s="29"/>
      <c r="Z68" s="24"/>
      <c r="AA68" s="25"/>
      <c r="AB68" s="28"/>
      <c r="AC68" s="29"/>
      <c r="AD68" s="24"/>
      <c r="AE68" s="25"/>
      <c r="AF68" s="28"/>
      <c r="AG68" s="29"/>
      <c r="AH68" s="24"/>
      <c r="AI68" s="25"/>
      <c r="AJ68" s="28"/>
      <c r="AK68" s="29"/>
      <c r="AL68" s="24"/>
      <c r="AM68" s="25"/>
      <c r="AN68" s="28"/>
      <c r="AO68" s="29"/>
      <c r="AP68" s="24"/>
      <c r="AQ68" s="25"/>
      <c r="AR68" s="28"/>
      <c r="AS68" s="29"/>
      <c r="AT68" s="24"/>
      <c r="AU68" s="25"/>
      <c r="AV68" s="28"/>
      <c r="AW68" s="29"/>
      <c r="AX68" s="24"/>
      <c r="AY68" s="25"/>
      <c r="AZ68" s="28"/>
      <c r="BA68" s="29"/>
      <c r="BB68" s="24"/>
      <c r="BC68" s="25"/>
      <c r="BD68" s="28"/>
      <c r="BE68" s="29"/>
      <c r="BF68" s="24"/>
      <c r="BG68" s="25"/>
      <c r="BH68" s="28"/>
      <c r="BI68" s="29"/>
      <c r="BJ68" s="24"/>
      <c r="BK68" s="58"/>
      <c r="BL68" s="58"/>
      <c r="BM68" s="25"/>
      <c r="BN68" s="87"/>
      <c r="BO68" s="97"/>
      <c r="BP68" s="91"/>
      <c r="BQ68" s="89"/>
      <c r="BR68" s="28"/>
      <c r="BS68" s="29"/>
      <c r="BT68" s="12">
        <v>0</v>
      </c>
      <c r="BU68" s="57">
        <v>0</v>
      </c>
      <c r="BV68" s="57">
        <v>0</v>
      </c>
      <c r="BW68" s="13">
        <v>0</v>
      </c>
      <c r="BX68" s="28"/>
      <c r="BY68" s="29"/>
      <c r="BZ68" s="91"/>
      <c r="CA68" s="89"/>
      <c r="CB68" s="28"/>
      <c r="CC68" s="29"/>
      <c r="CD68" s="24"/>
      <c r="CE68" s="25"/>
      <c r="CF68" s="169"/>
      <c r="CG68" s="170"/>
      <c r="CH68" s="170"/>
      <c r="CI68" s="170"/>
      <c r="CJ68" s="88"/>
      <c r="CK68" s="92"/>
      <c r="CL68" s="14"/>
      <c r="CM68" s="15"/>
      <c r="CN68" s="88"/>
      <c r="CO68" s="92"/>
      <c r="CP68" s="14"/>
      <c r="CQ68" s="15"/>
    </row>
    <row r="69" spans="1:95" ht="23.45" customHeight="1" x14ac:dyDescent="0.55000000000000004">
      <c r="A69" s="7">
        <v>67</v>
      </c>
      <c r="B69" s="41"/>
      <c r="C69" s="31"/>
      <c r="D69" s="32"/>
      <c r="E69" s="33"/>
      <c r="F69" s="24"/>
      <c r="G69" s="25"/>
      <c r="H69" s="28"/>
      <c r="I69" s="29"/>
      <c r="J69" s="24"/>
      <c r="K69" s="25"/>
      <c r="L69" s="28"/>
      <c r="M69" s="29"/>
      <c r="N69" s="24"/>
      <c r="O69" s="25"/>
      <c r="P69" s="28"/>
      <c r="Q69" s="29"/>
      <c r="R69" s="24"/>
      <c r="S69" s="25"/>
      <c r="T69" s="28"/>
      <c r="U69" s="29"/>
      <c r="V69" s="24"/>
      <c r="W69" s="25"/>
      <c r="X69" s="28"/>
      <c r="Y69" s="29"/>
      <c r="Z69" s="24"/>
      <c r="AA69" s="25"/>
      <c r="AB69" s="28"/>
      <c r="AC69" s="29"/>
      <c r="AD69" s="24"/>
      <c r="AE69" s="25"/>
      <c r="AF69" s="28"/>
      <c r="AG69" s="29"/>
      <c r="AH69" s="24"/>
      <c r="AI69" s="25"/>
      <c r="AJ69" s="28"/>
      <c r="AK69" s="29"/>
      <c r="AL69" s="24"/>
      <c r="AM69" s="25"/>
      <c r="AN69" s="28"/>
      <c r="AO69" s="29"/>
      <c r="AP69" s="24"/>
      <c r="AQ69" s="25"/>
      <c r="AR69" s="28"/>
      <c r="AS69" s="29"/>
      <c r="AT69" s="24"/>
      <c r="AU69" s="25"/>
      <c r="AV69" s="28"/>
      <c r="AW69" s="29"/>
      <c r="AX69" s="24"/>
      <c r="AY69" s="25"/>
      <c r="AZ69" s="28"/>
      <c r="BA69" s="29"/>
      <c r="BB69" s="24"/>
      <c r="BC69" s="25"/>
      <c r="BD69" s="28"/>
      <c r="BE69" s="29"/>
      <c r="BF69" s="24"/>
      <c r="BG69" s="25"/>
      <c r="BH69" s="28"/>
      <c r="BI69" s="29"/>
      <c r="BJ69" s="24"/>
      <c r="BK69" s="58"/>
      <c r="BL69" s="58"/>
      <c r="BM69" s="25"/>
      <c r="BN69" s="87"/>
      <c r="BO69" s="97"/>
      <c r="BP69" s="91"/>
      <c r="BQ69" s="89"/>
      <c r="BR69" s="28"/>
      <c r="BS69" s="29"/>
      <c r="BT69" s="12">
        <v>0</v>
      </c>
      <c r="BU69" s="57">
        <v>0</v>
      </c>
      <c r="BV69" s="57">
        <v>0</v>
      </c>
      <c r="BW69" s="13">
        <v>0</v>
      </c>
      <c r="BX69" s="28"/>
      <c r="BY69" s="29"/>
      <c r="BZ69" s="91"/>
      <c r="CA69" s="89"/>
      <c r="CB69" s="28"/>
      <c r="CC69" s="29"/>
      <c r="CD69" s="24"/>
      <c r="CE69" s="25"/>
      <c r="CF69" s="169"/>
      <c r="CG69" s="170"/>
      <c r="CH69" s="170"/>
      <c r="CI69" s="170"/>
      <c r="CJ69" s="88"/>
      <c r="CK69" s="92"/>
      <c r="CL69" s="14"/>
      <c r="CM69" s="15"/>
      <c r="CN69" s="88"/>
      <c r="CO69" s="92"/>
      <c r="CP69" s="14"/>
      <c r="CQ69" s="15"/>
    </row>
    <row r="70" spans="1:95" ht="23.45" customHeight="1" x14ac:dyDescent="0.55000000000000004">
      <c r="A70" s="7">
        <v>68</v>
      </c>
      <c r="B70" s="41"/>
      <c r="C70" s="31"/>
      <c r="D70" s="32"/>
      <c r="E70" s="33"/>
      <c r="F70" s="24"/>
      <c r="G70" s="25"/>
      <c r="H70" s="28"/>
      <c r="I70" s="29"/>
      <c r="J70" s="24"/>
      <c r="K70" s="25"/>
      <c r="L70" s="28"/>
      <c r="M70" s="29"/>
      <c r="N70" s="24"/>
      <c r="O70" s="25"/>
      <c r="P70" s="28"/>
      <c r="Q70" s="29"/>
      <c r="R70" s="24"/>
      <c r="S70" s="25"/>
      <c r="T70" s="28"/>
      <c r="U70" s="29"/>
      <c r="V70" s="24"/>
      <c r="W70" s="25"/>
      <c r="X70" s="28"/>
      <c r="Y70" s="29"/>
      <c r="Z70" s="24"/>
      <c r="AA70" s="25"/>
      <c r="AB70" s="28"/>
      <c r="AC70" s="29"/>
      <c r="AD70" s="24"/>
      <c r="AE70" s="25"/>
      <c r="AF70" s="28"/>
      <c r="AG70" s="29"/>
      <c r="AH70" s="24"/>
      <c r="AI70" s="25"/>
      <c r="AJ70" s="28"/>
      <c r="AK70" s="29"/>
      <c r="AL70" s="24"/>
      <c r="AM70" s="25"/>
      <c r="AN70" s="28"/>
      <c r="AO70" s="29"/>
      <c r="AP70" s="24"/>
      <c r="AQ70" s="25"/>
      <c r="AR70" s="28"/>
      <c r="AS70" s="29"/>
      <c r="AT70" s="24"/>
      <c r="AU70" s="25"/>
      <c r="AV70" s="28"/>
      <c r="AW70" s="29"/>
      <c r="AX70" s="24"/>
      <c r="AY70" s="25"/>
      <c r="AZ70" s="28"/>
      <c r="BA70" s="29"/>
      <c r="BB70" s="24"/>
      <c r="BC70" s="25"/>
      <c r="BD70" s="28"/>
      <c r="BE70" s="29"/>
      <c r="BF70" s="24"/>
      <c r="BG70" s="25"/>
      <c r="BH70" s="28"/>
      <c r="BI70" s="29"/>
      <c r="BJ70" s="24"/>
      <c r="BK70" s="58"/>
      <c r="BL70" s="58"/>
      <c r="BM70" s="25"/>
      <c r="BN70" s="87"/>
      <c r="BO70" s="97"/>
      <c r="BP70" s="91"/>
      <c r="BQ70" s="89"/>
      <c r="BR70" s="28"/>
      <c r="BS70" s="29"/>
      <c r="BT70" s="12">
        <v>0</v>
      </c>
      <c r="BU70" s="57">
        <v>0</v>
      </c>
      <c r="BV70" s="57">
        <v>0</v>
      </c>
      <c r="BW70" s="13">
        <v>0</v>
      </c>
      <c r="BX70" s="28"/>
      <c r="BY70" s="29"/>
      <c r="BZ70" s="91"/>
      <c r="CA70" s="89"/>
      <c r="CB70" s="28"/>
      <c r="CC70" s="29"/>
      <c r="CD70" s="24"/>
      <c r="CE70" s="25"/>
      <c r="CF70" s="169"/>
      <c r="CG70" s="170"/>
      <c r="CH70" s="170"/>
      <c r="CI70" s="170"/>
      <c r="CJ70" s="88"/>
      <c r="CK70" s="92"/>
      <c r="CL70" s="14"/>
      <c r="CM70" s="15"/>
      <c r="CN70" s="88"/>
      <c r="CO70" s="92"/>
      <c r="CP70" s="14"/>
      <c r="CQ70" s="15"/>
    </row>
    <row r="71" spans="1:95" ht="23.45" customHeight="1" x14ac:dyDescent="0.55000000000000004">
      <c r="A71" s="7">
        <v>69</v>
      </c>
      <c r="B71" s="41"/>
      <c r="C71" s="31"/>
      <c r="D71" s="32"/>
      <c r="E71" s="33"/>
      <c r="F71" s="24"/>
      <c r="G71" s="25"/>
      <c r="H71" s="28"/>
      <c r="I71" s="29"/>
      <c r="J71" s="24"/>
      <c r="K71" s="25"/>
      <c r="L71" s="28"/>
      <c r="M71" s="29"/>
      <c r="N71" s="24"/>
      <c r="O71" s="25"/>
      <c r="P71" s="28"/>
      <c r="Q71" s="29"/>
      <c r="R71" s="24"/>
      <c r="S71" s="25"/>
      <c r="T71" s="28"/>
      <c r="U71" s="29"/>
      <c r="V71" s="24"/>
      <c r="W71" s="25"/>
      <c r="X71" s="28"/>
      <c r="Y71" s="29"/>
      <c r="Z71" s="24"/>
      <c r="AA71" s="25"/>
      <c r="AB71" s="28"/>
      <c r="AC71" s="29"/>
      <c r="AD71" s="24"/>
      <c r="AE71" s="25"/>
      <c r="AF71" s="28"/>
      <c r="AG71" s="29"/>
      <c r="AH71" s="24"/>
      <c r="AI71" s="25"/>
      <c r="AJ71" s="28"/>
      <c r="AK71" s="29"/>
      <c r="AL71" s="24"/>
      <c r="AM71" s="25"/>
      <c r="AN71" s="28"/>
      <c r="AO71" s="29"/>
      <c r="AP71" s="24"/>
      <c r="AQ71" s="25"/>
      <c r="AR71" s="28"/>
      <c r="AS71" s="29"/>
      <c r="AT71" s="24"/>
      <c r="AU71" s="25"/>
      <c r="AV71" s="28"/>
      <c r="AW71" s="29"/>
      <c r="AX71" s="24"/>
      <c r="AY71" s="25"/>
      <c r="AZ71" s="28"/>
      <c r="BA71" s="29"/>
      <c r="BB71" s="24"/>
      <c r="BC71" s="25"/>
      <c r="BD71" s="28"/>
      <c r="BE71" s="29"/>
      <c r="BF71" s="24"/>
      <c r="BG71" s="25"/>
      <c r="BH71" s="28"/>
      <c r="BI71" s="29"/>
      <c r="BJ71" s="24"/>
      <c r="BK71" s="58"/>
      <c r="BL71" s="58"/>
      <c r="BM71" s="25"/>
      <c r="BN71" s="87"/>
      <c r="BO71" s="97"/>
      <c r="BP71" s="91"/>
      <c r="BQ71" s="89"/>
      <c r="BR71" s="28"/>
      <c r="BS71" s="29"/>
      <c r="BT71" s="12">
        <v>0</v>
      </c>
      <c r="BU71" s="57">
        <v>0</v>
      </c>
      <c r="BV71" s="57">
        <v>0</v>
      </c>
      <c r="BW71" s="13">
        <v>0</v>
      </c>
      <c r="BX71" s="28"/>
      <c r="BY71" s="29"/>
      <c r="BZ71" s="91"/>
      <c r="CA71" s="89"/>
      <c r="CB71" s="28"/>
      <c r="CC71" s="29"/>
      <c r="CD71" s="24"/>
      <c r="CE71" s="25"/>
      <c r="CF71" s="169"/>
      <c r="CG71" s="170"/>
      <c r="CH71" s="170"/>
      <c r="CI71" s="170"/>
      <c r="CJ71" s="88"/>
      <c r="CK71" s="92"/>
      <c r="CL71" s="14"/>
      <c r="CM71" s="15"/>
      <c r="CN71" s="88"/>
      <c r="CO71" s="92"/>
      <c r="CP71" s="14"/>
      <c r="CQ71" s="15"/>
    </row>
    <row r="72" spans="1:95" ht="23.45" customHeight="1" x14ac:dyDescent="0.55000000000000004">
      <c r="A72" s="7">
        <v>70</v>
      </c>
      <c r="B72" s="41"/>
      <c r="C72" s="31"/>
      <c r="D72" s="32"/>
      <c r="E72" s="33"/>
      <c r="F72" s="24"/>
      <c r="G72" s="25"/>
      <c r="H72" s="28"/>
      <c r="I72" s="29"/>
      <c r="J72" s="24"/>
      <c r="K72" s="25"/>
      <c r="L72" s="28"/>
      <c r="M72" s="29"/>
      <c r="N72" s="24"/>
      <c r="O72" s="25"/>
      <c r="P72" s="28"/>
      <c r="Q72" s="29"/>
      <c r="R72" s="24"/>
      <c r="S72" s="25"/>
      <c r="T72" s="28"/>
      <c r="U72" s="29"/>
      <c r="V72" s="24"/>
      <c r="W72" s="25"/>
      <c r="X72" s="28"/>
      <c r="Y72" s="29"/>
      <c r="Z72" s="24"/>
      <c r="AA72" s="25"/>
      <c r="AB72" s="28"/>
      <c r="AC72" s="29"/>
      <c r="AD72" s="24"/>
      <c r="AE72" s="25"/>
      <c r="AF72" s="28"/>
      <c r="AG72" s="29"/>
      <c r="AH72" s="24"/>
      <c r="AI72" s="25"/>
      <c r="AJ72" s="28"/>
      <c r="AK72" s="29"/>
      <c r="AL72" s="24"/>
      <c r="AM72" s="25"/>
      <c r="AN72" s="28"/>
      <c r="AO72" s="29"/>
      <c r="AP72" s="24"/>
      <c r="AQ72" s="25"/>
      <c r="AR72" s="28"/>
      <c r="AS72" s="29"/>
      <c r="AT72" s="24"/>
      <c r="AU72" s="25"/>
      <c r="AV72" s="28"/>
      <c r="AW72" s="29"/>
      <c r="AX72" s="24"/>
      <c r="AY72" s="25"/>
      <c r="AZ72" s="28"/>
      <c r="BA72" s="29"/>
      <c r="BB72" s="24"/>
      <c r="BC72" s="25"/>
      <c r="BD72" s="28"/>
      <c r="BE72" s="29"/>
      <c r="BF72" s="24"/>
      <c r="BG72" s="25"/>
      <c r="BH72" s="28"/>
      <c r="BI72" s="29"/>
      <c r="BJ72" s="24"/>
      <c r="BK72" s="58"/>
      <c r="BL72" s="58"/>
      <c r="BM72" s="25"/>
      <c r="BN72" s="87"/>
      <c r="BO72" s="97"/>
      <c r="BP72" s="91"/>
      <c r="BQ72" s="89"/>
      <c r="BR72" s="28"/>
      <c r="BS72" s="29"/>
      <c r="BT72" s="12">
        <v>0</v>
      </c>
      <c r="BU72" s="57">
        <v>0</v>
      </c>
      <c r="BV72" s="57">
        <v>0</v>
      </c>
      <c r="BW72" s="13">
        <v>0</v>
      </c>
      <c r="BX72" s="28"/>
      <c r="BY72" s="29"/>
      <c r="BZ72" s="91"/>
      <c r="CA72" s="89"/>
      <c r="CB72" s="28"/>
      <c r="CC72" s="29"/>
      <c r="CD72" s="24"/>
      <c r="CE72" s="25"/>
      <c r="CF72" s="169"/>
      <c r="CG72" s="170"/>
      <c r="CH72" s="170"/>
      <c r="CI72" s="170"/>
      <c r="CJ72" s="88"/>
      <c r="CK72" s="92"/>
      <c r="CL72" s="14"/>
      <c r="CM72" s="15"/>
      <c r="CN72" s="88"/>
      <c r="CO72" s="92"/>
      <c r="CP72" s="14"/>
      <c r="CQ72" s="15"/>
    </row>
    <row r="73" spans="1:95" ht="23.45" customHeight="1" x14ac:dyDescent="0.55000000000000004">
      <c r="A73" s="7">
        <v>71</v>
      </c>
      <c r="B73" s="41"/>
      <c r="C73" s="31"/>
      <c r="D73" s="32"/>
      <c r="E73" s="33"/>
      <c r="F73" s="24"/>
      <c r="G73" s="25"/>
      <c r="H73" s="28"/>
      <c r="I73" s="29"/>
      <c r="J73" s="24"/>
      <c r="K73" s="25"/>
      <c r="L73" s="28"/>
      <c r="M73" s="29"/>
      <c r="N73" s="24"/>
      <c r="O73" s="25"/>
      <c r="P73" s="28"/>
      <c r="Q73" s="29"/>
      <c r="R73" s="24"/>
      <c r="S73" s="25"/>
      <c r="T73" s="28"/>
      <c r="U73" s="29"/>
      <c r="V73" s="24"/>
      <c r="W73" s="25"/>
      <c r="X73" s="28"/>
      <c r="Y73" s="29"/>
      <c r="Z73" s="24"/>
      <c r="AA73" s="25"/>
      <c r="AB73" s="28"/>
      <c r="AC73" s="29"/>
      <c r="AD73" s="24"/>
      <c r="AE73" s="25"/>
      <c r="AF73" s="28"/>
      <c r="AG73" s="29"/>
      <c r="AH73" s="24"/>
      <c r="AI73" s="25"/>
      <c r="AJ73" s="28"/>
      <c r="AK73" s="29"/>
      <c r="AL73" s="24"/>
      <c r="AM73" s="25"/>
      <c r="AN73" s="28"/>
      <c r="AO73" s="29"/>
      <c r="AP73" s="24"/>
      <c r="AQ73" s="25"/>
      <c r="AR73" s="28"/>
      <c r="AS73" s="29"/>
      <c r="AT73" s="24"/>
      <c r="AU73" s="25"/>
      <c r="AV73" s="28"/>
      <c r="AW73" s="29"/>
      <c r="AX73" s="24"/>
      <c r="AY73" s="25"/>
      <c r="AZ73" s="28"/>
      <c r="BA73" s="29"/>
      <c r="BB73" s="24"/>
      <c r="BC73" s="25"/>
      <c r="BD73" s="28"/>
      <c r="BE73" s="29"/>
      <c r="BF73" s="24"/>
      <c r="BG73" s="25"/>
      <c r="BH73" s="28"/>
      <c r="BI73" s="29"/>
      <c r="BJ73" s="24"/>
      <c r="BK73" s="58"/>
      <c r="BL73" s="58"/>
      <c r="BM73" s="25"/>
      <c r="BN73" s="87"/>
      <c r="BO73" s="97"/>
      <c r="BP73" s="91"/>
      <c r="BQ73" s="89"/>
      <c r="BR73" s="28"/>
      <c r="BS73" s="29"/>
      <c r="BT73" s="12">
        <v>0</v>
      </c>
      <c r="BU73" s="57">
        <v>0</v>
      </c>
      <c r="BV73" s="57">
        <v>0</v>
      </c>
      <c r="BW73" s="13">
        <v>0</v>
      </c>
      <c r="BX73" s="28"/>
      <c r="BY73" s="29"/>
      <c r="BZ73" s="91"/>
      <c r="CA73" s="89"/>
      <c r="CB73" s="28"/>
      <c r="CC73" s="29"/>
      <c r="CD73" s="24"/>
      <c r="CE73" s="25"/>
      <c r="CF73" s="169"/>
      <c r="CG73" s="170"/>
      <c r="CH73" s="170"/>
      <c r="CI73" s="170"/>
      <c r="CJ73" s="88"/>
      <c r="CK73" s="92"/>
      <c r="CL73" s="14"/>
      <c r="CM73" s="15"/>
      <c r="CN73" s="88"/>
      <c r="CO73" s="92"/>
      <c r="CP73" s="14"/>
      <c r="CQ73" s="15"/>
    </row>
    <row r="74" spans="1:95" ht="23.45" customHeight="1" x14ac:dyDescent="0.55000000000000004">
      <c r="A74" s="7">
        <v>72</v>
      </c>
      <c r="B74" s="41"/>
      <c r="C74" s="31"/>
      <c r="D74" s="32"/>
      <c r="E74" s="33"/>
      <c r="F74" s="24"/>
      <c r="G74" s="25"/>
      <c r="H74" s="28"/>
      <c r="I74" s="29"/>
      <c r="J74" s="24"/>
      <c r="K74" s="25"/>
      <c r="L74" s="28"/>
      <c r="M74" s="29"/>
      <c r="N74" s="24"/>
      <c r="O74" s="25"/>
      <c r="P74" s="28"/>
      <c r="Q74" s="29"/>
      <c r="R74" s="24"/>
      <c r="S74" s="25"/>
      <c r="T74" s="28"/>
      <c r="U74" s="29"/>
      <c r="V74" s="24"/>
      <c r="W74" s="25"/>
      <c r="X74" s="28"/>
      <c r="Y74" s="29"/>
      <c r="Z74" s="24"/>
      <c r="AA74" s="25"/>
      <c r="AB74" s="28"/>
      <c r="AC74" s="29"/>
      <c r="AD74" s="24"/>
      <c r="AE74" s="25"/>
      <c r="AF74" s="28"/>
      <c r="AG74" s="29"/>
      <c r="AH74" s="24"/>
      <c r="AI74" s="25"/>
      <c r="AJ74" s="28"/>
      <c r="AK74" s="29"/>
      <c r="AL74" s="24"/>
      <c r="AM74" s="25"/>
      <c r="AN74" s="28"/>
      <c r="AO74" s="29"/>
      <c r="AP74" s="24"/>
      <c r="AQ74" s="25"/>
      <c r="AR74" s="28"/>
      <c r="AS74" s="29"/>
      <c r="AT74" s="24"/>
      <c r="AU74" s="25"/>
      <c r="AV74" s="28"/>
      <c r="AW74" s="29"/>
      <c r="AX74" s="24"/>
      <c r="AY74" s="25"/>
      <c r="AZ74" s="28"/>
      <c r="BA74" s="29"/>
      <c r="BB74" s="24"/>
      <c r="BC74" s="25"/>
      <c r="BD74" s="28"/>
      <c r="BE74" s="29"/>
      <c r="BF74" s="24"/>
      <c r="BG74" s="25"/>
      <c r="BH74" s="28"/>
      <c r="BI74" s="29"/>
      <c r="BJ74" s="24"/>
      <c r="BK74" s="58"/>
      <c r="BL74" s="58"/>
      <c r="BM74" s="25"/>
      <c r="BN74" s="87"/>
      <c r="BO74" s="97"/>
      <c r="BP74" s="91"/>
      <c r="BQ74" s="89"/>
      <c r="BR74" s="28"/>
      <c r="BS74" s="29"/>
      <c r="BT74" s="12">
        <v>0</v>
      </c>
      <c r="BU74" s="57">
        <v>0</v>
      </c>
      <c r="BV74" s="57">
        <v>0</v>
      </c>
      <c r="BW74" s="13">
        <v>0</v>
      </c>
      <c r="BX74" s="28"/>
      <c r="BY74" s="29"/>
      <c r="BZ74" s="91"/>
      <c r="CA74" s="89"/>
      <c r="CB74" s="28"/>
      <c r="CC74" s="29"/>
      <c r="CD74" s="24"/>
      <c r="CE74" s="25"/>
      <c r="CF74" s="169"/>
      <c r="CG74" s="170"/>
      <c r="CH74" s="170"/>
      <c r="CI74" s="170"/>
      <c r="CJ74" s="88"/>
      <c r="CK74" s="92"/>
      <c r="CL74" s="14"/>
      <c r="CM74" s="15"/>
      <c r="CN74" s="88"/>
      <c r="CO74" s="92"/>
      <c r="CP74" s="14"/>
      <c r="CQ74" s="15"/>
    </row>
    <row r="75" spans="1:95" ht="23.45" customHeight="1" x14ac:dyDescent="0.55000000000000004">
      <c r="A75" s="7">
        <v>73</v>
      </c>
      <c r="B75" s="41"/>
      <c r="C75" s="31"/>
      <c r="D75" s="32"/>
      <c r="E75" s="33"/>
      <c r="F75" s="24"/>
      <c r="G75" s="25"/>
      <c r="H75" s="28"/>
      <c r="I75" s="29"/>
      <c r="J75" s="24"/>
      <c r="K75" s="25"/>
      <c r="L75" s="28"/>
      <c r="M75" s="29"/>
      <c r="N75" s="24"/>
      <c r="O75" s="25"/>
      <c r="P75" s="28"/>
      <c r="Q75" s="29"/>
      <c r="R75" s="24"/>
      <c r="S75" s="25"/>
      <c r="T75" s="28"/>
      <c r="U75" s="29"/>
      <c r="V75" s="24"/>
      <c r="W75" s="25"/>
      <c r="X75" s="28"/>
      <c r="Y75" s="29"/>
      <c r="Z75" s="24"/>
      <c r="AA75" s="25"/>
      <c r="AB75" s="28"/>
      <c r="AC75" s="29"/>
      <c r="AD75" s="24"/>
      <c r="AE75" s="25"/>
      <c r="AF75" s="28"/>
      <c r="AG75" s="29"/>
      <c r="AH75" s="24"/>
      <c r="AI75" s="25"/>
      <c r="AJ75" s="28"/>
      <c r="AK75" s="29"/>
      <c r="AL75" s="24"/>
      <c r="AM75" s="25"/>
      <c r="AN75" s="28"/>
      <c r="AO75" s="29"/>
      <c r="AP75" s="24"/>
      <c r="AQ75" s="25"/>
      <c r="AR75" s="28"/>
      <c r="AS75" s="29"/>
      <c r="AT75" s="24"/>
      <c r="AU75" s="25"/>
      <c r="AV75" s="28"/>
      <c r="AW75" s="29"/>
      <c r="AX75" s="24"/>
      <c r="AY75" s="25"/>
      <c r="AZ75" s="28"/>
      <c r="BA75" s="29"/>
      <c r="BB75" s="24"/>
      <c r="BC75" s="25"/>
      <c r="BD75" s="28"/>
      <c r="BE75" s="29"/>
      <c r="BF75" s="24"/>
      <c r="BG75" s="25"/>
      <c r="BH75" s="28"/>
      <c r="BI75" s="29"/>
      <c r="BJ75" s="24"/>
      <c r="BK75" s="58"/>
      <c r="BL75" s="58"/>
      <c r="BM75" s="25"/>
      <c r="BN75" s="87"/>
      <c r="BO75" s="97"/>
      <c r="BP75" s="91"/>
      <c r="BQ75" s="89"/>
      <c r="BR75" s="28"/>
      <c r="BS75" s="29"/>
      <c r="BT75" s="12">
        <v>0</v>
      </c>
      <c r="BU75" s="57">
        <v>0</v>
      </c>
      <c r="BV75" s="57">
        <v>0</v>
      </c>
      <c r="BW75" s="13">
        <v>0</v>
      </c>
      <c r="BX75" s="28"/>
      <c r="BY75" s="29"/>
      <c r="BZ75" s="91"/>
      <c r="CA75" s="89"/>
      <c r="CB75" s="28"/>
      <c r="CC75" s="29"/>
      <c r="CD75" s="24"/>
      <c r="CE75" s="25"/>
      <c r="CF75" s="169"/>
      <c r="CG75" s="170"/>
      <c r="CH75" s="170"/>
      <c r="CI75" s="170"/>
      <c r="CJ75" s="88"/>
      <c r="CK75" s="92"/>
      <c r="CL75" s="14"/>
      <c r="CM75" s="15"/>
      <c r="CN75" s="88"/>
      <c r="CO75" s="92"/>
      <c r="CP75" s="14"/>
      <c r="CQ75" s="15"/>
    </row>
    <row r="76" spans="1:95" ht="23.45" customHeight="1" x14ac:dyDescent="0.55000000000000004">
      <c r="A76" s="7">
        <v>74</v>
      </c>
      <c r="B76" s="41"/>
      <c r="C76" s="31"/>
      <c r="D76" s="32"/>
      <c r="E76" s="33"/>
      <c r="F76" s="24"/>
      <c r="G76" s="25"/>
      <c r="H76" s="28"/>
      <c r="I76" s="29"/>
      <c r="J76" s="24"/>
      <c r="K76" s="25"/>
      <c r="L76" s="28"/>
      <c r="M76" s="29"/>
      <c r="N76" s="24"/>
      <c r="O76" s="25"/>
      <c r="P76" s="28"/>
      <c r="Q76" s="29"/>
      <c r="R76" s="24"/>
      <c r="S76" s="25"/>
      <c r="T76" s="28"/>
      <c r="U76" s="29"/>
      <c r="V76" s="24"/>
      <c r="W76" s="25"/>
      <c r="X76" s="28"/>
      <c r="Y76" s="29"/>
      <c r="Z76" s="24"/>
      <c r="AA76" s="25"/>
      <c r="AB76" s="28"/>
      <c r="AC76" s="29"/>
      <c r="AD76" s="24"/>
      <c r="AE76" s="25"/>
      <c r="AF76" s="28"/>
      <c r="AG76" s="29"/>
      <c r="AH76" s="24"/>
      <c r="AI76" s="25"/>
      <c r="AJ76" s="28"/>
      <c r="AK76" s="29"/>
      <c r="AL76" s="24"/>
      <c r="AM76" s="25"/>
      <c r="AN76" s="28"/>
      <c r="AO76" s="29"/>
      <c r="AP76" s="24"/>
      <c r="AQ76" s="25"/>
      <c r="AR76" s="28"/>
      <c r="AS76" s="29"/>
      <c r="AT76" s="24"/>
      <c r="AU76" s="25"/>
      <c r="AV76" s="28"/>
      <c r="AW76" s="29"/>
      <c r="AX76" s="24"/>
      <c r="AY76" s="25"/>
      <c r="AZ76" s="28"/>
      <c r="BA76" s="29"/>
      <c r="BB76" s="24"/>
      <c r="BC76" s="25"/>
      <c r="BD76" s="28"/>
      <c r="BE76" s="29"/>
      <c r="BF76" s="24"/>
      <c r="BG76" s="25"/>
      <c r="BH76" s="28"/>
      <c r="BI76" s="29"/>
      <c r="BJ76" s="24"/>
      <c r="BK76" s="58"/>
      <c r="BL76" s="58"/>
      <c r="BM76" s="25"/>
      <c r="BN76" s="87"/>
      <c r="BO76" s="97"/>
      <c r="BP76" s="91"/>
      <c r="BQ76" s="89"/>
      <c r="BR76" s="28"/>
      <c r="BS76" s="29"/>
      <c r="BT76" s="12">
        <v>0</v>
      </c>
      <c r="BU76" s="57">
        <v>0</v>
      </c>
      <c r="BV76" s="57">
        <v>0</v>
      </c>
      <c r="BW76" s="13">
        <v>0</v>
      </c>
      <c r="BX76" s="28"/>
      <c r="BY76" s="29"/>
      <c r="BZ76" s="91"/>
      <c r="CA76" s="89"/>
      <c r="CB76" s="28"/>
      <c r="CC76" s="29"/>
      <c r="CD76" s="24"/>
      <c r="CE76" s="25"/>
      <c r="CF76" s="169"/>
      <c r="CG76" s="170"/>
      <c r="CH76" s="170"/>
      <c r="CI76" s="170"/>
      <c r="CJ76" s="88"/>
      <c r="CK76" s="92"/>
      <c r="CL76" s="14"/>
      <c r="CM76" s="15"/>
      <c r="CN76" s="88"/>
      <c r="CO76" s="92"/>
      <c r="CP76" s="14"/>
      <c r="CQ76" s="15"/>
    </row>
    <row r="77" spans="1:95" ht="23.45" customHeight="1" x14ac:dyDescent="0.55000000000000004">
      <c r="A77" s="7">
        <v>75</v>
      </c>
      <c r="B77" s="41"/>
      <c r="C77" s="31"/>
      <c r="D77" s="32"/>
      <c r="E77" s="33"/>
      <c r="F77" s="24"/>
      <c r="G77" s="25"/>
      <c r="H77" s="28"/>
      <c r="I77" s="29"/>
      <c r="J77" s="24"/>
      <c r="K77" s="25"/>
      <c r="L77" s="28"/>
      <c r="M77" s="29"/>
      <c r="N77" s="24"/>
      <c r="O77" s="25"/>
      <c r="P77" s="28"/>
      <c r="Q77" s="29"/>
      <c r="R77" s="24"/>
      <c r="S77" s="25"/>
      <c r="T77" s="28"/>
      <c r="U77" s="29"/>
      <c r="V77" s="24"/>
      <c r="W77" s="25"/>
      <c r="X77" s="28"/>
      <c r="Y77" s="29"/>
      <c r="Z77" s="24"/>
      <c r="AA77" s="25"/>
      <c r="AB77" s="28"/>
      <c r="AC77" s="29"/>
      <c r="AD77" s="24"/>
      <c r="AE77" s="25"/>
      <c r="AF77" s="28"/>
      <c r="AG77" s="29"/>
      <c r="AH77" s="24"/>
      <c r="AI77" s="25"/>
      <c r="AJ77" s="28"/>
      <c r="AK77" s="29"/>
      <c r="AL77" s="24"/>
      <c r="AM77" s="25"/>
      <c r="AN77" s="28"/>
      <c r="AO77" s="29"/>
      <c r="AP77" s="24"/>
      <c r="AQ77" s="25"/>
      <c r="AR77" s="28"/>
      <c r="AS77" s="29"/>
      <c r="AT77" s="24"/>
      <c r="AU77" s="25"/>
      <c r="AV77" s="28"/>
      <c r="AW77" s="29"/>
      <c r="AX77" s="24"/>
      <c r="AY77" s="25"/>
      <c r="AZ77" s="28"/>
      <c r="BA77" s="29"/>
      <c r="BB77" s="24"/>
      <c r="BC77" s="25"/>
      <c r="BD77" s="28"/>
      <c r="BE77" s="29"/>
      <c r="BF77" s="24"/>
      <c r="BG77" s="25"/>
      <c r="BH77" s="28"/>
      <c r="BI77" s="29"/>
      <c r="BJ77" s="24"/>
      <c r="BK77" s="58"/>
      <c r="BL77" s="58"/>
      <c r="BM77" s="25"/>
      <c r="BN77" s="87"/>
      <c r="BO77" s="97"/>
      <c r="BP77" s="91"/>
      <c r="BQ77" s="89"/>
      <c r="BR77" s="28"/>
      <c r="BS77" s="29"/>
      <c r="BT77" s="12">
        <v>0</v>
      </c>
      <c r="BU77" s="57">
        <v>0</v>
      </c>
      <c r="BV77" s="57">
        <v>0</v>
      </c>
      <c r="BW77" s="13">
        <v>0</v>
      </c>
      <c r="BX77" s="28"/>
      <c r="BY77" s="29"/>
      <c r="BZ77" s="91"/>
      <c r="CA77" s="89"/>
      <c r="CB77" s="28"/>
      <c r="CC77" s="29"/>
      <c r="CD77" s="24"/>
      <c r="CE77" s="25"/>
      <c r="CF77" s="169"/>
      <c r="CG77" s="170"/>
      <c r="CH77" s="170"/>
      <c r="CI77" s="170"/>
      <c r="CJ77" s="88"/>
      <c r="CK77" s="92"/>
      <c r="CL77" s="14"/>
      <c r="CM77" s="15"/>
      <c r="CN77" s="88"/>
      <c r="CO77" s="92"/>
      <c r="CP77" s="14"/>
      <c r="CQ77" s="15"/>
    </row>
    <row r="78" spans="1:95" ht="23.45" customHeight="1" x14ac:dyDescent="0.55000000000000004">
      <c r="A78" s="7">
        <v>76</v>
      </c>
      <c r="B78" s="41"/>
      <c r="C78" s="31"/>
      <c r="D78" s="32"/>
      <c r="E78" s="33"/>
      <c r="F78" s="24"/>
      <c r="G78" s="25"/>
      <c r="H78" s="28"/>
      <c r="I78" s="29"/>
      <c r="J78" s="24"/>
      <c r="K78" s="25"/>
      <c r="L78" s="28"/>
      <c r="M78" s="29"/>
      <c r="N78" s="24"/>
      <c r="O78" s="25"/>
      <c r="P78" s="28"/>
      <c r="Q78" s="29"/>
      <c r="R78" s="24"/>
      <c r="S78" s="25"/>
      <c r="T78" s="28"/>
      <c r="U78" s="29"/>
      <c r="V78" s="24"/>
      <c r="W78" s="25"/>
      <c r="X78" s="28"/>
      <c r="Y78" s="29"/>
      <c r="Z78" s="24"/>
      <c r="AA78" s="25"/>
      <c r="AB78" s="28"/>
      <c r="AC78" s="29"/>
      <c r="AD78" s="24"/>
      <c r="AE78" s="25"/>
      <c r="AF78" s="28"/>
      <c r="AG78" s="29"/>
      <c r="AH78" s="24"/>
      <c r="AI78" s="25"/>
      <c r="AJ78" s="28"/>
      <c r="AK78" s="29"/>
      <c r="AL78" s="24"/>
      <c r="AM78" s="25"/>
      <c r="AN78" s="28"/>
      <c r="AO78" s="29"/>
      <c r="AP78" s="24"/>
      <c r="AQ78" s="25"/>
      <c r="AR78" s="28"/>
      <c r="AS78" s="29"/>
      <c r="AT78" s="24"/>
      <c r="AU78" s="25"/>
      <c r="AV78" s="28"/>
      <c r="AW78" s="29"/>
      <c r="AX78" s="24"/>
      <c r="AY78" s="25"/>
      <c r="AZ78" s="28"/>
      <c r="BA78" s="29"/>
      <c r="BB78" s="24"/>
      <c r="BC78" s="25"/>
      <c r="BD78" s="28"/>
      <c r="BE78" s="29"/>
      <c r="BF78" s="24"/>
      <c r="BG78" s="25"/>
      <c r="BH78" s="28"/>
      <c r="BI78" s="29"/>
      <c r="BJ78" s="24"/>
      <c r="BK78" s="58"/>
      <c r="BL78" s="58"/>
      <c r="BM78" s="25"/>
      <c r="BN78" s="87"/>
      <c r="BO78" s="97"/>
      <c r="BP78" s="91"/>
      <c r="BQ78" s="89"/>
      <c r="BR78" s="28"/>
      <c r="BS78" s="29"/>
      <c r="BT78" s="12">
        <v>0</v>
      </c>
      <c r="BU78" s="57">
        <v>0</v>
      </c>
      <c r="BV78" s="57">
        <v>0</v>
      </c>
      <c r="BW78" s="13">
        <v>0</v>
      </c>
      <c r="BX78" s="28"/>
      <c r="BY78" s="29"/>
      <c r="BZ78" s="91"/>
      <c r="CA78" s="89"/>
      <c r="CB78" s="28"/>
      <c r="CC78" s="29"/>
      <c r="CD78" s="24"/>
      <c r="CE78" s="25"/>
      <c r="CF78" s="169"/>
      <c r="CG78" s="170"/>
      <c r="CH78" s="170"/>
      <c r="CI78" s="170"/>
      <c r="CJ78" s="88"/>
      <c r="CK78" s="92"/>
      <c r="CL78" s="14"/>
      <c r="CM78" s="15"/>
      <c r="CN78" s="88"/>
      <c r="CO78" s="92"/>
      <c r="CP78" s="14"/>
      <c r="CQ78" s="15"/>
    </row>
    <row r="79" spans="1:95" ht="23.45" customHeight="1" x14ac:dyDescent="0.55000000000000004">
      <c r="A79" s="7">
        <v>77</v>
      </c>
      <c r="B79" s="41"/>
      <c r="C79" s="31"/>
      <c r="D79" s="32"/>
      <c r="E79" s="33"/>
      <c r="F79" s="24"/>
      <c r="G79" s="25"/>
      <c r="H79" s="28"/>
      <c r="I79" s="29"/>
      <c r="J79" s="24"/>
      <c r="K79" s="25"/>
      <c r="L79" s="28"/>
      <c r="M79" s="29"/>
      <c r="N79" s="24"/>
      <c r="O79" s="25"/>
      <c r="P79" s="28"/>
      <c r="Q79" s="29"/>
      <c r="R79" s="24"/>
      <c r="S79" s="25"/>
      <c r="T79" s="28"/>
      <c r="U79" s="29"/>
      <c r="V79" s="24"/>
      <c r="W79" s="25"/>
      <c r="X79" s="28"/>
      <c r="Y79" s="29"/>
      <c r="Z79" s="24"/>
      <c r="AA79" s="25"/>
      <c r="AB79" s="28"/>
      <c r="AC79" s="29"/>
      <c r="AD79" s="24"/>
      <c r="AE79" s="25"/>
      <c r="AF79" s="28"/>
      <c r="AG79" s="29"/>
      <c r="AH79" s="24"/>
      <c r="AI79" s="25"/>
      <c r="AJ79" s="28"/>
      <c r="AK79" s="29"/>
      <c r="AL79" s="24"/>
      <c r="AM79" s="25"/>
      <c r="AN79" s="28"/>
      <c r="AO79" s="29"/>
      <c r="AP79" s="24"/>
      <c r="AQ79" s="25"/>
      <c r="AR79" s="28"/>
      <c r="AS79" s="29"/>
      <c r="AT79" s="24"/>
      <c r="AU79" s="25"/>
      <c r="AV79" s="28"/>
      <c r="AW79" s="29"/>
      <c r="AX79" s="24"/>
      <c r="AY79" s="25"/>
      <c r="AZ79" s="28"/>
      <c r="BA79" s="29"/>
      <c r="BB79" s="24"/>
      <c r="BC79" s="25"/>
      <c r="BD79" s="28"/>
      <c r="BE79" s="29"/>
      <c r="BF79" s="24"/>
      <c r="BG79" s="25"/>
      <c r="BH79" s="28"/>
      <c r="BI79" s="29"/>
      <c r="BJ79" s="24"/>
      <c r="BK79" s="58"/>
      <c r="BL79" s="58"/>
      <c r="BM79" s="25"/>
      <c r="BN79" s="87"/>
      <c r="BO79" s="97"/>
      <c r="BP79" s="91"/>
      <c r="BQ79" s="89"/>
      <c r="BR79" s="28"/>
      <c r="BS79" s="29"/>
      <c r="BT79" s="12">
        <v>0</v>
      </c>
      <c r="BU79" s="57">
        <v>0</v>
      </c>
      <c r="BV79" s="57">
        <v>0</v>
      </c>
      <c r="BW79" s="13">
        <v>0</v>
      </c>
      <c r="BX79" s="28"/>
      <c r="BY79" s="29"/>
      <c r="BZ79" s="91"/>
      <c r="CA79" s="89"/>
      <c r="CB79" s="28"/>
      <c r="CC79" s="29"/>
      <c r="CD79" s="24"/>
      <c r="CE79" s="25"/>
      <c r="CF79" s="169"/>
      <c r="CG79" s="170"/>
      <c r="CH79" s="170"/>
      <c r="CI79" s="170"/>
      <c r="CJ79" s="88"/>
      <c r="CK79" s="92"/>
      <c r="CL79" s="14"/>
      <c r="CM79" s="15"/>
      <c r="CN79" s="88"/>
      <c r="CO79" s="92"/>
      <c r="CP79" s="14"/>
      <c r="CQ79" s="15"/>
    </row>
    <row r="80" spans="1:95" ht="23.45" customHeight="1" x14ac:dyDescent="0.55000000000000004">
      <c r="A80" s="7">
        <v>78</v>
      </c>
      <c r="B80" s="41"/>
      <c r="C80" s="31"/>
      <c r="D80" s="32"/>
      <c r="E80" s="33"/>
      <c r="F80" s="24"/>
      <c r="G80" s="25"/>
      <c r="H80" s="28"/>
      <c r="I80" s="29"/>
      <c r="J80" s="24"/>
      <c r="K80" s="25"/>
      <c r="L80" s="28"/>
      <c r="M80" s="29"/>
      <c r="N80" s="24"/>
      <c r="O80" s="25"/>
      <c r="P80" s="28"/>
      <c r="Q80" s="29"/>
      <c r="R80" s="24"/>
      <c r="S80" s="25"/>
      <c r="T80" s="28"/>
      <c r="U80" s="29"/>
      <c r="V80" s="24"/>
      <c r="W80" s="25"/>
      <c r="X80" s="28"/>
      <c r="Y80" s="29"/>
      <c r="Z80" s="24"/>
      <c r="AA80" s="25"/>
      <c r="AB80" s="28"/>
      <c r="AC80" s="29"/>
      <c r="AD80" s="24"/>
      <c r="AE80" s="25"/>
      <c r="AF80" s="28"/>
      <c r="AG80" s="29"/>
      <c r="AH80" s="24"/>
      <c r="AI80" s="25"/>
      <c r="AJ80" s="28"/>
      <c r="AK80" s="29"/>
      <c r="AL80" s="24"/>
      <c r="AM80" s="25"/>
      <c r="AN80" s="28"/>
      <c r="AO80" s="29"/>
      <c r="AP80" s="24"/>
      <c r="AQ80" s="25"/>
      <c r="AR80" s="28"/>
      <c r="AS80" s="29"/>
      <c r="AT80" s="24"/>
      <c r="AU80" s="25"/>
      <c r="AV80" s="28"/>
      <c r="AW80" s="29"/>
      <c r="AX80" s="24"/>
      <c r="AY80" s="25"/>
      <c r="AZ80" s="28"/>
      <c r="BA80" s="29"/>
      <c r="BB80" s="24"/>
      <c r="BC80" s="25"/>
      <c r="BD80" s="28"/>
      <c r="BE80" s="29"/>
      <c r="BF80" s="24"/>
      <c r="BG80" s="25"/>
      <c r="BH80" s="28"/>
      <c r="BI80" s="29"/>
      <c r="BJ80" s="24"/>
      <c r="BK80" s="58"/>
      <c r="BL80" s="58"/>
      <c r="BM80" s="25"/>
      <c r="BN80" s="87"/>
      <c r="BO80" s="97"/>
      <c r="BP80" s="91"/>
      <c r="BQ80" s="89"/>
      <c r="BR80" s="28"/>
      <c r="BS80" s="29"/>
      <c r="BT80" s="12">
        <v>2288</v>
      </c>
      <c r="BU80" s="57">
        <v>2612</v>
      </c>
      <c r="BV80" s="57">
        <v>2864</v>
      </c>
      <c r="BW80" s="13">
        <v>3170</v>
      </c>
      <c r="BX80" s="28">
        <v>3800</v>
      </c>
      <c r="BY80" s="29">
        <v>3560</v>
      </c>
      <c r="BZ80" s="91"/>
      <c r="CA80" s="89"/>
      <c r="CB80" s="28"/>
      <c r="CC80" s="29"/>
      <c r="CD80" s="24"/>
      <c r="CE80" s="25"/>
      <c r="CF80" s="169"/>
      <c r="CG80" s="170"/>
      <c r="CH80" s="170"/>
      <c r="CI80" s="170"/>
      <c r="CJ80" s="88"/>
      <c r="CK80" s="92"/>
      <c r="CL80" s="14"/>
      <c r="CM80" s="15"/>
      <c r="CN80" s="88"/>
      <c r="CO80" s="92"/>
      <c r="CP80" s="14"/>
      <c r="CQ80" s="15"/>
    </row>
    <row r="81" spans="1:95" ht="23.45" customHeight="1" x14ac:dyDescent="0.55000000000000004">
      <c r="A81" s="7">
        <v>79</v>
      </c>
      <c r="B81" s="41"/>
      <c r="C81" s="31"/>
      <c r="D81" s="32"/>
      <c r="E81" s="33"/>
      <c r="F81" s="24"/>
      <c r="G81" s="25"/>
      <c r="H81" s="28"/>
      <c r="I81" s="29"/>
      <c r="J81" s="24"/>
      <c r="K81" s="25"/>
      <c r="L81" s="28"/>
      <c r="M81" s="29"/>
      <c r="N81" s="24"/>
      <c r="O81" s="25"/>
      <c r="P81" s="28"/>
      <c r="Q81" s="29"/>
      <c r="R81" s="24"/>
      <c r="S81" s="25"/>
      <c r="T81" s="28"/>
      <c r="U81" s="29"/>
      <c r="V81" s="24"/>
      <c r="W81" s="25"/>
      <c r="X81" s="28"/>
      <c r="Y81" s="29"/>
      <c r="Z81" s="24"/>
      <c r="AA81" s="25"/>
      <c r="AB81" s="28"/>
      <c r="AC81" s="29"/>
      <c r="AD81" s="24"/>
      <c r="AE81" s="25"/>
      <c r="AF81" s="28"/>
      <c r="AG81" s="29"/>
      <c r="AH81" s="24"/>
      <c r="AI81" s="25"/>
      <c r="AJ81" s="28"/>
      <c r="AK81" s="29"/>
      <c r="AL81" s="24"/>
      <c r="AM81" s="25"/>
      <c r="AN81" s="28"/>
      <c r="AO81" s="29"/>
      <c r="AP81" s="24"/>
      <c r="AQ81" s="25"/>
      <c r="AR81" s="28"/>
      <c r="AS81" s="29"/>
      <c r="AT81" s="24"/>
      <c r="AU81" s="25"/>
      <c r="AV81" s="28"/>
      <c r="AW81" s="29"/>
      <c r="AX81" s="24"/>
      <c r="AY81" s="25"/>
      <c r="AZ81" s="28"/>
      <c r="BA81" s="29"/>
      <c r="BB81" s="24"/>
      <c r="BC81" s="25"/>
      <c r="BD81" s="28"/>
      <c r="BE81" s="29"/>
      <c r="BF81" s="24"/>
      <c r="BG81" s="25"/>
      <c r="BH81" s="28"/>
      <c r="BI81" s="29"/>
      <c r="BJ81" s="24"/>
      <c r="BK81" s="58"/>
      <c r="BL81" s="58"/>
      <c r="BM81" s="25"/>
      <c r="BN81" s="87"/>
      <c r="BO81" s="97"/>
      <c r="BP81" s="91"/>
      <c r="BQ81" s="89"/>
      <c r="BR81" s="28"/>
      <c r="BS81" s="29"/>
      <c r="BT81" s="12">
        <v>2270</v>
      </c>
      <c r="BU81" s="57">
        <v>2600</v>
      </c>
      <c r="BV81" s="57">
        <v>2860</v>
      </c>
      <c r="BW81" s="13">
        <v>3160</v>
      </c>
      <c r="BX81" s="28">
        <v>3840</v>
      </c>
      <c r="BY81" s="29">
        <v>3700</v>
      </c>
      <c r="BZ81" s="91"/>
      <c r="CA81" s="89"/>
      <c r="CB81" s="28"/>
      <c r="CC81" s="29"/>
      <c r="CD81" s="24"/>
      <c r="CE81" s="25"/>
      <c r="CF81" s="169"/>
      <c r="CG81" s="170"/>
      <c r="CH81" s="170"/>
      <c r="CI81" s="170"/>
      <c r="CJ81" s="88"/>
      <c r="CK81" s="92"/>
      <c r="CL81" s="14"/>
      <c r="CM81" s="15"/>
      <c r="CN81" s="88"/>
      <c r="CO81" s="92"/>
      <c r="CP81" s="14"/>
      <c r="CQ81" s="15"/>
    </row>
    <row r="82" spans="1:95" ht="23.45" customHeight="1" x14ac:dyDescent="0.55000000000000004">
      <c r="A82" s="7">
        <v>80</v>
      </c>
      <c r="B82" s="41"/>
      <c r="C82" s="31"/>
      <c r="D82" s="32"/>
      <c r="E82" s="33"/>
      <c r="F82" s="24"/>
      <c r="G82" s="25"/>
      <c r="H82" s="28"/>
      <c r="I82" s="29"/>
      <c r="J82" s="24"/>
      <c r="K82" s="25"/>
      <c r="L82" s="28"/>
      <c r="M82" s="29"/>
      <c r="N82" s="24"/>
      <c r="O82" s="25"/>
      <c r="P82" s="28"/>
      <c r="Q82" s="29"/>
      <c r="R82" s="24"/>
      <c r="S82" s="25"/>
      <c r="T82" s="28"/>
      <c r="U82" s="29"/>
      <c r="V82" s="24"/>
      <c r="W82" s="25"/>
      <c r="X82" s="28"/>
      <c r="Y82" s="29"/>
      <c r="Z82" s="24"/>
      <c r="AA82" s="25"/>
      <c r="AB82" s="28"/>
      <c r="AC82" s="29"/>
      <c r="AD82" s="24"/>
      <c r="AE82" s="25"/>
      <c r="AF82" s="28"/>
      <c r="AG82" s="29"/>
      <c r="AH82" s="24"/>
      <c r="AI82" s="25"/>
      <c r="AJ82" s="28"/>
      <c r="AK82" s="29"/>
      <c r="AL82" s="24"/>
      <c r="AM82" s="25"/>
      <c r="AN82" s="28"/>
      <c r="AO82" s="29"/>
      <c r="AP82" s="24"/>
      <c r="AQ82" s="25"/>
      <c r="AR82" s="28"/>
      <c r="AS82" s="29"/>
      <c r="AT82" s="24"/>
      <c r="AU82" s="25"/>
      <c r="AV82" s="28"/>
      <c r="AW82" s="29"/>
      <c r="AX82" s="24"/>
      <c r="AY82" s="25"/>
      <c r="AZ82" s="28"/>
      <c r="BA82" s="29"/>
      <c r="BB82" s="24"/>
      <c r="BC82" s="25"/>
      <c r="BD82" s="28"/>
      <c r="BE82" s="29"/>
      <c r="BF82" s="24"/>
      <c r="BG82" s="25"/>
      <c r="BH82" s="28"/>
      <c r="BI82" s="29"/>
      <c r="BJ82" s="24"/>
      <c r="BK82" s="58"/>
      <c r="BL82" s="58"/>
      <c r="BM82" s="25"/>
      <c r="BN82" s="87"/>
      <c r="BO82" s="97"/>
      <c r="BP82" s="91"/>
      <c r="BQ82" s="89"/>
      <c r="BR82" s="28"/>
      <c r="BS82" s="29"/>
      <c r="BT82" s="12">
        <v>2224</v>
      </c>
      <c r="BU82" s="57">
        <v>3040</v>
      </c>
      <c r="BV82" s="57">
        <v>3440</v>
      </c>
      <c r="BW82" s="13">
        <v>3504</v>
      </c>
      <c r="BX82" s="28">
        <v>3960</v>
      </c>
      <c r="BY82" s="29">
        <v>4100</v>
      </c>
      <c r="BZ82" s="91"/>
      <c r="CA82" s="89"/>
      <c r="CB82" s="28"/>
      <c r="CC82" s="29"/>
      <c r="CD82" s="24"/>
      <c r="CE82" s="25"/>
      <c r="CF82" s="169"/>
      <c r="CG82" s="170"/>
      <c r="CH82" s="170"/>
      <c r="CI82" s="170"/>
      <c r="CJ82" s="88"/>
      <c r="CK82" s="92"/>
      <c r="CL82" s="14"/>
      <c r="CM82" s="15"/>
      <c r="CN82" s="88"/>
      <c r="CO82" s="92"/>
      <c r="CP82" s="14"/>
      <c r="CQ82" s="15"/>
    </row>
    <row r="83" spans="1:95" ht="23.45" customHeight="1" x14ac:dyDescent="0.55000000000000004">
      <c r="A83" s="7">
        <v>81</v>
      </c>
      <c r="B83" s="41"/>
      <c r="C83" s="31"/>
      <c r="D83" s="32"/>
      <c r="E83" s="33"/>
      <c r="F83" s="24"/>
      <c r="G83" s="25"/>
      <c r="H83" s="28"/>
      <c r="I83" s="29"/>
      <c r="J83" s="24"/>
      <c r="K83" s="25"/>
      <c r="L83" s="28"/>
      <c r="M83" s="29"/>
      <c r="N83" s="24"/>
      <c r="O83" s="25"/>
      <c r="P83" s="28"/>
      <c r="Q83" s="29"/>
      <c r="R83" s="24"/>
      <c r="S83" s="25"/>
      <c r="T83" s="28"/>
      <c r="U83" s="29"/>
      <c r="V83" s="24"/>
      <c r="W83" s="25"/>
      <c r="X83" s="28"/>
      <c r="Y83" s="29"/>
      <c r="Z83" s="24"/>
      <c r="AA83" s="25"/>
      <c r="AB83" s="28"/>
      <c r="AC83" s="29"/>
      <c r="AD83" s="24"/>
      <c r="AE83" s="25"/>
      <c r="AF83" s="28"/>
      <c r="AG83" s="29"/>
      <c r="AH83" s="24"/>
      <c r="AI83" s="25"/>
      <c r="AJ83" s="28"/>
      <c r="AK83" s="29"/>
      <c r="AL83" s="24"/>
      <c r="AM83" s="25"/>
      <c r="AN83" s="28"/>
      <c r="AO83" s="29"/>
      <c r="AP83" s="24"/>
      <c r="AQ83" s="25"/>
      <c r="AR83" s="28"/>
      <c r="AS83" s="29"/>
      <c r="AT83" s="24"/>
      <c r="AU83" s="25"/>
      <c r="AV83" s="28"/>
      <c r="AW83" s="29"/>
      <c r="AX83" s="24"/>
      <c r="AY83" s="25"/>
      <c r="AZ83" s="28"/>
      <c r="BA83" s="29"/>
      <c r="BB83" s="24"/>
      <c r="BC83" s="25"/>
      <c r="BD83" s="28"/>
      <c r="BE83" s="29"/>
      <c r="BF83" s="24"/>
      <c r="BG83" s="25"/>
      <c r="BH83" s="28"/>
      <c r="BI83" s="29"/>
      <c r="BJ83" s="24"/>
      <c r="BK83" s="58"/>
      <c r="BL83" s="58"/>
      <c r="BM83" s="25"/>
      <c r="BN83" s="87"/>
      <c r="BO83" s="97"/>
      <c r="BP83" s="91"/>
      <c r="BQ83" s="89"/>
      <c r="BR83" s="28"/>
      <c r="BS83" s="29"/>
      <c r="BT83" s="12">
        <v>2288</v>
      </c>
      <c r="BU83" s="57">
        <v>2600</v>
      </c>
      <c r="BV83" s="57">
        <v>2860</v>
      </c>
      <c r="BW83" s="13">
        <v>3160</v>
      </c>
      <c r="BX83" s="28">
        <v>3600</v>
      </c>
      <c r="BY83" s="29">
        <v>3480</v>
      </c>
      <c r="BZ83" s="91"/>
      <c r="CA83" s="89"/>
      <c r="CB83" s="28"/>
      <c r="CC83" s="29"/>
      <c r="CD83" s="24"/>
      <c r="CE83" s="25"/>
      <c r="CF83" s="169"/>
      <c r="CG83" s="170"/>
      <c r="CH83" s="170"/>
      <c r="CI83" s="170"/>
      <c r="CJ83" s="88"/>
      <c r="CK83" s="92"/>
      <c r="CL83" s="14"/>
      <c r="CM83" s="15"/>
      <c r="CN83" s="88"/>
      <c r="CO83" s="92"/>
      <c r="CP83" s="14"/>
      <c r="CQ83" s="15"/>
    </row>
    <row r="84" spans="1:95" ht="23.45" customHeight="1" x14ac:dyDescent="0.55000000000000004">
      <c r="A84" s="7">
        <v>82</v>
      </c>
      <c r="B84" s="41"/>
      <c r="C84" s="31"/>
      <c r="D84" s="32"/>
      <c r="E84" s="33"/>
      <c r="F84" s="24"/>
      <c r="G84" s="25"/>
      <c r="H84" s="28"/>
      <c r="I84" s="29"/>
      <c r="J84" s="24"/>
      <c r="K84" s="25"/>
      <c r="L84" s="28"/>
      <c r="M84" s="29"/>
      <c r="N84" s="24"/>
      <c r="O84" s="25"/>
      <c r="P84" s="28"/>
      <c r="Q84" s="29"/>
      <c r="R84" s="24"/>
      <c r="S84" s="25"/>
      <c r="T84" s="28"/>
      <c r="U84" s="29"/>
      <c r="V84" s="24"/>
      <c r="W84" s="25"/>
      <c r="X84" s="28"/>
      <c r="Y84" s="29"/>
      <c r="Z84" s="24"/>
      <c r="AA84" s="25"/>
      <c r="AB84" s="28"/>
      <c r="AC84" s="29"/>
      <c r="AD84" s="24"/>
      <c r="AE84" s="25"/>
      <c r="AF84" s="28"/>
      <c r="AG84" s="29"/>
      <c r="AH84" s="24"/>
      <c r="AI84" s="25"/>
      <c r="AJ84" s="28"/>
      <c r="AK84" s="29"/>
      <c r="AL84" s="24"/>
      <c r="AM84" s="25"/>
      <c r="AN84" s="28"/>
      <c r="AO84" s="29"/>
      <c r="AP84" s="24"/>
      <c r="AQ84" s="25"/>
      <c r="AR84" s="28"/>
      <c r="AS84" s="29"/>
      <c r="AT84" s="24"/>
      <c r="AU84" s="25"/>
      <c r="AV84" s="28"/>
      <c r="AW84" s="29"/>
      <c r="AX84" s="24"/>
      <c r="AY84" s="25"/>
      <c r="AZ84" s="28"/>
      <c r="BA84" s="29"/>
      <c r="BB84" s="24"/>
      <c r="BC84" s="25"/>
      <c r="BD84" s="28"/>
      <c r="BE84" s="29"/>
      <c r="BF84" s="24"/>
      <c r="BG84" s="25"/>
      <c r="BH84" s="28"/>
      <c r="BI84" s="29"/>
      <c r="BJ84" s="24"/>
      <c r="BK84" s="58"/>
      <c r="BL84" s="58"/>
      <c r="BM84" s="25"/>
      <c r="BN84" s="87"/>
      <c r="BO84" s="97"/>
      <c r="BP84" s="91"/>
      <c r="BQ84" s="89"/>
      <c r="BR84" s="28"/>
      <c r="BS84" s="29"/>
      <c r="BT84" s="12">
        <v>2198</v>
      </c>
      <c r="BU84" s="57">
        <v>2720</v>
      </c>
      <c r="BV84" s="57">
        <v>3026</v>
      </c>
      <c r="BW84" s="13">
        <v>3422</v>
      </c>
      <c r="BX84" s="28">
        <v>3600</v>
      </c>
      <c r="BY84" s="29">
        <v>3500</v>
      </c>
      <c r="BZ84" s="91"/>
      <c r="CA84" s="89"/>
      <c r="CB84" s="28"/>
      <c r="CC84" s="29"/>
      <c r="CD84" s="24"/>
      <c r="CE84" s="25"/>
      <c r="CF84" s="169"/>
      <c r="CG84" s="170"/>
      <c r="CH84" s="170"/>
      <c r="CI84" s="170"/>
      <c r="CJ84" s="88"/>
      <c r="CK84" s="92"/>
      <c r="CL84" s="14"/>
      <c r="CM84" s="15"/>
      <c r="CN84" s="88"/>
      <c r="CO84" s="92"/>
      <c r="CP84" s="14"/>
      <c r="CQ84" s="15"/>
    </row>
    <row r="85" spans="1:95" ht="23.45" customHeight="1" x14ac:dyDescent="0.55000000000000004">
      <c r="A85" s="7">
        <v>83</v>
      </c>
      <c r="B85" s="41"/>
      <c r="C85" s="31"/>
      <c r="D85" s="32"/>
      <c r="E85" s="33"/>
      <c r="F85" s="24"/>
      <c r="G85" s="25"/>
      <c r="H85" s="28"/>
      <c r="I85" s="29"/>
      <c r="J85" s="24"/>
      <c r="K85" s="25"/>
      <c r="L85" s="28"/>
      <c r="M85" s="29"/>
      <c r="N85" s="24"/>
      <c r="O85" s="25"/>
      <c r="P85" s="28"/>
      <c r="Q85" s="29"/>
      <c r="R85" s="24"/>
      <c r="S85" s="25"/>
      <c r="T85" s="28"/>
      <c r="U85" s="29"/>
      <c r="V85" s="24"/>
      <c r="W85" s="25"/>
      <c r="X85" s="28"/>
      <c r="Y85" s="29"/>
      <c r="Z85" s="24"/>
      <c r="AA85" s="25"/>
      <c r="AB85" s="28"/>
      <c r="AC85" s="29"/>
      <c r="AD85" s="24"/>
      <c r="AE85" s="25"/>
      <c r="AF85" s="28"/>
      <c r="AG85" s="29"/>
      <c r="AH85" s="24"/>
      <c r="AI85" s="25"/>
      <c r="AJ85" s="28"/>
      <c r="AK85" s="29"/>
      <c r="AL85" s="24"/>
      <c r="AM85" s="25"/>
      <c r="AN85" s="28"/>
      <c r="AO85" s="29"/>
      <c r="AP85" s="24"/>
      <c r="AQ85" s="25"/>
      <c r="AR85" s="28"/>
      <c r="AS85" s="29"/>
      <c r="AT85" s="24"/>
      <c r="AU85" s="25"/>
      <c r="AV85" s="28"/>
      <c r="AW85" s="29"/>
      <c r="AX85" s="24"/>
      <c r="AY85" s="25"/>
      <c r="AZ85" s="28"/>
      <c r="BA85" s="29"/>
      <c r="BB85" s="24"/>
      <c r="BC85" s="25"/>
      <c r="BD85" s="28"/>
      <c r="BE85" s="29"/>
      <c r="BF85" s="24"/>
      <c r="BG85" s="25"/>
      <c r="BH85" s="28"/>
      <c r="BI85" s="29"/>
      <c r="BJ85" s="24"/>
      <c r="BK85" s="58"/>
      <c r="BL85" s="58"/>
      <c r="BM85" s="25"/>
      <c r="BN85" s="87"/>
      <c r="BO85" s="97"/>
      <c r="BP85" s="91"/>
      <c r="BQ85" s="89"/>
      <c r="BR85" s="28"/>
      <c r="BS85" s="29"/>
      <c r="BT85" s="12">
        <v>0</v>
      </c>
      <c r="BU85" s="57">
        <v>0</v>
      </c>
      <c r="BV85" s="57">
        <v>0</v>
      </c>
      <c r="BW85" s="13">
        <v>0</v>
      </c>
      <c r="BX85" s="28"/>
      <c r="BY85" s="29"/>
      <c r="BZ85" s="91"/>
      <c r="CA85" s="89"/>
      <c r="CB85" s="28"/>
      <c r="CC85" s="29"/>
      <c r="CD85" s="24"/>
      <c r="CE85" s="25"/>
      <c r="CF85" s="169"/>
      <c r="CG85" s="170"/>
      <c r="CH85" s="170"/>
      <c r="CI85" s="170"/>
      <c r="CJ85" s="88"/>
      <c r="CK85" s="92"/>
      <c r="CL85" s="14"/>
      <c r="CM85" s="15"/>
      <c r="CN85" s="88"/>
      <c r="CO85" s="92"/>
      <c r="CP85" s="14"/>
      <c r="CQ85" s="15"/>
    </row>
    <row r="86" spans="1:95" ht="23.45" customHeight="1" x14ac:dyDescent="0.55000000000000004">
      <c r="A86" s="7">
        <v>84</v>
      </c>
      <c r="B86" s="41"/>
      <c r="C86" s="31"/>
      <c r="D86" s="32"/>
      <c r="E86" s="33"/>
      <c r="F86" s="24"/>
      <c r="G86" s="25"/>
      <c r="H86" s="28"/>
      <c r="I86" s="29"/>
      <c r="J86" s="24"/>
      <c r="K86" s="25"/>
      <c r="L86" s="28"/>
      <c r="M86" s="29"/>
      <c r="N86" s="24"/>
      <c r="O86" s="25"/>
      <c r="P86" s="28"/>
      <c r="Q86" s="29"/>
      <c r="R86" s="24"/>
      <c r="S86" s="25"/>
      <c r="T86" s="28"/>
      <c r="U86" s="29"/>
      <c r="V86" s="24"/>
      <c r="W86" s="25"/>
      <c r="X86" s="28"/>
      <c r="Y86" s="29"/>
      <c r="Z86" s="24"/>
      <c r="AA86" s="25"/>
      <c r="AB86" s="28"/>
      <c r="AC86" s="29"/>
      <c r="AD86" s="24"/>
      <c r="AE86" s="25"/>
      <c r="AF86" s="28"/>
      <c r="AG86" s="29"/>
      <c r="AH86" s="24"/>
      <c r="AI86" s="25"/>
      <c r="AJ86" s="28"/>
      <c r="AK86" s="29"/>
      <c r="AL86" s="24"/>
      <c r="AM86" s="25"/>
      <c r="AN86" s="28"/>
      <c r="AO86" s="29"/>
      <c r="AP86" s="24"/>
      <c r="AQ86" s="25"/>
      <c r="AR86" s="28"/>
      <c r="AS86" s="29"/>
      <c r="AT86" s="24"/>
      <c r="AU86" s="25"/>
      <c r="AV86" s="28"/>
      <c r="AW86" s="29"/>
      <c r="AX86" s="24"/>
      <c r="AY86" s="25"/>
      <c r="AZ86" s="28"/>
      <c r="BA86" s="29"/>
      <c r="BB86" s="24"/>
      <c r="BC86" s="25"/>
      <c r="BD86" s="28"/>
      <c r="BE86" s="29"/>
      <c r="BF86" s="24"/>
      <c r="BG86" s="25"/>
      <c r="BH86" s="28"/>
      <c r="BI86" s="29"/>
      <c r="BJ86" s="24"/>
      <c r="BK86" s="58"/>
      <c r="BL86" s="58"/>
      <c r="BM86" s="25"/>
      <c r="BN86" s="87"/>
      <c r="BO86" s="97"/>
      <c r="BP86" s="91"/>
      <c r="BQ86" s="89"/>
      <c r="BR86" s="28"/>
      <c r="BS86" s="29"/>
      <c r="BT86" s="12">
        <v>0</v>
      </c>
      <c r="BU86" s="57">
        <v>0</v>
      </c>
      <c r="BV86" s="57">
        <v>0</v>
      </c>
      <c r="BW86" s="13">
        <v>0</v>
      </c>
      <c r="BX86" s="28"/>
      <c r="BY86" s="29"/>
      <c r="BZ86" s="91"/>
      <c r="CA86" s="89"/>
      <c r="CB86" s="28"/>
      <c r="CC86" s="29"/>
      <c r="CD86" s="24"/>
      <c r="CE86" s="25"/>
      <c r="CF86" s="169"/>
      <c r="CG86" s="170"/>
      <c r="CH86" s="170"/>
      <c r="CI86" s="170"/>
      <c r="CJ86" s="88"/>
      <c r="CK86" s="92"/>
      <c r="CL86" s="14"/>
      <c r="CM86" s="15"/>
      <c r="CN86" s="88"/>
      <c r="CO86" s="92"/>
      <c r="CP86" s="14"/>
      <c r="CQ86" s="15"/>
    </row>
    <row r="87" spans="1:95" ht="23.45" customHeight="1" x14ac:dyDescent="0.55000000000000004">
      <c r="A87" s="7">
        <v>85</v>
      </c>
      <c r="B87" s="41"/>
      <c r="C87" s="31"/>
      <c r="D87" s="32"/>
      <c r="E87" s="33"/>
      <c r="F87" s="24"/>
      <c r="G87" s="25"/>
      <c r="H87" s="28"/>
      <c r="I87" s="29"/>
      <c r="J87" s="24"/>
      <c r="K87" s="25"/>
      <c r="L87" s="28"/>
      <c r="M87" s="29"/>
      <c r="N87" s="24"/>
      <c r="O87" s="25"/>
      <c r="P87" s="28"/>
      <c r="Q87" s="29"/>
      <c r="R87" s="24"/>
      <c r="S87" s="25"/>
      <c r="T87" s="28"/>
      <c r="U87" s="29"/>
      <c r="V87" s="24"/>
      <c r="W87" s="25"/>
      <c r="X87" s="28"/>
      <c r="Y87" s="29"/>
      <c r="Z87" s="24"/>
      <c r="AA87" s="25"/>
      <c r="AB87" s="28"/>
      <c r="AC87" s="29"/>
      <c r="AD87" s="24"/>
      <c r="AE87" s="25"/>
      <c r="AF87" s="28"/>
      <c r="AG87" s="29"/>
      <c r="AH87" s="24"/>
      <c r="AI87" s="25"/>
      <c r="AJ87" s="28"/>
      <c r="AK87" s="29"/>
      <c r="AL87" s="24"/>
      <c r="AM87" s="25"/>
      <c r="AN87" s="28"/>
      <c r="AO87" s="29"/>
      <c r="AP87" s="24"/>
      <c r="AQ87" s="25"/>
      <c r="AR87" s="28"/>
      <c r="AS87" s="29"/>
      <c r="AT87" s="24"/>
      <c r="AU87" s="25"/>
      <c r="AV87" s="28"/>
      <c r="AW87" s="29"/>
      <c r="AX87" s="24"/>
      <c r="AY87" s="25"/>
      <c r="AZ87" s="28"/>
      <c r="BA87" s="29"/>
      <c r="BB87" s="24"/>
      <c r="BC87" s="25"/>
      <c r="BD87" s="28"/>
      <c r="BE87" s="29"/>
      <c r="BF87" s="24"/>
      <c r="BG87" s="25"/>
      <c r="BH87" s="28"/>
      <c r="BI87" s="29"/>
      <c r="BJ87" s="24"/>
      <c r="BK87" s="58"/>
      <c r="BL87" s="58"/>
      <c r="BM87" s="25"/>
      <c r="BN87" s="87"/>
      <c r="BO87" s="97"/>
      <c r="BP87" s="91"/>
      <c r="BQ87" s="89"/>
      <c r="BR87" s="28"/>
      <c r="BS87" s="29"/>
      <c r="BT87" s="12">
        <v>0</v>
      </c>
      <c r="BU87" s="57">
        <v>0</v>
      </c>
      <c r="BV87" s="57">
        <v>0</v>
      </c>
      <c r="BW87" s="13">
        <v>0</v>
      </c>
      <c r="BX87" s="28"/>
      <c r="BY87" s="29"/>
      <c r="BZ87" s="91"/>
      <c r="CA87" s="89"/>
      <c r="CB87" s="28"/>
      <c r="CC87" s="29"/>
      <c r="CD87" s="24"/>
      <c r="CE87" s="25"/>
      <c r="CF87" s="169"/>
      <c r="CG87" s="170"/>
      <c r="CH87" s="170"/>
      <c r="CI87" s="170"/>
      <c r="CJ87" s="88"/>
      <c r="CK87" s="92"/>
      <c r="CL87" s="14"/>
      <c r="CM87" s="15"/>
      <c r="CN87" s="88"/>
      <c r="CO87" s="92"/>
      <c r="CP87" s="14"/>
      <c r="CQ87" s="15"/>
    </row>
    <row r="88" spans="1:95" ht="23.45" customHeight="1" x14ac:dyDescent="0.55000000000000004">
      <c r="A88" s="7">
        <v>86</v>
      </c>
      <c r="B88" s="41"/>
      <c r="C88" s="31"/>
      <c r="D88" s="32"/>
      <c r="E88" s="33"/>
      <c r="F88" s="24"/>
      <c r="G88" s="25"/>
      <c r="H88" s="28"/>
      <c r="I88" s="29"/>
      <c r="J88" s="24"/>
      <c r="K88" s="25"/>
      <c r="L88" s="28"/>
      <c r="M88" s="29"/>
      <c r="N88" s="24"/>
      <c r="O88" s="25"/>
      <c r="P88" s="28"/>
      <c r="Q88" s="29"/>
      <c r="R88" s="24"/>
      <c r="S88" s="25"/>
      <c r="T88" s="28"/>
      <c r="U88" s="29"/>
      <c r="V88" s="24"/>
      <c r="W88" s="25"/>
      <c r="X88" s="28"/>
      <c r="Y88" s="29"/>
      <c r="Z88" s="24"/>
      <c r="AA88" s="25"/>
      <c r="AB88" s="28"/>
      <c r="AC88" s="29"/>
      <c r="AD88" s="24"/>
      <c r="AE88" s="25"/>
      <c r="AF88" s="28"/>
      <c r="AG88" s="29"/>
      <c r="AH88" s="24"/>
      <c r="AI88" s="25"/>
      <c r="AJ88" s="28"/>
      <c r="AK88" s="29"/>
      <c r="AL88" s="24"/>
      <c r="AM88" s="25"/>
      <c r="AN88" s="28"/>
      <c r="AO88" s="29"/>
      <c r="AP88" s="24"/>
      <c r="AQ88" s="25"/>
      <c r="AR88" s="28"/>
      <c r="AS88" s="29"/>
      <c r="AT88" s="24"/>
      <c r="AU88" s="25"/>
      <c r="AV88" s="28"/>
      <c r="AW88" s="29"/>
      <c r="AX88" s="24"/>
      <c r="AY88" s="25"/>
      <c r="AZ88" s="28"/>
      <c r="BA88" s="29"/>
      <c r="BB88" s="24"/>
      <c r="BC88" s="25"/>
      <c r="BD88" s="28"/>
      <c r="BE88" s="29"/>
      <c r="BF88" s="24"/>
      <c r="BG88" s="25"/>
      <c r="BH88" s="28"/>
      <c r="BI88" s="29"/>
      <c r="BJ88" s="24"/>
      <c r="BK88" s="58"/>
      <c r="BL88" s="58"/>
      <c r="BM88" s="25"/>
      <c r="BN88" s="87"/>
      <c r="BO88" s="97"/>
      <c r="BP88" s="91"/>
      <c r="BQ88" s="89"/>
      <c r="BR88" s="28"/>
      <c r="BS88" s="29"/>
      <c r="BT88" s="12">
        <v>0</v>
      </c>
      <c r="BU88" s="57">
        <v>0</v>
      </c>
      <c r="BV88" s="57">
        <v>0</v>
      </c>
      <c r="BW88" s="13">
        <v>0</v>
      </c>
      <c r="BX88" s="28"/>
      <c r="BY88" s="29"/>
      <c r="BZ88" s="91"/>
      <c r="CA88" s="89"/>
      <c r="CB88" s="28"/>
      <c r="CC88" s="29"/>
      <c r="CD88" s="24"/>
      <c r="CE88" s="25"/>
      <c r="CF88" s="169"/>
      <c r="CG88" s="170"/>
      <c r="CH88" s="170"/>
      <c r="CI88" s="170"/>
      <c r="CJ88" s="88"/>
      <c r="CK88" s="92"/>
      <c r="CL88" s="14"/>
      <c r="CM88" s="15"/>
      <c r="CN88" s="88"/>
      <c r="CO88" s="92"/>
      <c r="CP88" s="14"/>
      <c r="CQ88" s="15"/>
    </row>
    <row r="89" spans="1:95" ht="23.45" customHeight="1" x14ac:dyDescent="0.55000000000000004">
      <c r="A89" s="7">
        <v>87</v>
      </c>
      <c r="B89" s="41"/>
      <c r="C89" s="31"/>
      <c r="D89" s="32"/>
      <c r="E89" s="33"/>
      <c r="F89" s="24"/>
      <c r="G89" s="25"/>
      <c r="H89" s="28"/>
      <c r="I89" s="29"/>
      <c r="J89" s="24"/>
      <c r="K89" s="25"/>
      <c r="L89" s="28"/>
      <c r="M89" s="29"/>
      <c r="N89" s="24"/>
      <c r="O89" s="25"/>
      <c r="P89" s="28"/>
      <c r="Q89" s="29"/>
      <c r="R89" s="24"/>
      <c r="S89" s="25"/>
      <c r="T89" s="28"/>
      <c r="U89" s="29"/>
      <c r="V89" s="24"/>
      <c r="W89" s="25"/>
      <c r="X89" s="28"/>
      <c r="Y89" s="29"/>
      <c r="Z89" s="24"/>
      <c r="AA89" s="25"/>
      <c r="AB89" s="28"/>
      <c r="AC89" s="29"/>
      <c r="AD89" s="24"/>
      <c r="AE89" s="25"/>
      <c r="AF89" s="28"/>
      <c r="AG89" s="29"/>
      <c r="AH89" s="24"/>
      <c r="AI89" s="25"/>
      <c r="AJ89" s="28"/>
      <c r="AK89" s="29"/>
      <c r="AL89" s="24"/>
      <c r="AM89" s="25"/>
      <c r="AN89" s="28"/>
      <c r="AO89" s="29"/>
      <c r="AP89" s="24"/>
      <c r="AQ89" s="25"/>
      <c r="AR89" s="28"/>
      <c r="AS89" s="29"/>
      <c r="AT89" s="24"/>
      <c r="AU89" s="25"/>
      <c r="AV89" s="28"/>
      <c r="AW89" s="29"/>
      <c r="AX89" s="24"/>
      <c r="AY89" s="25"/>
      <c r="AZ89" s="28"/>
      <c r="BA89" s="29"/>
      <c r="BB89" s="24"/>
      <c r="BC89" s="25"/>
      <c r="BD89" s="28"/>
      <c r="BE89" s="29"/>
      <c r="BF89" s="24"/>
      <c r="BG89" s="25"/>
      <c r="BH89" s="28"/>
      <c r="BI89" s="29"/>
      <c r="BJ89" s="24"/>
      <c r="BK89" s="58"/>
      <c r="BL89" s="58"/>
      <c r="BM89" s="25"/>
      <c r="BN89" s="87"/>
      <c r="BO89" s="97"/>
      <c r="BP89" s="91"/>
      <c r="BQ89" s="89"/>
      <c r="BR89" s="28"/>
      <c r="BS89" s="29"/>
      <c r="BT89" s="12">
        <v>0</v>
      </c>
      <c r="BU89" s="57">
        <v>0</v>
      </c>
      <c r="BV89" s="57">
        <v>0</v>
      </c>
      <c r="BW89" s="13">
        <v>0</v>
      </c>
      <c r="BX89" s="28"/>
      <c r="BY89" s="29"/>
      <c r="BZ89" s="91"/>
      <c r="CA89" s="89"/>
      <c r="CB89" s="28"/>
      <c r="CC89" s="29"/>
      <c r="CD89" s="24"/>
      <c r="CE89" s="25"/>
      <c r="CF89" s="169"/>
      <c r="CG89" s="170"/>
      <c r="CH89" s="170"/>
      <c r="CI89" s="170"/>
      <c r="CJ89" s="88"/>
      <c r="CK89" s="92"/>
      <c r="CL89" s="14"/>
      <c r="CM89" s="15"/>
      <c r="CN89" s="88"/>
      <c r="CO89" s="92"/>
      <c r="CP89" s="14"/>
      <c r="CQ89" s="15"/>
    </row>
    <row r="90" spans="1:95" ht="23.45" customHeight="1" x14ac:dyDescent="0.55000000000000004">
      <c r="A90" s="7">
        <v>88</v>
      </c>
      <c r="B90" s="41"/>
      <c r="C90" s="31"/>
      <c r="D90" s="32"/>
      <c r="E90" s="33"/>
      <c r="F90" s="24"/>
      <c r="G90" s="25"/>
      <c r="H90" s="28"/>
      <c r="I90" s="29"/>
      <c r="J90" s="24"/>
      <c r="K90" s="25"/>
      <c r="L90" s="28"/>
      <c r="M90" s="29"/>
      <c r="N90" s="24"/>
      <c r="O90" s="25"/>
      <c r="P90" s="28"/>
      <c r="Q90" s="29"/>
      <c r="R90" s="24"/>
      <c r="S90" s="25"/>
      <c r="T90" s="28"/>
      <c r="U90" s="29"/>
      <c r="V90" s="24"/>
      <c r="W90" s="25"/>
      <c r="X90" s="28"/>
      <c r="Y90" s="29"/>
      <c r="Z90" s="24"/>
      <c r="AA90" s="25"/>
      <c r="AB90" s="28"/>
      <c r="AC90" s="29"/>
      <c r="AD90" s="24"/>
      <c r="AE90" s="25"/>
      <c r="AF90" s="28"/>
      <c r="AG90" s="29"/>
      <c r="AH90" s="24"/>
      <c r="AI90" s="25"/>
      <c r="AJ90" s="28"/>
      <c r="AK90" s="29"/>
      <c r="AL90" s="24"/>
      <c r="AM90" s="25"/>
      <c r="AN90" s="28"/>
      <c r="AO90" s="29"/>
      <c r="AP90" s="24"/>
      <c r="AQ90" s="25"/>
      <c r="AR90" s="28"/>
      <c r="AS90" s="29"/>
      <c r="AT90" s="24"/>
      <c r="AU90" s="25"/>
      <c r="AV90" s="28"/>
      <c r="AW90" s="29"/>
      <c r="AX90" s="24"/>
      <c r="AY90" s="25"/>
      <c r="AZ90" s="28"/>
      <c r="BA90" s="29"/>
      <c r="BB90" s="24"/>
      <c r="BC90" s="25"/>
      <c r="BD90" s="28"/>
      <c r="BE90" s="29"/>
      <c r="BF90" s="24"/>
      <c r="BG90" s="25"/>
      <c r="BH90" s="28"/>
      <c r="BI90" s="29"/>
      <c r="BJ90" s="24"/>
      <c r="BK90" s="58"/>
      <c r="BL90" s="58"/>
      <c r="BM90" s="25"/>
      <c r="BN90" s="87"/>
      <c r="BO90" s="97"/>
      <c r="BP90" s="91"/>
      <c r="BQ90" s="89"/>
      <c r="BR90" s="28"/>
      <c r="BS90" s="29"/>
      <c r="BT90" s="12">
        <v>0</v>
      </c>
      <c r="BU90" s="57">
        <v>0</v>
      </c>
      <c r="BV90" s="57">
        <v>0</v>
      </c>
      <c r="BW90" s="13">
        <v>0</v>
      </c>
      <c r="BX90" s="28"/>
      <c r="BY90" s="29"/>
      <c r="BZ90" s="91"/>
      <c r="CA90" s="89"/>
      <c r="CB90" s="28"/>
      <c r="CC90" s="29"/>
      <c r="CD90" s="24"/>
      <c r="CE90" s="25"/>
      <c r="CF90" s="169"/>
      <c r="CG90" s="170"/>
      <c r="CH90" s="170"/>
      <c r="CI90" s="170"/>
      <c r="CJ90" s="88"/>
      <c r="CK90" s="92"/>
      <c r="CL90" s="14"/>
      <c r="CM90" s="15"/>
      <c r="CN90" s="88"/>
      <c r="CO90" s="92"/>
      <c r="CP90" s="14"/>
      <c r="CQ90" s="15"/>
    </row>
    <row r="91" spans="1:95" ht="23.45" customHeight="1" x14ac:dyDescent="0.55000000000000004">
      <c r="A91" s="7">
        <v>89</v>
      </c>
      <c r="B91" s="41"/>
      <c r="C91" s="31"/>
      <c r="D91" s="32"/>
      <c r="E91" s="33"/>
      <c r="F91" s="24"/>
      <c r="G91" s="25"/>
      <c r="H91" s="28"/>
      <c r="I91" s="29"/>
      <c r="J91" s="24"/>
      <c r="K91" s="25"/>
      <c r="L91" s="28"/>
      <c r="M91" s="29"/>
      <c r="N91" s="24"/>
      <c r="O91" s="25"/>
      <c r="P91" s="28"/>
      <c r="Q91" s="29"/>
      <c r="R91" s="24"/>
      <c r="S91" s="25"/>
      <c r="T91" s="28"/>
      <c r="U91" s="29"/>
      <c r="V91" s="24"/>
      <c r="W91" s="25"/>
      <c r="X91" s="28"/>
      <c r="Y91" s="29"/>
      <c r="Z91" s="24"/>
      <c r="AA91" s="25"/>
      <c r="AB91" s="28"/>
      <c r="AC91" s="29"/>
      <c r="AD91" s="24"/>
      <c r="AE91" s="25"/>
      <c r="AF91" s="28"/>
      <c r="AG91" s="29"/>
      <c r="AH91" s="24"/>
      <c r="AI91" s="25"/>
      <c r="AJ91" s="28"/>
      <c r="AK91" s="29"/>
      <c r="AL91" s="24"/>
      <c r="AM91" s="25"/>
      <c r="AN91" s="28"/>
      <c r="AO91" s="29"/>
      <c r="AP91" s="24"/>
      <c r="AQ91" s="25"/>
      <c r="AR91" s="28"/>
      <c r="AS91" s="29"/>
      <c r="AT91" s="24"/>
      <c r="AU91" s="25"/>
      <c r="AV91" s="28"/>
      <c r="AW91" s="29"/>
      <c r="AX91" s="24"/>
      <c r="AY91" s="25"/>
      <c r="AZ91" s="28"/>
      <c r="BA91" s="29"/>
      <c r="BB91" s="24"/>
      <c r="BC91" s="25"/>
      <c r="BD91" s="28"/>
      <c r="BE91" s="29"/>
      <c r="BF91" s="24"/>
      <c r="BG91" s="25"/>
      <c r="BH91" s="28"/>
      <c r="BI91" s="29"/>
      <c r="BJ91" s="24"/>
      <c r="BK91" s="58"/>
      <c r="BL91" s="58"/>
      <c r="BM91" s="25"/>
      <c r="BN91" s="87"/>
      <c r="BO91" s="97"/>
      <c r="BP91" s="91"/>
      <c r="BQ91" s="89"/>
      <c r="BR91" s="28"/>
      <c r="BS91" s="29"/>
      <c r="BT91" s="12">
        <v>0</v>
      </c>
      <c r="BU91" s="57">
        <v>0</v>
      </c>
      <c r="BV91" s="57">
        <v>0</v>
      </c>
      <c r="BW91" s="13">
        <v>0</v>
      </c>
      <c r="BX91" s="28"/>
      <c r="BY91" s="29"/>
      <c r="BZ91" s="91"/>
      <c r="CA91" s="89"/>
      <c r="CB91" s="28"/>
      <c r="CC91" s="29"/>
      <c r="CD91" s="24"/>
      <c r="CE91" s="25"/>
      <c r="CF91" s="169"/>
      <c r="CG91" s="170"/>
      <c r="CH91" s="170"/>
      <c r="CI91" s="170"/>
      <c r="CJ91" s="88"/>
      <c r="CK91" s="92"/>
      <c r="CL91" s="14"/>
      <c r="CM91" s="15"/>
      <c r="CN91" s="88"/>
      <c r="CO91" s="92"/>
      <c r="CP91" s="14"/>
      <c r="CQ91" s="15"/>
    </row>
    <row r="92" spans="1:95" ht="23.45" customHeight="1" x14ac:dyDescent="0.55000000000000004">
      <c r="A92" s="7">
        <v>90</v>
      </c>
      <c r="B92" s="41"/>
      <c r="C92" s="31"/>
      <c r="D92" s="32"/>
      <c r="E92" s="33"/>
      <c r="F92" s="24"/>
      <c r="G92" s="25"/>
      <c r="H92" s="28"/>
      <c r="I92" s="29"/>
      <c r="J92" s="24"/>
      <c r="K92" s="25"/>
      <c r="L92" s="28"/>
      <c r="M92" s="29"/>
      <c r="N92" s="24"/>
      <c r="O92" s="25"/>
      <c r="P92" s="28"/>
      <c r="Q92" s="29"/>
      <c r="R92" s="24"/>
      <c r="S92" s="25"/>
      <c r="T92" s="28"/>
      <c r="U92" s="29"/>
      <c r="V92" s="24"/>
      <c r="W92" s="25"/>
      <c r="X92" s="28"/>
      <c r="Y92" s="29"/>
      <c r="Z92" s="24"/>
      <c r="AA92" s="25"/>
      <c r="AB92" s="28"/>
      <c r="AC92" s="29"/>
      <c r="AD92" s="24"/>
      <c r="AE92" s="25"/>
      <c r="AF92" s="28"/>
      <c r="AG92" s="29"/>
      <c r="AH92" s="24"/>
      <c r="AI92" s="25"/>
      <c r="AJ92" s="28"/>
      <c r="AK92" s="29"/>
      <c r="AL92" s="24"/>
      <c r="AM92" s="25"/>
      <c r="AN92" s="28"/>
      <c r="AO92" s="29"/>
      <c r="AP92" s="24"/>
      <c r="AQ92" s="25"/>
      <c r="AR92" s="28"/>
      <c r="AS92" s="29"/>
      <c r="AT92" s="24"/>
      <c r="AU92" s="25"/>
      <c r="AV92" s="28"/>
      <c r="AW92" s="29"/>
      <c r="AX92" s="24"/>
      <c r="AY92" s="25"/>
      <c r="AZ92" s="28"/>
      <c r="BA92" s="29"/>
      <c r="BB92" s="24"/>
      <c r="BC92" s="25"/>
      <c r="BD92" s="28"/>
      <c r="BE92" s="29"/>
      <c r="BF92" s="24"/>
      <c r="BG92" s="25"/>
      <c r="BH92" s="28"/>
      <c r="BI92" s="29"/>
      <c r="BJ92" s="24"/>
      <c r="BK92" s="58"/>
      <c r="BL92" s="58"/>
      <c r="BM92" s="25"/>
      <c r="BN92" s="87"/>
      <c r="BO92" s="97"/>
      <c r="BP92" s="91"/>
      <c r="BQ92" s="89"/>
      <c r="BR92" s="28"/>
      <c r="BS92" s="29"/>
      <c r="BT92" s="12">
        <v>0</v>
      </c>
      <c r="BU92" s="57">
        <v>0</v>
      </c>
      <c r="BV92" s="57">
        <v>0</v>
      </c>
      <c r="BW92" s="13">
        <v>0</v>
      </c>
      <c r="BX92" s="28"/>
      <c r="BY92" s="29"/>
      <c r="BZ92" s="91"/>
      <c r="CA92" s="89"/>
      <c r="CB92" s="28"/>
      <c r="CC92" s="29"/>
      <c r="CD92" s="24"/>
      <c r="CE92" s="25"/>
      <c r="CF92" s="169"/>
      <c r="CG92" s="170"/>
      <c r="CH92" s="170"/>
      <c r="CI92" s="170"/>
      <c r="CJ92" s="88"/>
      <c r="CK92" s="92"/>
      <c r="CL92" s="14"/>
      <c r="CM92" s="15"/>
      <c r="CN92" s="88"/>
      <c r="CO92" s="92"/>
      <c r="CP92" s="14"/>
      <c r="CQ92" s="15"/>
    </row>
    <row r="93" spans="1:95" ht="23.45" customHeight="1" x14ac:dyDescent="0.55000000000000004">
      <c r="A93" s="7">
        <v>91</v>
      </c>
      <c r="B93" s="41"/>
      <c r="C93" s="31"/>
      <c r="D93" s="32"/>
      <c r="E93" s="33"/>
      <c r="F93" s="24"/>
      <c r="G93" s="25"/>
      <c r="H93" s="28"/>
      <c r="I93" s="29"/>
      <c r="J93" s="24"/>
      <c r="K93" s="25"/>
      <c r="L93" s="28"/>
      <c r="M93" s="29"/>
      <c r="N93" s="24"/>
      <c r="O93" s="25"/>
      <c r="P93" s="28"/>
      <c r="Q93" s="29"/>
      <c r="R93" s="24"/>
      <c r="S93" s="25"/>
      <c r="T93" s="28"/>
      <c r="U93" s="29"/>
      <c r="V93" s="24"/>
      <c r="W93" s="25"/>
      <c r="X93" s="28"/>
      <c r="Y93" s="29"/>
      <c r="Z93" s="24"/>
      <c r="AA93" s="25"/>
      <c r="AB93" s="28"/>
      <c r="AC93" s="29"/>
      <c r="AD93" s="24"/>
      <c r="AE93" s="25"/>
      <c r="AF93" s="28"/>
      <c r="AG93" s="29"/>
      <c r="AH93" s="24"/>
      <c r="AI93" s="25"/>
      <c r="AJ93" s="28"/>
      <c r="AK93" s="29"/>
      <c r="AL93" s="24"/>
      <c r="AM93" s="25"/>
      <c r="AN93" s="28"/>
      <c r="AO93" s="29"/>
      <c r="AP93" s="24"/>
      <c r="AQ93" s="25"/>
      <c r="AR93" s="28"/>
      <c r="AS93" s="29"/>
      <c r="AT93" s="24"/>
      <c r="AU93" s="25"/>
      <c r="AV93" s="28"/>
      <c r="AW93" s="29"/>
      <c r="AX93" s="24"/>
      <c r="AY93" s="25"/>
      <c r="AZ93" s="28"/>
      <c r="BA93" s="29"/>
      <c r="BB93" s="24"/>
      <c r="BC93" s="25"/>
      <c r="BD93" s="28"/>
      <c r="BE93" s="29"/>
      <c r="BF93" s="24"/>
      <c r="BG93" s="25"/>
      <c r="BH93" s="28"/>
      <c r="BI93" s="29"/>
      <c r="BJ93" s="24"/>
      <c r="BK93" s="58"/>
      <c r="BL93" s="58"/>
      <c r="BM93" s="25"/>
      <c r="BN93" s="87"/>
      <c r="BO93" s="97"/>
      <c r="BP93" s="91"/>
      <c r="BQ93" s="89"/>
      <c r="BR93" s="28"/>
      <c r="BS93" s="29"/>
      <c r="BT93" s="12">
        <v>0</v>
      </c>
      <c r="BU93" s="57">
        <v>0</v>
      </c>
      <c r="BV93" s="57">
        <v>0</v>
      </c>
      <c r="BW93" s="13">
        <v>0</v>
      </c>
      <c r="BX93" s="28"/>
      <c r="BY93" s="29"/>
      <c r="BZ93" s="91"/>
      <c r="CA93" s="89"/>
      <c r="CB93" s="28"/>
      <c r="CC93" s="29"/>
      <c r="CD93" s="24"/>
      <c r="CE93" s="25"/>
      <c r="CF93" s="169"/>
      <c r="CG93" s="170"/>
      <c r="CH93" s="170"/>
      <c r="CI93" s="170"/>
      <c r="CJ93" s="88"/>
      <c r="CK93" s="92"/>
      <c r="CL93" s="14"/>
      <c r="CM93" s="15"/>
      <c r="CN93" s="88"/>
      <c r="CO93" s="92"/>
      <c r="CP93" s="14"/>
      <c r="CQ93" s="15"/>
    </row>
    <row r="94" spans="1:95" ht="23.45" customHeight="1" x14ac:dyDescent="0.55000000000000004">
      <c r="A94" s="7">
        <v>92</v>
      </c>
      <c r="B94" s="41"/>
      <c r="C94" s="31"/>
      <c r="D94" s="32"/>
      <c r="E94" s="33"/>
      <c r="F94" s="24"/>
      <c r="G94" s="25"/>
      <c r="H94" s="28"/>
      <c r="I94" s="29"/>
      <c r="J94" s="24"/>
      <c r="K94" s="25"/>
      <c r="L94" s="28"/>
      <c r="M94" s="29"/>
      <c r="N94" s="24"/>
      <c r="O94" s="25"/>
      <c r="P94" s="28"/>
      <c r="Q94" s="29"/>
      <c r="R94" s="24"/>
      <c r="S94" s="25"/>
      <c r="T94" s="28"/>
      <c r="U94" s="29"/>
      <c r="V94" s="24"/>
      <c r="W94" s="25"/>
      <c r="X94" s="28"/>
      <c r="Y94" s="29"/>
      <c r="Z94" s="24"/>
      <c r="AA94" s="25"/>
      <c r="AB94" s="28"/>
      <c r="AC94" s="29"/>
      <c r="AD94" s="24"/>
      <c r="AE94" s="25"/>
      <c r="AF94" s="28"/>
      <c r="AG94" s="29"/>
      <c r="AH94" s="24"/>
      <c r="AI94" s="25"/>
      <c r="AJ94" s="28"/>
      <c r="AK94" s="29"/>
      <c r="AL94" s="24"/>
      <c r="AM94" s="25"/>
      <c r="AN94" s="28"/>
      <c r="AO94" s="29"/>
      <c r="AP94" s="24"/>
      <c r="AQ94" s="25"/>
      <c r="AR94" s="28"/>
      <c r="AS94" s="29"/>
      <c r="AT94" s="24"/>
      <c r="AU94" s="25"/>
      <c r="AV94" s="28"/>
      <c r="AW94" s="29"/>
      <c r="AX94" s="24"/>
      <c r="AY94" s="25"/>
      <c r="AZ94" s="28"/>
      <c r="BA94" s="29"/>
      <c r="BB94" s="24"/>
      <c r="BC94" s="25"/>
      <c r="BD94" s="28"/>
      <c r="BE94" s="29"/>
      <c r="BF94" s="24"/>
      <c r="BG94" s="25"/>
      <c r="BH94" s="28"/>
      <c r="BI94" s="29"/>
      <c r="BJ94" s="24"/>
      <c r="BK94" s="58"/>
      <c r="BL94" s="58"/>
      <c r="BM94" s="25"/>
      <c r="BN94" s="87"/>
      <c r="BO94" s="97"/>
      <c r="BP94" s="91"/>
      <c r="BQ94" s="89"/>
      <c r="BR94" s="28"/>
      <c r="BS94" s="29"/>
      <c r="BT94" s="12">
        <v>0</v>
      </c>
      <c r="BU94" s="57">
        <v>0</v>
      </c>
      <c r="BV94" s="57">
        <v>0</v>
      </c>
      <c r="BW94" s="13">
        <v>0</v>
      </c>
      <c r="BX94" s="28"/>
      <c r="BY94" s="29"/>
      <c r="BZ94" s="91"/>
      <c r="CA94" s="89"/>
      <c r="CB94" s="28"/>
      <c r="CC94" s="29"/>
      <c r="CD94" s="24"/>
      <c r="CE94" s="25"/>
      <c r="CF94" s="169"/>
      <c r="CG94" s="170"/>
      <c r="CH94" s="170"/>
      <c r="CI94" s="170"/>
      <c r="CJ94" s="88"/>
      <c r="CK94" s="92"/>
      <c r="CL94" s="14"/>
      <c r="CM94" s="15"/>
      <c r="CN94" s="88"/>
      <c r="CO94" s="92"/>
      <c r="CP94" s="14"/>
      <c r="CQ94" s="15"/>
    </row>
    <row r="95" spans="1:95" ht="23.45" customHeight="1" x14ac:dyDescent="0.55000000000000004">
      <c r="A95" s="7">
        <v>93</v>
      </c>
      <c r="B95" s="41"/>
      <c r="C95" s="31"/>
      <c r="D95" s="32"/>
      <c r="E95" s="33"/>
      <c r="F95" s="24"/>
      <c r="G95" s="25"/>
      <c r="H95" s="28"/>
      <c r="I95" s="29"/>
      <c r="J95" s="24"/>
      <c r="K95" s="25"/>
      <c r="L95" s="28"/>
      <c r="M95" s="29"/>
      <c r="N95" s="24"/>
      <c r="O95" s="25"/>
      <c r="P95" s="28"/>
      <c r="Q95" s="29"/>
      <c r="R95" s="24"/>
      <c r="S95" s="25"/>
      <c r="T95" s="28"/>
      <c r="U95" s="29"/>
      <c r="V95" s="24"/>
      <c r="W95" s="25"/>
      <c r="X95" s="28"/>
      <c r="Y95" s="29"/>
      <c r="Z95" s="24"/>
      <c r="AA95" s="25"/>
      <c r="AB95" s="28"/>
      <c r="AC95" s="29"/>
      <c r="AD95" s="24"/>
      <c r="AE95" s="25"/>
      <c r="AF95" s="28"/>
      <c r="AG95" s="29"/>
      <c r="AH95" s="24"/>
      <c r="AI95" s="25"/>
      <c r="AJ95" s="28"/>
      <c r="AK95" s="29"/>
      <c r="AL95" s="24"/>
      <c r="AM95" s="25"/>
      <c r="AN95" s="28"/>
      <c r="AO95" s="29"/>
      <c r="AP95" s="24"/>
      <c r="AQ95" s="25"/>
      <c r="AR95" s="28"/>
      <c r="AS95" s="29"/>
      <c r="AT95" s="24"/>
      <c r="AU95" s="25"/>
      <c r="AV95" s="28"/>
      <c r="AW95" s="29"/>
      <c r="AX95" s="24"/>
      <c r="AY95" s="25"/>
      <c r="AZ95" s="28"/>
      <c r="BA95" s="29"/>
      <c r="BB95" s="24"/>
      <c r="BC95" s="25"/>
      <c r="BD95" s="28"/>
      <c r="BE95" s="29"/>
      <c r="BF95" s="24"/>
      <c r="BG95" s="25"/>
      <c r="BH95" s="28"/>
      <c r="BI95" s="29"/>
      <c r="BJ95" s="24"/>
      <c r="BK95" s="58"/>
      <c r="BL95" s="58"/>
      <c r="BM95" s="25"/>
      <c r="BN95" s="87"/>
      <c r="BO95" s="97"/>
      <c r="BP95" s="91"/>
      <c r="BQ95" s="89"/>
      <c r="BR95" s="28"/>
      <c r="BS95" s="29"/>
      <c r="BT95" s="12">
        <v>0</v>
      </c>
      <c r="BU95" s="57">
        <v>0</v>
      </c>
      <c r="BV95" s="57">
        <v>0</v>
      </c>
      <c r="BW95" s="13">
        <v>0</v>
      </c>
      <c r="BX95" s="28"/>
      <c r="BY95" s="29"/>
      <c r="BZ95" s="91"/>
      <c r="CA95" s="89"/>
      <c r="CB95" s="28"/>
      <c r="CC95" s="29"/>
      <c r="CD95" s="24"/>
      <c r="CE95" s="25"/>
      <c r="CF95" s="169"/>
      <c r="CG95" s="170"/>
      <c r="CH95" s="170"/>
      <c r="CI95" s="170"/>
      <c r="CJ95" s="88"/>
      <c r="CK95" s="92"/>
      <c r="CL95" s="14"/>
      <c r="CM95" s="15"/>
      <c r="CN95" s="88"/>
      <c r="CO95" s="92"/>
      <c r="CP95" s="14"/>
      <c r="CQ95" s="15"/>
    </row>
    <row r="96" spans="1:95" ht="23.45" customHeight="1" x14ac:dyDescent="0.55000000000000004">
      <c r="A96" s="7">
        <v>94</v>
      </c>
      <c r="B96" s="41"/>
      <c r="C96" s="31"/>
      <c r="D96" s="32"/>
      <c r="E96" s="33"/>
      <c r="F96" s="24"/>
      <c r="G96" s="25"/>
      <c r="H96" s="28"/>
      <c r="I96" s="29"/>
      <c r="J96" s="24"/>
      <c r="K96" s="25"/>
      <c r="L96" s="28"/>
      <c r="M96" s="29"/>
      <c r="N96" s="24"/>
      <c r="O96" s="25"/>
      <c r="P96" s="28"/>
      <c r="Q96" s="29"/>
      <c r="R96" s="24"/>
      <c r="S96" s="25"/>
      <c r="T96" s="28"/>
      <c r="U96" s="29"/>
      <c r="V96" s="24"/>
      <c r="W96" s="25"/>
      <c r="X96" s="28"/>
      <c r="Y96" s="29"/>
      <c r="Z96" s="24"/>
      <c r="AA96" s="25"/>
      <c r="AB96" s="28"/>
      <c r="AC96" s="29"/>
      <c r="AD96" s="24"/>
      <c r="AE96" s="25"/>
      <c r="AF96" s="28"/>
      <c r="AG96" s="29"/>
      <c r="AH96" s="24"/>
      <c r="AI96" s="25"/>
      <c r="AJ96" s="28"/>
      <c r="AK96" s="29"/>
      <c r="AL96" s="24"/>
      <c r="AM96" s="25"/>
      <c r="AN96" s="28"/>
      <c r="AO96" s="29"/>
      <c r="AP96" s="24"/>
      <c r="AQ96" s="25"/>
      <c r="AR96" s="28"/>
      <c r="AS96" s="29"/>
      <c r="AT96" s="24"/>
      <c r="AU96" s="25"/>
      <c r="AV96" s="28"/>
      <c r="AW96" s="29"/>
      <c r="AX96" s="24"/>
      <c r="AY96" s="25"/>
      <c r="AZ96" s="28"/>
      <c r="BA96" s="29"/>
      <c r="BB96" s="24"/>
      <c r="BC96" s="25"/>
      <c r="BD96" s="28"/>
      <c r="BE96" s="29"/>
      <c r="BF96" s="24"/>
      <c r="BG96" s="25"/>
      <c r="BH96" s="28"/>
      <c r="BI96" s="29"/>
      <c r="BJ96" s="24"/>
      <c r="BK96" s="58"/>
      <c r="BL96" s="58"/>
      <c r="BM96" s="25"/>
      <c r="BN96" s="87"/>
      <c r="BO96" s="97"/>
      <c r="BP96" s="91"/>
      <c r="BQ96" s="89"/>
      <c r="BR96" s="28"/>
      <c r="BS96" s="29"/>
      <c r="BT96" s="12">
        <v>0</v>
      </c>
      <c r="BU96" s="57">
        <v>0</v>
      </c>
      <c r="BV96" s="57">
        <v>0</v>
      </c>
      <c r="BW96" s="13">
        <v>0</v>
      </c>
      <c r="BX96" s="28"/>
      <c r="BY96" s="29"/>
      <c r="BZ96" s="91"/>
      <c r="CA96" s="89"/>
      <c r="CB96" s="28"/>
      <c r="CC96" s="29"/>
      <c r="CD96" s="24"/>
      <c r="CE96" s="25"/>
      <c r="CF96" s="169"/>
      <c r="CG96" s="170"/>
      <c r="CH96" s="170"/>
      <c r="CI96" s="170"/>
      <c r="CJ96" s="88"/>
      <c r="CK96" s="92"/>
      <c r="CL96" s="14"/>
      <c r="CM96" s="15"/>
      <c r="CN96" s="88"/>
      <c r="CO96" s="92"/>
      <c r="CP96" s="14"/>
      <c r="CQ96" s="15"/>
    </row>
    <row r="97" spans="1:95" ht="23.45" customHeight="1" x14ac:dyDescent="0.55000000000000004">
      <c r="A97" s="7">
        <v>95</v>
      </c>
      <c r="B97" s="41"/>
      <c r="C97" s="31"/>
      <c r="D97" s="32"/>
      <c r="E97" s="33"/>
      <c r="F97" s="24"/>
      <c r="G97" s="25"/>
      <c r="H97" s="28"/>
      <c r="I97" s="29"/>
      <c r="J97" s="24"/>
      <c r="K97" s="25"/>
      <c r="L97" s="28"/>
      <c r="M97" s="29"/>
      <c r="N97" s="24"/>
      <c r="O97" s="25"/>
      <c r="P97" s="28"/>
      <c r="Q97" s="29"/>
      <c r="R97" s="24"/>
      <c r="S97" s="25"/>
      <c r="T97" s="28"/>
      <c r="U97" s="29"/>
      <c r="V97" s="24"/>
      <c r="W97" s="25"/>
      <c r="X97" s="28"/>
      <c r="Y97" s="29"/>
      <c r="Z97" s="24"/>
      <c r="AA97" s="25"/>
      <c r="AB97" s="28"/>
      <c r="AC97" s="29"/>
      <c r="AD97" s="24"/>
      <c r="AE97" s="25"/>
      <c r="AF97" s="28"/>
      <c r="AG97" s="29"/>
      <c r="AH97" s="24"/>
      <c r="AI97" s="25"/>
      <c r="AJ97" s="28"/>
      <c r="AK97" s="29"/>
      <c r="AL97" s="24"/>
      <c r="AM97" s="25"/>
      <c r="AN97" s="28"/>
      <c r="AO97" s="29"/>
      <c r="AP97" s="24"/>
      <c r="AQ97" s="25"/>
      <c r="AR97" s="28"/>
      <c r="AS97" s="29"/>
      <c r="AT97" s="24"/>
      <c r="AU97" s="25"/>
      <c r="AV97" s="28"/>
      <c r="AW97" s="29"/>
      <c r="AX97" s="24"/>
      <c r="AY97" s="25"/>
      <c r="AZ97" s="28"/>
      <c r="BA97" s="29"/>
      <c r="BB97" s="24"/>
      <c r="BC97" s="25"/>
      <c r="BD97" s="28"/>
      <c r="BE97" s="29"/>
      <c r="BF97" s="24"/>
      <c r="BG97" s="25"/>
      <c r="BH97" s="28"/>
      <c r="BI97" s="29"/>
      <c r="BJ97" s="24"/>
      <c r="BK97" s="58"/>
      <c r="BL97" s="58"/>
      <c r="BM97" s="25"/>
      <c r="BN97" s="87"/>
      <c r="BO97" s="97"/>
      <c r="BP97" s="91"/>
      <c r="BQ97" s="89"/>
      <c r="BR97" s="28"/>
      <c r="BS97" s="29"/>
      <c r="BT97" s="12">
        <v>0</v>
      </c>
      <c r="BU97" s="57">
        <v>0</v>
      </c>
      <c r="BV97" s="57">
        <v>0</v>
      </c>
      <c r="BW97" s="13">
        <v>0</v>
      </c>
      <c r="BX97" s="28"/>
      <c r="BY97" s="29"/>
      <c r="BZ97" s="91"/>
      <c r="CA97" s="89"/>
      <c r="CB97" s="28"/>
      <c r="CC97" s="29"/>
      <c r="CD97" s="24"/>
      <c r="CE97" s="25"/>
      <c r="CF97" s="169"/>
      <c r="CG97" s="170"/>
      <c r="CH97" s="170"/>
      <c r="CI97" s="170"/>
      <c r="CJ97" s="88"/>
      <c r="CK97" s="92"/>
      <c r="CL97" s="14"/>
      <c r="CM97" s="15"/>
      <c r="CN97" s="88"/>
      <c r="CO97" s="92"/>
      <c r="CP97" s="14"/>
      <c r="CQ97" s="15"/>
    </row>
    <row r="98" spans="1:95" ht="23.45" customHeight="1" x14ac:dyDescent="0.55000000000000004">
      <c r="A98" s="7">
        <v>96</v>
      </c>
      <c r="B98" s="41"/>
      <c r="C98" s="31"/>
      <c r="D98" s="32"/>
      <c r="E98" s="33"/>
      <c r="F98" s="24"/>
      <c r="G98" s="25"/>
      <c r="H98" s="28"/>
      <c r="I98" s="29"/>
      <c r="J98" s="24"/>
      <c r="K98" s="25"/>
      <c r="L98" s="28"/>
      <c r="M98" s="29"/>
      <c r="N98" s="24"/>
      <c r="O98" s="25"/>
      <c r="P98" s="28"/>
      <c r="Q98" s="29"/>
      <c r="R98" s="24"/>
      <c r="S98" s="25"/>
      <c r="T98" s="28"/>
      <c r="U98" s="29"/>
      <c r="V98" s="24"/>
      <c r="W98" s="25"/>
      <c r="X98" s="28"/>
      <c r="Y98" s="29"/>
      <c r="Z98" s="24"/>
      <c r="AA98" s="25"/>
      <c r="AB98" s="28"/>
      <c r="AC98" s="29"/>
      <c r="AD98" s="24"/>
      <c r="AE98" s="25"/>
      <c r="AF98" s="28"/>
      <c r="AG98" s="29"/>
      <c r="AH98" s="24"/>
      <c r="AI98" s="25"/>
      <c r="AJ98" s="28"/>
      <c r="AK98" s="29"/>
      <c r="AL98" s="24"/>
      <c r="AM98" s="25"/>
      <c r="AN98" s="28"/>
      <c r="AO98" s="29"/>
      <c r="AP98" s="24"/>
      <c r="AQ98" s="25"/>
      <c r="AR98" s="28"/>
      <c r="AS98" s="29"/>
      <c r="AT98" s="24"/>
      <c r="AU98" s="25"/>
      <c r="AV98" s="28"/>
      <c r="AW98" s="29"/>
      <c r="AX98" s="24"/>
      <c r="AY98" s="25"/>
      <c r="AZ98" s="28"/>
      <c r="BA98" s="29"/>
      <c r="BB98" s="24"/>
      <c r="BC98" s="25"/>
      <c r="BD98" s="28"/>
      <c r="BE98" s="29"/>
      <c r="BF98" s="24"/>
      <c r="BG98" s="25"/>
      <c r="BH98" s="28"/>
      <c r="BI98" s="29"/>
      <c r="BJ98" s="24"/>
      <c r="BK98" s="58"/>
      <c r="BL98" s="58"/>
      <c r="BM98" s="25"/>
      <c r="BN98" s="87"/>
      <c r="BO98" s="97"/>
      <c r="BP98" s="91"/>
      <c r="BQ98" s="89"/>
      <c r="BR98" s="28"/>
      <c r="BS98" s="29"/>
      <c r="BT98" s="12">
        <v>0</v>
      </c>
      <c r="BU98" s="57">
        <v>0</v>
      </c>
      <c r="BV98" s="57">
        <v>0</v>
      </c>
      <c r="BW98" s="13">
        <v>0</v>
      </c>
      <c r="BX98" s="28"/>
      <c r="BY98" s="29"/>
      <c r="BZ98" s="91"/>
      <c r="CA98" s="89"/>
      <c r="CB98" s="28"/>
      <c r="CC98" s="29"/>
      <c r="CD98" s="24"/>
      <c r="CE98" s="25"/>
      <c r="CF98" s="169"/>
      <c r="CG98" s="170"/>
      <c r="CH98" s="170"/>
      <c r="CI98" s="170"/>
      <c r="CJ98" s="88"/>
      <c r="CK98" s="92"/>
      <c r="CL98" s="14"/>
      <c r="CM98" s="15"/>
      <c r="CN98" s="88"/>
      <c r="CO98" s="92"/>
      <c r="CP98" s="14"/>
      <c r="CQ98" s="15"/>
    </row>
    <row r="99" spans="1:95" ht="23.45" customHeight="1" x14ac:dyDescent="0.55000000000000004">
      <c r="A99" s="7">
        <v>97</v>
      </c>
      <c r="B99" s="41"/>
      <c r="C99" s="31"/>
      <c r="D99" s="32"/>
      <c r="E99" s="33"/>
      <c r="F99" s="24"/>
      <c r="G99" s="25"/>
      <c r="H99" s="28"/>
      <c r="I99" s="29"/>
      <c r="J99" s="24"/>
      <c r="K99" s="25"/>
      <c r="L99" s="28"/>
      <c r="M99" s="29"/>
      <c r="N99" s="24"/>
      <c r="O99" s="25"/>
      <c r="P99" s="28"/>
      <c r="Q99" s="29"/>
      <c r="R99" s="24"/>
      <c r="S99" s="25"/>
      <c r="T99" s="28"/>
      <c r="U99" s="29"/>
      <c r="V99" s="24"/>
      <c r="W99" s="25"/>
      <c r="X99" s="28"/>
      <c r="Y99" s="29"/>
      <c r="Z99" s="24"/>
      <c r="AA99" s="25"/>
      <c r="AB99" s="28"/>
      <c r="AC99" s="29"/>
      <c r="AD99" s="24"/>
      <c r="AE99" s="25"/>
      <c r="AF99" s="28"/>
      <c r="AG99" s="29"/>
      <c r="AH99" s="24"/>
      <c r="AI99" s="25"/>
      <c r="AJ99" s="28"/>
      <c r="AK99" s="29"/>
      <c r="AL99" s="24"/>
      <c r="AM99" s="25"/>
      <c r="AN99" s="28"/>
      <c r="AO99" s="29"/>
      <c r="AP99" s="24"/>
      <c r="AQ99" s="25"/>
      <c r="AR99" s="28"/>
      <c r="AS99" s="29"/>
      <c r="AT99" s="24"/>
      <c r="AU99" s="25"/>
      <c r="AV99" s="28"/>
      <c r="AW99" s="29"/>
      <c r="AX99" s="24"/>
      <c r="AY99" s="25"/>
      <c r="AZ99" s="28"/>
      <c r="BA99" s="29"/>
      <c r="BB99" s="24"/>
      <c r="BC99" s="25"/>
      <c r="BD99" s="28"/>
      <c r="BE99" s="29"/>
      <c r="BF99" s="24"/>
      <c r="BG99" s="25"/>
      <c r="BH99" s="28"/>
      <c r="BI99" s="29"/>
      <c r="BJ99" s="24"/>
      <c r="BK99" s="58"/>
      <c r="BL99" s="58"/>
      <c r="BM99" s="25"/>
      <c r="BN99" s="87"/>
      <c r="BO99" s="97"/>
      <c r="BP99" s="91"/>
      <c r="BQ99" s="89"/>
      <c r="BR99" s="28"/>
      <c r="BS99" s="29"/>
      <c r="BT99" s="12">
        <v>0</v>
      </c>
      <c r="BU99" s="57">
        <v>0</v>
      </c>
      <c r="BV99" s="57">
        <v>0</v>
      </c>
      <c r="BW99" s="13">
        <v>0</v>
      </c>
      <c r="BX99" s="28"/>
      <c r="BY99" s="29"/>
      <c r="BZ99" s="91"/>
      <c r="CA99" s="89"/>
      <c r="CB99" s="28"/>
      <c r="CC99" s="29"/>
      <c r="CD99" s="24"/>
      <c r="CE99" s="25"/>
      <c r="CF99" s="169"/>
      <c r="CG99" s="170"/>
      <c r="CH99" s="170"/>
      <c r="CI99" s="170"/>
      <c r="CJ99" s="88"/>
      <c r="CK99" s="92"/>
      <c r="CL99" s="14"/>
      <c r="CM99" s="15"/>
      <c r="CN99" s="88"/>
      <c r="CO99" s="92"/>
      <c r="CP99" s="14"/>
      <c r="CQ99" s="15"/>
    </row>
    <row r="100" spans="1:95" ht="23.45" customHeight="1" x14ac:dyDescent="0.55000000000000004">
      <c r="A100" s="7">
        <v>98</v>
      </c>
      <c r="B100" s="41">
        <f>104.1</f>
        <v>104.1</v>
      </c>
      <c r="C100" s="31">
        <f>104.8</f>
        <v>104.8</v>
      </c>
      <c r="D100" s="32">
        <f>105.1</f>
        <v>105.1</v>
      </c>
      <c r="E100" s="33">
        <f>106.9</f>
        <v>106.9</v>
      </c>
      <c r="F100" s="24">
        <f>120.2</f>
        <v>120.2</v>
      </c>
      <c r="G100" s="25">
        <v>123</v>
      </c>
      <c r="H100" s="28">
        <f>130.4</f>
        <v>130.4</v>
      </c>
      <c r="I100" s="29">
        <f>130.4</f>
        <v>130.4</v>
      </c>
      <c r="J100" s="24">
        <f>133.1</f>
        <v>133.1</v>
      </c>
      <c r="K100" s="25">
        <f>133.7</f>
        <v>133.69999999999999</v>
      </c>
      <c r="L100" s="28">
        <f>146.8</f>
        <v>146.80000000000001</v>
      </c>
      <c r="M100" s="29">
        <f>147.6</f>
        <v>147.6</v>
      </c>
      <c r="N100" s="24">
        <f>179.5</f>
        <v>179.5</v>
      </c>
      <c r="O100" s="25">
        <f>180.1</f>
        <v>180.1</v>
      </c>
      <c r="P100" s="28">
        <f>173.8</f>
        <v>173.8</v>
      </c>
      <c r="Q100" s="29">
        <v>174</v>
      </c>
      <c r="R100" s="24">
        <v>200</v>
      </c>
      <c r="S100" s="25">
        <f>200.6</f>
        <v>200.6</v>
      </c>
      <c r="T100" s="28">
        <f>201.5</f>
        <v>201.5</v>
      </c>
      <c r="U100" s="29">
        <f>206.3</f>
        <v>206.3</v>
      </c>
      <c r="V100" s="24">
        <v>222.7</v>
      </c>
      <c r="W100" s="25">
        <v>223</v>
      </c>
      <c r="X100" s="28">
        <v>184.2</v>
      </c>
      <c r="Y100" s="29">
        <v>190.4</v>
      </c>
      <c r="Z100" s="24">
        <v>199.6</v>
      </c>
      <c r="AA100" s="25">
        <v>209.9</v>
      </c>
      <c r="AB100" s="28">
        <v>219.5</v>
      </c>
      <c r="AC100" s="29">
        <v>227</v>
      </c>
      <c r="AD100" s="24"/>
      <c r="AE100" s="25"/>
      <c r="AF100" s="28"/>
      <c r="AG100" s="29"/>
      <c r="AH100" s="24"/>
      <c r="AI100" s="25"/>
      <c r="AJ100" s="28"/>
      <c r="AK100" s="29"/>
      <c r="AL100" s="24"/>
      <c r="AM100" s="25"/>
      <c r="AN100" s="28"/>
      <c r="AO100" s="29">
        <v>521.9</v>
      </c>
      <c r="AP100" s="24">
        <v>556.4</v>
      </c>
      <c r="AQ100" s="25">
        <v>548.5</v>
      </c>
      <c r="AR100" s="28">
        <v>543.4</v>
      </c>
      <c r="AS100" s="29">
        <v>551.1</v>
      </c>
      <c r="AT100" s="24">
        <v>587</v>
      </c>
      <c r="AU100" s="25">
        <v>602.79999999999995</v>
      </c>
      <c r="AV100" s="28">
        <v>597</v>
      </c>
      <c r="AW100" s="29">
        <v>603.20000000000005</v>
      </c>
      <c r="AX100" s="24"/>
      <c r="AY100" s="25"/>
      <c r="AZ100" s="28"/>
      <c r="BA100" s="29"/>
      <c r="BB100" s="24">
        <v>778.8</v>
      </c>
      <c r="BC100" s="25">
        <v>786</v>
      </c>
      <c r="BD100" s="28">
        <v>793.2</v>
      </c>
      <c r="BE100" s="29">
        <v>800.4</v>
      </c>
      <c r="BF100" s="24">
        <v>871.2</v>
      </c>
      <c r="BG100" s="25">
        <v>875.6</v>
      </c>
      <c r="BH100" s="28">
        <v>888.4</v>
      </c>
      <c r="BI100" s="29">
        <v>896.4</v>
      </c>
      <c r="BJ100" s="24">
        <v>1029.0999999999999</v>
      </c>
      <c r="BK100" s="58"/>
      <c r="BL100" s="58"/>
      <c r="BM100" s="25"/>
      <c r="BN100" s="87">
        <v>1570.6</v>
      </c>
      <c r="BO100" s="97">
        <v>1555.5</v>
      </c>
      <c r="BP100" s="91">
        <f>1776.1</f>
        <v>1776.1</v>
      </c>
      <c r="BQ100" s="89">
        <f>1741.5</f>
        <v>1741.5</v>
      </c>
      <c r="BR100" s="28">
        <v>1833.8</v>
      </c>
      <c r="BS100" s="29">
        <v>1898.7</v>
      </c>
      <c r="BT100" s="12">
        <v>2252.9</v>
      </c>
      <c r="BU100" s="57">
        <v>2698.6</v>
      </c>
      <c r="BV100" s="57">
        <v>2968.5</v>
      </c>
      <c r="BW100" s="13">
        <v>3307.6</v>
      </c>
      <c r="BX100" s="28">
        <v>3686.8</v>
      </c>
      <c r="BY100" s="29">
        <v>3772.1</v>
      </c>
      <c r="BZ100" s="91">
        <v>4190.7</v>
      </c>
      <c r="CA100" s="89">
        <v>4298.8999999999996</v>
      </c>
      <c r="CB100" s="28">
        <v>4598</v>
      </c>
      <c r="CC100" s="29">
        <v>4710.3999999999996</v>
      </c>
      <c r="CD100" s="24">
        <v>5151.8999999999996</v>
      </c>
      <c r="CE100" s="25">
        <v>5281.6</v>
      </c>
      <c r="CF100" s="14">
        <v>5758.7</v>
      </c>
      <c r="CG100" s="15">
        <v>6227.9</v>
      </c>
      <c r="CH100" s="15">
        <v>6884.9</v>
      </c>
      <c r="CI100" s="15">
        <v>6992.7</v>
      </c>
      <c r="CJ100" s="88">
        <v>7317.8</v>
      </c>
      <c r="CK100" s="92">
        <v>7362.8</v>
      </c>
      <c r="CL100" s="14">
        <v>7796.2</v>
      </c>
      <c r="CM100" s="15">
        <v>8194.1</v>
      </c>
      <c r="CN100" s="88">
        <v>9365.6</v>
      </c>
      <c r="CO100" s="92">
        <v>9648.2999999999993</v>
      </c>
      <c r="CP100" s="14"/>
      <c r="CQ100" s="15"/>
    </row>
  </sheetData>
  <mergeCells count="22">
    <mergeCell ref="AP1:AS1"/>
    <mergeCell ref="AT1:AW1"/>
    <mergeCell ref="BB1:BE1"/>
    <mergeCell ref="AX1:BA1"/>
    <mergeCell ref="CD1:CI1"/>
    <mergeCell ref="BZ1:CC1"/>
    <mergeCell ref="CN1:CQ1"/>
    <mergeCell ref="V1:Y1"/>
    <mergeCell ref="Z1:AC1"/>
    <mergeCell ref="B1:E1"/>
    <mergeCell ref="F1:I1"/>
    <mergeCell ref="J1:M1"/>
    <mergeCell ref="N1:Q1"/>
    <mergeCell ref="R1:U1"/>
    <mergeCell ref="CJ1:CM1"/>
    <mergeCell ref="AD1:AG1"/>
    <mergeCell ref="BF1:BI1"/>
    <mergeCell ref="BJ1:BO1"/>
    <mergeCell ref="BP1:BS1"/>
    <mergeCell ref="BT1:BY1"/>
    <mergeCell ref="AH1:AK1"/>
    <mergeCell ref="AL1:AO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Q100"/>
  <sheetViews>
    <sheetView rightToLeft="1" view="pageBreakPreview" zoomScale="60" zoomScaleNormal="100" workbookViewId="0">
      <pane xSplit="1" ySplit="2" topLeftCell="BZ3" activePane="bottomRight" state="frozen"/>
      <selection pane="topRight" activeCell="B1" sqref="B1"/>
      <selection pane="bottomLeft" activeCell="A3" sqref="A3"/>
      <selection pane="bottomRight" activeCell="CL4" sqref="CL4"/>
    </sheetView>
  </sheetViews>
  <sheetFormatPr defaultRowHeight="15" x14ac:dyDescent="0.25"/>
  <sheetData>
    <row r="1" spans="1:95" ht="22.5" x14ac:dyDescent="0.25">
      <c r="A1" s="7" t="s">
        <v>1</v>
      </c>
      <c r="B1" s="235">
        <v>1382</v>
      </c>
      <c r="C1" s="235"/>
      <c r="D1" s="235"/>
      <c r="E1" s="235"/>
      <c r="F1" s="235">
        <v>1383</v>
      </c>
      <c r="G1" s="235"/>
      <c r="H1" s="235"/>
      <c r="I1" s="235"/>
      <c r="J1" s="235">
        <v>1384</v>
      </c>
      <c r="K1" s="235"/>
      <c r="L1" s="235"/>
      <c r="M1" s="235"/>
      <c r="N1" s="235">
        <v>1385</v>
      </c>
      <c r="O1" s="235"/>
      <c r="P1" s="235"/>
      <c r="Q1" s="235"/>
      <c r="R1" s="235">
        <v>1386</v>
      </c>
      <c r="S1" s="235"/>
      <c r="T1" s="235"/>
      <c r="U1" s="235"/>
      <c r="V1" s="235">
        <v>1387</v>
      </c>
      <c r="W1" s="235"/>
      <c r="X1" s="235"/>
      <c r="Y1" s="235"/>
      <c r="Z1" s="235">
        <v>1388</v>
      </c>
      <c r="AA1" s="235"/>
      <c r="AB1" s="235"/>
      <c r="AC1" s="235"/>
      <c r="AD1" s="235">
        <v>1389</v>
      </c>
      <c r="AE1" s="235"/>
      <c r="AF1" s="235"/>
      <c r="AG1" s="235"/>
      <c r="AH1" s="235">
        <v>1390</v>
      </c>
      <c r="AI1" s="235"/>
      <c r="AJ1" s="235"/>
      <c r="AK1" s="235"/>
      <c r="AL1" s="235">
        <v>1391</v>
      </c>
      <c r="AM1" s="235"/>
      <c r="AN1" s="235"/>
      <c r="AO1" s="235"/>
      <c r="AP1" s="235">
        <v>1392</v>
      </c>
      <c r="AQ1" s="235"/>
      <c r="AR1" s="235"/>
      <c r="AS1" s="235"/>
      <c r="AT1" s="235">
        <v>1393</v>
      </c>
      <c r="AU1" s="235"/>
      <c r="AV1" s="235"/>
      <c r="AW1" s="235"/>
      <c r="AX1" s="235">
        <v>1394</v>
      </c>
      <c r="AY1" s="235"/>
      <c r="AZ1" s="235"/>
      <c r="BA1" s="235"/>
      <c r="BB1" s="235">
        <v>1395</v>
      </c>
      <c r="BC1" s="235"/>
      <c r="BD1" s="235"/>
      <c r="BE1" s="235"/>
      <c r="BF1" s="235">
        <v>1396</v>
      </c>
      <c r="BG1" s="235"/>
      <c r="BH1" s="235"/>
      <c r="BI1" s="235"/>
      <c r="BJ1" s="235">
        <v>1397</v>
      </c>
      <c r="BK1" s="235"/>
      <c r="BL1" s="235"/>
      <c r="BM1" s="235"/>
      <c r="BN1" s="235"/>
      <c r="BO1" s="235"/>
      <c r="BP1" s="235">
        <v>1398</v>
      </c>
      <c r="BQ1" s="235"/>
      <c r="BR1" s="235"/>
      <c r="BS1" s="235"/>
      <c r="BT1" s="235">
        <v>1399</v>
      </c>
      <c r="BU1" s="235"/>
      <c r="BV1" s="235"/>
      <c r="BW1" s="235"/>
      <c r="BX1" s="235"/>
      <c r="BY1" s="235"/>
      <c r="BZ1" s="235">
        <v>1400</v>
      </c>
      <c r="CA1" s="235"/>
      <c r="CB1" s="235"/>
      <c r="CC1" s="235"/>
      <c r="CD1" s="239">
        <v>1401</v>
      </c>
      <c r="CE1" s="240"/>
      <c r="CF1" s="240"/>
      <c r="CG1" s="240"/>
      <c r="CH1" s="240"/>
      <c r="CI1" s="240"/>
      <c r="CJ1" s="235">
        <v>1402</v>
      </c>
      <c r="CK1" s="235"/>
      <c r="CL1" s="235"/>
      <c r="CM1" s="235"/>
      <c r="CN1" s="235">
        <v>1403</v>
      </c>
      <c r="CO1" s="235"/>
      <c r="CP1" s="235"/>
      <c r="CQ1" s="235"/>
    </row>
    <row r="2" spans="1:95" ht="22.5" x14ac:dyDescent="0.25">
      <c r="A2" s="7" t="s">
        <v>3</v>
      </c>
      <c r="B2" s="8" t="s">
        <v>4</v>
      </c>
      <c r="C2" s="9" t="s">
        <v>2</v>
      </c>
      <c r="D2" s="10" t="s">
        <v>5</v>
      </c>
      <c r="E2" s="11" t="s">
        <v>6</v>
      </c>
      <c r="F2" s="8" t="s">
        <v>4</v>
      </c>
      <c r="G2" s="9" t="s">
        <v>2</v>
      </c>
      <c r="H2" s="10" t="s">
        <v>5</v>
      </c>
      <c r="I2" s="11" t="s">
        <v>6</v>
      </c>
      <c r="J2" s="8" t="s">
        <v>4</v>
      </c>
      <c r="K2" s="9" t="s">
        <v>2</v>
      </c>
      <c r="L2" s="10" t="s">
        <v>5</v>
      </c>
      <c r="M2" s="11" t="s">
        <v>6</v>
      </c>
      <c r="N2" s="8" t="s">
        <v>4</v>
      </c>
      <c r="O2" s="9" t="s">
        <v>2</v>
      </c>
      <c r="P2" s="10" t="s">
        <v>5</v>
      </c>
      <c r="Q2" s="11" t="s">
        <v>6</v>
      </c>
      <c r="R2" s="8" t="s">
        <v>4</v>
      </c>
      <c r="S2" s="9" t="s">
        <v>2</v>
      </c>
      <c r="T2" s="10" t="s">
        <v>5</v>
      </c>
      <c r="U2" s="11" t="s">
        <v>6</v>
      </c>
      <c r="V2" s="8" t="s">
        <v>4</v>
      </c>
      <c r="W2" s="9" t="s">
        <v>2</v>
      </c>
      <c r="X2" s="10" t="s">
        <v>5</v>
      </c>
      <c r="Y2" s="11" t="s">
        <v>6</v>
      </c>
      <c r="Z2" s="8" t="s">
        <v>4</v>
      </c>
      <c r="AA2" s="9" t="s">
        <v>2</v>
      </c>
      <c r="AB2" s="10" t="s">
        <v>5</v>
      </c>
      <c r="AC2" s="11" t="s">
        <v>6</v>
      </c>
      <c r="AD2" s="8" t="s">
        <v>4</v>
      </c>
      <c r="AE2" s="9" t="s">
        <v>2</v>
      </c>
      <c r="AF2" s="10" t="s">
        <v>5</v>
      </c>
      <c r="AG2" s="11" t="s">
        <v>6</v>
      </c>
      <c r="AH2" s="8" t="s">
        <v>4</v>
      </c>
      <c r="AI2" s="9" t="s">
        <v>2</v>
      </c>
      <c r="AJ2" s="10" t="s">
        <v>5</v>
      </c>
      <c r="AK2" s="11" t="s">
        <v>6</v>
      </c>
      <c r="AL2" s="8" t="s">
        <v>4</v>
      </c>
      <c r="AM2" s="9" t="s">
        <v>2</v>
      </c>
      <c r="AN2" s="10" t="s">
        <v>5</v>
      </c>
      <c r="AO2" s="11" t="s">
        <v>6</v>
      </c>
      <c r="AP2" s="8" t="s">
        <v>4</v>
      </c>
      <c r="AQ2" s="9" t="s">
        <v>2</v>
      </c>
      <c r="AR2" s="10" t="s">
        <v>5</v>
      </c>
      <c r="AS2" s="11" t="s">
        <v>6</v>
      </c>
      <c r="AT2" s="8" t="s">
        <v>4</v>
      </c>
      <c r="AU2" s="9" t="s">
        <v>2</v>
      </c>
      <c r="AV2" s="10" t="s">
        <v>5</v>
      </c>
      <c r="AW2" s="11" t="s">
        <v>6</v>
      </c>
      <c r="AX2" s="8" t="s">
        <v>4</v>
      </c>
      <c r="AY2" s="9" t="s">
        <v>2</v>
      </c>
      <c r="AZ2" s="10" t="s">
        <v>5</v>
      </c>
      <c r="BA2" s="11" t="s">
        <v>6</v>
      </c>
      <c r="BB2" s="8" t="s">
        <v>4</v>
      </c>
      <c r="BC2" s="9" t="s">
        <v>2</v>
      </c>
      <c r="BD2" s="10" t="s">
        <v>5</v>
      </c>
      <c r="BE2" s="11" t="s">
        <v>6</v>
      </c>
      <c r="BF2" s="8" t="s">
        <v>4</v>
      </c>
      <c r="BG2" s="9" t="s">
        <v>2</v>
      </c>
      <c r="BH2" s="10" t="s">
        <v>5</v>
      </c>
      <c r="BI2" s="11" t="s">
        <v>6</v>
      </c>
      <c r="BJ2" s="8" t="s">
        <v>4</v>
      </c>
      <c r="BK2" s="7" t="s">
        <v>57</v>
      </c>
      <c r="BL2" s="7" t="s">
        <v>58</v>
      </c>
      <c r="BM2" s="9" t="s">
        <v>59</v>
      </c>
      <c r="BN2" s="10" t="s">
        <v>5</v>
      </c>
      <c r="BO2" s="11" t="s">
        <v>6</v>
      </c>
      <c r="BP2" s="8" t="s">
        <v>4</v>
      </c>
      <c r="BQ2" s="9" t="s">
        <v>2</v>
      </c>
      <c r="BR2" s="10" t="s">
        <v>5</v>
      </c>
      <c r="BS2" s="11" t="s">
        <v>6</v>
      </c>
      <c r="BT2" s="8" t="s">
        <v>4</v>
      </c>
      <c r="BU2" s="7" t="s">
        <v>57</v>
      </c>
      <c r="BV2" s="7" t="s">
        <v>58</v>
      </c>
      <c r="BW2" s="9" t="s">
        <v>59</v>
      </c>
      <c r="BX2" s="10" t="s">
        <v>5</v>
      </c>
      <c r="BY2" s="11" t="s">
        <v>6</v>
      </c>
      <c r="BZ2" s="8" t="s">
        <v>4</v>
      </c>
      <c r="CA2" s="9" t="s">
        <v>2</v>
      </c>
      <c r="CB2" s="10" t="s">
        <v>5</v>
      </c>
      <c r="CC2" s="11" t="s">
        <v>6</v>
      </c>
      <c r="CD2" s="8" t="s">
        <v>4</v>
      </c>
      <c r="CE2" s="9" t="s">
        <v>2</v>
      </c>
      <c r="CF2" s="10" t="s">
        <v>5</v>
      </c>
      <c r="CG2" s="11" t="s">
        <v>115</v>
      </c>
      <c r="CH2" s="11" t="s">
        <v>116</v>
      </c>
      <c r="CI2" s="11" t="s">
        <v>117</v>
      </c>
      <c r="CJ2" s="8" t="s">
        <v>4</v>
      </c>
      <c r="CK2" s="9" t="s">
        <v>2</v>
      </c>
      <c r="CL2" s="10" t="s">
        <v>5</v>
      </c>
      <c r="CM2" s="11" t="s">
        <v>6</v>
      </c>
      <c r="CN2" s="8" t="s">
        <v>4</v>
      </c>
      <c r="CO2" s="9" t="s">
        <v>2</v>
      </c>
      <c r="CP2" s="10" t="s">
        <v>5</v>
      </c>
      <c r="CQ2" s="11" t="s">
        <v>6</v>
      </c>
    </row>
    <row r="3" spans="1:95" s="116" customFormat="1" ht="25.5" x14ac:dyDescent="0.6">
      <c r="A3" s="110">
        <v>1</v>
      </c>
      <c r="B3" s="111"/>
      <c r="C3" s="112"/>
      <c r="D3" s="113"/>
      <c r="E3" s="114"/>
      <c r="F3" s="111"/>
      <c r="G3" s="112"/>
      <c r="H3" s="113"/>
      <c r="I3" s="114"/>
      <c r="J3" s="111"/>
      <c r="K3" s="112"/>
      <c r="L3" s="113"/>
      <c r="M3" s="114"/>
      <c r="N3" s="111"/>
      <c r="O3" s="112"/>
      <c r="P3" s="113"/>
      <c r="Q3" s="114"/>
      <c r="R3" s="111"/>
      <c r="S3" s="112"/>
      <c r="T3" s="113"/>
      <c r="U3" s="114"/>
      <c r="V3" s="111"/>
      <c r="W3" s="112"/>
      <c r="X3" s="113"/>
      <c r="Y3" s="114"/>
      <c r="Z3" s="111"/>
      <c r="AA3" s="112"/>
      <c r="AB3" s="113"/>
      <c r="AC3" s="114"/>
      <c r="AD3" s="111"/>
      <c r="AE3" s="112"/>
      <c r="AF3" s="113"/>
      <c r="AG3" s="114"/>
      <c r="AH3" s="111"/>
      <c r="AI3" s="112"/>
      <c r="AJ3" s="113"/>
      <c r="AK3" s="114"/>
      <c r="AL3" s="111"/>
      <c r="AM3" s="112"/>
      <c r="AN3" s="113"/>
      <c r="AO3" s="114"/>
      <c r="AP3" s="111"/>
      <c r="AQ3" s="112"/>
      <c r="AR3" s="113"/>
      <c r="AS3" s="114"/>
      <c r="AT3" s="111"/>
      <c r="AU3" s="112"/>
      <c r="AV3" s="113"/>
      <c r="AW3" s="114"/>
      <c r="AX3" s="111"/>
      <c r="AY3" s="112"/>
      <c r="AZ3" s="113"/>
      <c r="BA3" s="114"/>
      <c r="BB3" s="111">
        <v>684</v>
      </c>
      <c r="BC3" s="112">
        <v>685</v>
      </c>
      <c r="BD3" s="113">
        <v>686</v>
      </c>
      <c r="BE3" s="114">
        <v>687</v>
      </c>
      <c r="BF3" s="111">
        <v>688</v>
      </c>
      <c r="BG3" s="112">
        <v>689</v>
      </c>
      <c r="BH3" s="113">
        <v>690</v>
      </c>
      <c r="BI3" s="114">
        <v>691</v>
      </c>
      <c r="BJ3" s="111">
        <v>692</v>
      </c>
      <c r="BK3" s="115">
        <v>693</v>
      </c>
      <c r="BL3" s="115">
        <v>694</v>
      </c>
      <c r="BM3" s="112">
        <v>695</v>
      </c>
      <c r="BN3" s="113">
        <v>695</v>
      </c>
      <c r="BO3" s="114">
        <f>696</f>
        <v>696</v>
      </c>
      <c r="BP3" s="111">
        <v>697</v>
      </c>
      <c r="BQ3" s="112">
        <v>698</v>
      </c>
      <c r="BR3" s="113">
        <f>699</f>
        <v>699</v>
      </c>
      <c r="BS3" s="114">
        <v>700</v>
      </c>
      <c r="BT3" s="111">
        <v>701</v>
      </c>
      <c r="BU3" s="115">
        <v>703</v>
      </c>
      <c r="BV3" s="115">
        <f>703</f>
        <v>703</v>
      </c>
      <c r="BW3" s="112">
        <f>704</f>
        <v>704</v>
      </c>
      <c r="BX3" s="113">
        <v>705</v>
      </c>
      <c r="BY3" s="114">
        <v>706</v>
      </c>
      <c r="BZ3" s="111">
        <v>707</v>
      </c>
      <c r="CA3" s="112">
        <v>708</v>
      </c>
      <c r="CB3" s="113">
        <v>709</v>
      </c>
      <c r="CC3" s="114">
        <v>710</v>
      </c>
      <c r="CD3" s="111">
        <v>711</v>
      </c>
      <c r="CE3" s="112">
        <v>712</v>
      </c>
      <c r="CF3" s="158">
        <v>713</v>
      </c>
      <c r="CG3" s="159">
        <v>714</v>
      </c>
      <c r="CH3" s="159">
        <v>714</v>
      </c>
      <c r="CI3" s="159">
        <v>714</v>
      </c>
      <c r="CJ3" s="111"/>
      <c r="CK3" s="112"/>
      <c r="CL3" s="113"/>
      <c r="CM3" s="114"/>
      <c r="CN3" s="111"/>
      <c r="CO3" s="112"/>
      <c r="CP3" s="113"/>
      <c r="CQ3" s="114"/>
    </row>
    <row r="4" spans="1:95" s="116" customFormat="1" ht="25.5" x14ac:dyDescent="0.6">
      <c r="A4" s="110">
        <v>2</v>
      </c>
      <c r="B4" s="111"/>
      <c r="C4" s="112"/>
      <c r="D4" s="113"/>
      <c r="E4" s="114"/>
      <c r="F4" s="111"/>
      <c r="G4" s="112"/>
      <c r="H4" s="113"/>
      <c r="I4" s="114"/>
      <c r="J4" s="111"/>
      <c r="K4" s="112"/>
      <c r="L4" s="113"/>
      <c r="M4" s="114"/>
      <c r="N4" s="111"/>
      <c r="O4" s="112"/>
      <c r="P4" s="113"/>
      <c r="Q4" s="114"/>
      <c r="R4" s="111"/>
      <c r="S4" s="112"/>
      <c r="T4" s="113"/>
      <c r="U4" s="114"/>
      <c r="V4" s="111"/>
      <c r="W4" s="112"/>
      <c r="X4" s="113"/>
      <c r="Y4" s="114"/>
      <c r="Z4" s="111"/>
      <c r="AA4" s="112"/>
      <c r="AB4" s="113"/>
      <c r="AC4" s="114"/>
      <c r="AD4" s="111"/>
      <c r="AE4" s="112"/>
      <c r="AF4" s="113"/>
      <c r="AG4" s="114"/>
      <c r="AH4" s="111"/>
      <c r="AI4" s="112"/>
      <c r="AJ4" s="113"/>
      <c r="AK4" s="114"/>
      <c r="AL4" s="111"/>
      <c r="AM4" s="112"/>
      <c r="AN4" s="113"/>
      <c r="AO4" s="114"/>
      <c r="AP4" s="111"/>
      <c r="AQ4" s="112"/>
      <c r="AR4" s="113"/>
      <c r="AS4" s="114"/>
      <c r="AT4" s="111"/>
      <c r="AU4" s="112"/>
      <c r="AV4" s="113"/>
      <c r="AW4" s="114"/>
      <c r="AX4" s="111"/>
      <c r="AY4" s="112"/>
      <c r="AZ4" s="113"/>
      <c r="BA4" s="114"/>
      <c r="BB4" s="111">
        <v>776</v>
      </c>
      <c r="BC4" s="112">
        <v>784.1</v>
      </c>
      <c r="BD4" s="113">
        <v>790.6</v>
      </c>
      <c r="BE4" s="114">
        <v>797.1</v>
      </c>
      <c r="BF4" s="111">
        <v>852.4</v>
      </c>
      <c r="BG4" s="112">
        <v>857</v>
      </c>
      <c r="BH4" s="113">
        <v>875.3</v>
      </c>
      <c r="BI4" s="114">
        <v>883.3</v>
      </c>
      <c r="BJ4" s="111">
        <v>995.4</v>
      </c>
      <c r="BK4" s="115">
        <v>1089.3</v>
      </c>
      <c r="BL4" s="115">
        <v>1136</v>
      </c>
      <c r="BM4" s="112">
        <v>1171.5999999999999</v>
      </c>
      <c r="BN4" s="113">
        <f>1193.3</f>
        <v>1193.3</v>
      </c>
      <c r="BO4" s="114">
        <f>1254.1</f>
        <v>1254.0999999999999</v>
      </c>
      <c r="BP4" s="111">
        <v>1474</v>
      </c>
      <c r="BQ4" s="112">
        <v>1558.1</v>
      </c>
      <c r="BR4" s="113">
        <v>1641.3</v>
      </c>
      <c r="BS4" s="114">
        <v>1715.7</v>
      </c>
      <c r="BT4" s="111">
        <v>2068.4</v>
      </c>
      <c r="BU4" s="115">
        <f>2376.5</f>
        <v>2376.5</v>
      </c>
      <c r="BV4" s="115">
        <f>2449.1</f>
        <v>2449.1</v>
      </c>
      <c r="BW4" s="112">
        <f>2608.3</f>
        <v>2608.3000000000002</v>
      </c>
      <c r="BX4" s="113">
        <v>2860.3</v>
      </c>
      <c r="BY4" s="114">
        <v>3010.6</v>
      </c>
      <c r="BZ4" s="111">
        <v>3882.2</v>
      </c>
      <c r="CA4" s="112">
        <v>4190.3</v>
      </c>
      <c r="CB4" s="113">
        <v>4238</v>
      </c>
      <c r="CC4" s="114">
        <v>4365.3</v>
      </c>
      <c r="CD4" s="111">
        <v>5465.6</v>
      </c>
      <c r="CE4" s="112">
        <v>5630.3</v>
      </c>
      <c r="CF4" s="160">
        <v>6033.9</v>
      </c>
      <c r="CG4" s="159">
        <v>6367.9</v>
      </c>
      <c r="CH4" s="159">
        <v>6371.8</v>
      </c>
      <c r="CI4" s="159">
        <v>6375.1</v>
      </c>
      <c r="CJ4" s="111"/>
      <c r="CK4" s="112"/>
      <c r="CL4" s="113"/>
      <c r="CM4" s="114"/>
      <c r="CN4" s="111"/>
      <c r="CO4" s="112"/>
      <c r="CP4" s="113"/>
      <c r="CQ4" s="114"/>
    </row>
    <row r="5" spans="1:95" s="116" customFormat="1" ht="25.5" x14ac:dyDescent="0.6">
      <c r="A5" s="110">
        <v>3</v>
      </c>
      <c r="B5" s="111"/>
      <c r="C5" s="112"/>
      <c r="D5" s="113"/>
      <c r="E5" s="114"/>
      <c r="F5" s="111"/>
      <c r="G5" s="112"/>
      <c r="H5" s="113"/>
      <c r="I5" s="114"/>
      <c r="J5" s="111"/>
      <c r="K5" s="112"/>
      <c r="L5" s="113"/>
      <c r="M5" s="114"/>
      <c r="N5" s="111"/>
      <c r="O5" s="112"/>
      <c r="P5" s="113"/>
      <c r="Q5" s="114"/>
      <c r="R5" s="111"/>
      <c r="S5" s="112"/>
      <c r="T5" s="113"/>
      <c r="U5" s="114"/>
      <c r="V5" s="111"/>
      <c r="W5" s="112"/>
      <c r="X5" s="113"/>
      <c r="Y5" s="114"/>
      <c r="Z5" s="111"/>
      <c r="AA5" s="112"/>
      <c r="AB5" s="113"/>
      <c r="AC5" s="114"/>
      <c r="AD5" s="111"/>
      <c r="AE5" s="112"/>
      <c r="AF5" s="113"/>
      <c r="AG5" s="114"/>
      <c r="AH5" s="111"/>
      <c r="AI5" s="112"/>
      <c r="AJ5" s="113"/>
      <c r="AK5" s="114"/>
      <c r="AL5" s="111"/>
      <c r="AM5" s="112"/>
      <c r="AN5" s="113"/>
      <c r="AO5" s="114"/>
      <c r="AP5" s="111"/>
      <c r="AQ5" s="112"/>
      <c r="AR5" s="113"/>
      <c r="AS5" s="114"/>
      <c r="AT5" s="111"/>
      <c r="AU5" s="112"/>
      <c r="AV5" s="113"/>
      <c r="AW5" s="114"/>
      <c r="AX5" s="111"/>
      <c r="AY5" s="112"/>
      <c r="AZ5" s="113"/>
      <c r="BA5" s="114"/>
      <c r="BB5" s="111">
        <v>762</v>
      </c>
      <c r="BC5" s="112">
        <v>769.2</v>
      </c>
      <c r="BD5" s="113">
        <v>776</v>
      </c>
      <c r="BE5" s="114">
        <v>78208</v>
      </c>
      <c r="BF5" s="111">
        <v>838.5</v>
      </c>
      <c r="BG5" s="112">
        <v>840.3</v>
      </c>
      <c r="BH5" s="113">
        <v>859.3</v>
      </c>
      <c r="BI5" s="114">
        <v>866.9</v>
      </c>
      <c r="BJ5" s="111">
        <v>973</v>
      </c>
      <c r="BK5" s="115">
        <v>1067.9000000000001</v>
      </c>
      <c r="BL5" s="115">
        <v>1110.4000000000001</v>
      </c>
      <c r="BM5" s="112">
        <v>1149.5</v>
      </c>
      <c r="BN5" s="113">
        <f>1175.3</f>
        <v>1175.3</v>
      </c>
      <c r="BO5" s="114">
        <f>1234.2</f>
        <v>1234.2</v>
      </c>
      <c r="BP5" s="111">
        <v>1448.1</v>
      </c>
      <c r="BQ5" s="112">
        <v>1533.2</v>
      </c>
      <c r="BR5" s="113">
        <v>1601.9</v>
      </c>
      <c r="BS5" s="114">
        <v>1678.5</v>
      </c>
      <c r="BT5" s="111">
        <v>2006.7</v>
      </c>
      <c r="BU5" s="115">
        <f>2296.1</f>
        <v>2296.1</v>
      </c>
      <c r="BV5" s="115">
        <f>2370.6</f>
        <v>2370.6</v>
      </c>
      <c r="BW5" s="112">
        <f>2535</f>
        <v>2535</v>
      </c>
      <c r="BX5" s="113">
        <v>2801.1</v>
      </c>
      <c r="BY5" s="114">
        <v>2953.3</v>
      </c>
      <c r="BZ5" s="111">
        <v>3816.6</v>
      </c>
      <c r="CA5" s="112">
        <v>4107.1000000000004</v>
      </c>
      <c r="CB5" s="113">
        <v>4143.3999999999996</v>
      </c>
      <c r="CC5" s="114">
        <v>4256.6000000000004</v>
      </c>
      <c r="CD5" s="111">
        <v>5317.5</v>
      </c>
      <c r="CE5" s="112">
        <v>5469.5</v>
      </c>
      <c r="CF5" s="160">
        <v>5847.9</v>
      </c>
      <c r="CG5" s="159">
        <v>6181.7</v>
      </c>
      <c r="CH5" s="159">
        <v>6182.6</v>
      </c>
      <c r="CI5" s="159">
        <v>6183.3</v>
      </c>
      <c r="CJ5" s="111"/>
      <c r="CK5" s="112"/>
      <c r="CL5" s="113"/>
      <c r="CM5" s="114"/>
      <c r="CN5" s="111"/>
      <c r="CO5" s="112"/>
      <c r="CP5" s="113"/>
      <c r="CQ5" s="114"/>
    </row>
    <row r="6" spans="1:95" s="116" customFormat="1" ht="25.5" x14ac:dyDescent="0.6">
      <c r="A6" s="110">
        <v>4</v>
      </c>
      <c r="B6" s="111"/>
      <c r="C6" s="112"/>
      <c r="D6" s="113"/>
      <c r="E6" s="114"/>
      <c r="F6" s="111"/>
      <c r="G6" s="112"/>
      <c r="H6" s="113"/>
      <c r="I6" s="114"/>
      <c r="J6" s="111"/>
      <c r="K6" s="112"/>
      <c r="L6" s="113"/>
      <c r="M6" s="114"/>
      <c r="N6" s="111"/>
      <c r="O6" s="112"/>
      <c r="P6" s="113"/>
      <c r="Q6" s="114"/>
      <c r="R6" s="111"/>
      <c r="S6" s="112"/>
      <c r="T6" s="113"/>
      <c r="U6" s="114"/>
      <c r="V6" s="111"/>
      <c r="W6" s="112"/>
      <c r="X6" s="113"/>
      <c r="Y6" s="114"/>
      <c r="Z6" s="111"/>
      <c r="AA6" s="112"/>
      <c r="AB6" s="113"/>
      <c r="AC6" s="114"/>
      <c r="AD6" s="111"/>
      <c r="AE6" s="112"/>
      <c r="AF6" s="113"/>
      <c r="AG6" s="114"/>
      <c r="AH6" s="111"/>
      <c r="AI6" s="112"/>
      <c r="AJ6" s="113"/>
      <c r="AK6" s="114"/>
      <c r="AL6" s="111"/>
      <c r="AM6" s="112"/>
      <c r="AN6" s="113"/>
      <c r="AO6" s="114"/>
      <c r="AP6" s="111"/>
      <c r="AQ6" s="112"/>
      <c r="AR6" s="113"/>
      <c r="AS6" s="114"/>
      <c r="AT6" s="111"/>
      <c r="AU6" s="112"/>
      <c r="AV6" s="113"/>
      <c r="AW6" s="114"/>
      <c r="AX6" s="111"/>
      <c r="AY6" s="112"/>
      <c r="AZ6" s="113"/>
      <c r="BA6" s="114"/>
      <c r="BB6" s="111">
        <v>801.2</v>
      </c>
      <c r="BC6" s="112">
        <v>808.9</v>
      </c>
      <c r="BD6" s="113">
        <v>816.3</v>
      </c>
      <c r="BE6" s="114">
        <v>823.7</v>
      </c>
      <c r="BF6" s="111">
        <v>882.6</v>
      </c>
      <c r="BG6" s="112">
        <v>884.5</v>
      </c>
      <c r="BH6" s="113">
        <v>904.7</v>
      </c>
      <c r="BI6" s="114">
        <v>913</v>
      </c>
      <c r="BJ6" s="111">
        <v>1029</v>
      </c>
      <c r="BK6" s="115">
        <v>1128.5</v>
      </c>
      <c r="BL6" s="115">
        <v>1172.0999999999999</v>
      </c>
      <c r="BM6" s="112">
        <v>1212.7</v>
      </c>
      <c r="BN6" s="113">
        <f>1232.1</f>
        <v>1232.0999999999999</v>
      </c>
      <c r="BO6" s="114">
        <f>1291.4</f>
        <v>1291.4000000000001</v>
      </c>
      <c r="BP6" s="111">
        <v>1525.1</v>
      </c>
      <c r="BQ6" s="112">
        <v>1615.5</v>
      </c>
      <c r="BR6" s="113">
        <v>1685.7</v>
      </c>
      <c r="BS6" s="114">
        <v>1766.1</v>
      </c>
      <c r="BT6" s="111">
        <v>2117.5</v>
      </c>
      <c r="BU6" s="115">
        <f>2419.2</f>
        <v>2419.1999999999998</v>
      </c>
      <c r="BV6" s="115">
        <f>2496.1</f>
        <v>2496.1</v>
      </c>
      <c r="BW6" s="112">
        <f>2658.5</f>
        <v>2658.5</v>
      </c>
      <c r="BX6" s="113">
        <v>2927.4</v>
      </c>
      <c r="BY6" s="114">
        <v>3086.1</v>
      </c>
      <c r="BZ6" s="111">
        <v>4004.2</v>
      </c>
      <c r="CA6" s="112">
        <v>4296.8999999999996</v>
      </c>
      <c r="CB6" s="113">
        <v>4331.6000000000004</v>
      </c>
      <c r="CC6" s="114">
        <v>4447.7</v>
      </c>
      <c r="CD6" s="111">
        <v>5580.9</v>
      </c>
      <c r="CE6" s="112">
        <v>5737.7</v>
      </c>
      <c r="CF6" s="160">
        <v>6137</v>
      </c>
      <c r="CG6" s="159">
        <v>6488.6</v>
      </c>
      <c r="CH6" s="159">
        <v>6489.3</v>
      </c>
      <c r="CI6" s="159">
        <v>6489.8</v>
      </c>
      <c r="CJ6" s="111"/>
      <c r="CK6" s="112"/>
      <c r="CL6" s="113"/>
      <c r="CM6" s="114"/>
      <c r="CN6" s="111"/>
      <c r="CO6" s="112"/>
      <c r="CP6" s="113"/>
      <c r="CQ6" s="114"/>
    </row>
    <row r="7" spans="1:95" s="116" customFormat="1" ht="25.5" x14ac:dyDescent="0.6">
      <c r="A7" s="110">
        <v>5</v>
      </c>
      <c r="B7" s="111"/>
      <c r="C7" s="112"/>
      <c r="D7" s="113"/>
      <c r="E7" s="114"/>
      <c r="F7" s="111"/>
      <c r="G7" s="112"/>
      <c r="H7" s="113"/>
      <c r="I7" s="114"/>
      <c r="J7" s="111"/>
      <c r="K7" s="112"/>
      <c r="L7" s="113"/>
      <c r="M7" s="114"/>
      <c r="N7" s="111"/>
      <c r="O7" s="112"/>
      <c r="P7" s="113"/>
      <c r="Q7" s="114"/>
      <c r="R7" s="111"/>
      <c r="S7" s="112"/>
      <c r="T7" s="113"/>
      <c r="U7" s="114"/>
      <c r="V7" s="111"/>
      <c r="W7" s="112"/>
      <c r="X7" s="113"/>
      <c r="Y7" s="114"/>
      <c r="Z7" s="111"/>
      <c r="AA7" s="112"/>
      <c r="AB7" s="113"/>
      <c r="AC7" s="114"/>
      <c r="AD7" s="111"/>
      <c r="AE7" s="112"/>
      <c r="AF7" s="113"/>
      <c r="AG7" s="114"/>
      <c r="AH7" s="111"/>
      <c r="AI7" s="112"/>
      <c r="AJ7" s="113"/>
      <c r="AK7" s="114"/>
      <c r="AL7" s="111"/>
      <c r="AM7" s="112"/>
      <c r="AN7" s="113"/>
      <c r="AO7" s="114"/>
      <c r="AP7" s="111"/>
      <c r="AQ7" s="112"/>
      <c r="AR7" s="113"/>
      <c r="AS7" s="114"/>
      <c r="AT7" s="111"/>
      <c r="AU7" s="112"/>
      <c r="AV7" s="113"/>
      <c r="AW7" s="114"/>
      <c r="AX7" s="111"/>
      <c r="AY7" s="112"/>
      <c r="AZ7" s="113"/>
      <c r="BA7" s="114"/>
      <c r="BB7" s="111">
        <v>727.1</v>
      </c>
      <c r="BC7" s="112">
        <v>735</v>
      </c>
      <c r="BD7" s="113">
        <v>743.7</v>
      </c>
      <c r="BE7" s="114">
        <v>752.4</v>
      </c>
      <c r="BF7" s="111">
        <v>806.2</v>
      </c>
      <c r="BG7" s="112">
        <v>824.9</v>
      </c>
      <c r="BH7" s="113">
        <v>846.9</v>
      </c>
      <c r="BI7" s="114">
        <v>854.8</v>
      </c>
      <c r="BJ7" s="111">
        <v>978.1</v>
      </c>
      <c r="BK7" s="115">
        <v>1054.9000000000001</v>
      </c>
      <c r="BL7" s="115">
        <v>1128.7</v>
      </c>
      <c r="BM7" s="112">
        <v>1154.0999999999999</v>
      </c>
      <c r="BN7" s="113">
        <f>1178.7</f>
        <v>1178.7</v>
      </c>
      <c r="BO7" s="114">
        <f>1215.3</f>
        <v>1215.3</v>
      </c>
      <c r="BP7" s="111">
        <v>1442.9</v>
      </c>
      <c r="BQ7" s="112">
        <v>1499.3</v>
      </c>
      <c r="BR7" s="113">
        <v>1546.6</v>
      </c>
      <c r="BS7" s="114">
        <v>1635.7</v>
      </c>
      <c r="BT7" s="111">
        <v>1965</v>
      </c>
      <c r="BU7" s="115">
        <f>2302</f>
        <v>2302</v>
      </c>
      <c r="BV7" s="115">
        <f>2402.3</f>
        <v>2402.3000000000002</v>
      </c>
      <c r="BW7" s="112">
        <f>2502.1</f>
        <v>2502.1</v>
      </c>
      <c r="BX7" s="113">
        <v>2720.1</v>
      </c>
      <c r="BY7" s="114">
        <v>2872.2</v>
      </c>
      <c r="BZ7" s="111">
        <v>3629.9</v>
      </c>
      <c r="CA7" s="112">
        <v>3885.7</v>
      </c>
      <c r="CB7" s="113">
        <v>3905.8</v>
      </c>
      <c r="CC7" s="114">
        <v>3971.1</v>
      </c>
      <c r="CD7" s="111">
        <v>4929</v>
      </c>
      <c r="CE7" s="112">
        <v>4992.3</v>
      </c>
      <c r="CF7" s="160">
        <v>5282.1</v>
      </c>
      <c r="CG7" s="159">
        <v>5656.6</v>
      </c>
      <c r="CH7" s="159">
        <v>5764.2</v>
      </c>
      <c r="CI7" s="159">
        <v>5944.9</v>
      </c>
      <c r="CJ7" s="111"/>
      <c r="CK7" s="112"/>
      <c r="CL7" s="113"/>
      <c r="CM7" s="114"/>
      <c r="CN7" s="111"/>
      <c r="CO7" s="112"/>
      <c r="CP7" s="113"/>
      <c r="CQ7" s="114"/>
    </row>
    <row r="8" spans="1:95" s="116" customFormat="1" ht="25.5" x14ac:dyDescent="0.6">
      <c r="A8" s="110">
        <v>6</v>
      </c>
      <c r="B8" s="111"/>
      <c r="C8" s="112"/>
      <c r="D8" s="113"/>
      <c r="E8" s="114"/>
      <c r="F8" s="111"/>
      <c r="G8" s="112"/>
      <c r="H8" s="113"/>
      <c r="I8" s="114"/>
      <c r="J8" s="111"/>
      <c r="K8" s="112"/>
      <c r="L8" s="113"/>
      <c r="M8" s="114"/>
      <c r="N8" s="111"/>
      <c r="O8" s="112"/>
      <c r="P8" s="113"/>
      <c r="Q8" s="114"/>
      <c r="R8" s="111"/>
      <c r="S8" s="112"/>
      <c r="T8" s="113"/>
      <c r="U8" s="114"/>
      <c r="V8" s="111"/>
      <c r="W8" s="112"/>
      <c r="X8" s="113"/>
      <c r="Y8" s="114"/>
      <c r="Z8" s="111"/>
      <c r="AA8" s="112"/>
      <c r="AB8" s="113"/>
      <c r="AC8" s="114"/>
      <c r="AD8" s="111"/>
      <c r="AE8" s="112"/>
      <c r="AF8" s="113"/>
      <c r="AG8" s="114"/>
      <c r="AH8" s="111"/>
      <c r="AI8" s="112"/>
      <c r="AJ8" s="113"/>
      <c r="AK8" s="114"/>
      <c r="AL8" s="111"/>
      <c r="AM8" s="112"/>
      <c r="AN8" s="113"/>
      <c r="AO8" s="114"/>
      <c r="AP8" s="111"/>
      <c r="AQ8" s="112"/>
      <c r="AR8" s="113"/>
      <c r="AS8" s="114"/>
      <c r="AT8" s="111"/>
      <c r="AU8" s="112"/>
      <c r="AV8" s="113"/>
      <c r="AW8" s="114"/>
      <c r="AX8" s="111"/>
      <c r="AY8" s="112"/>
      <c r="AZ8" s="113"/>
      <c r="BA8" s="114"/>
      <c r="BB8" s="111">
        <v>750.1</v>
      </c>
      <c r="BC8" s="112">
        <v>757.2</v>
      </c>
      <c r="BD8" s="113">
        <v>764.3</v>
      </c>
      <c r="BE8" s="114">
        <v>771.3</v>
      </c>
      <c r="BF8" s="111">
        <v>826.8</v>
      </c>
      <c r="BG8" s="112">
        <v>828.4</v>
      </c>
      <c r="BH8" s="113">
        <v>846.9</v>
      </c>
      <c r="BI8" s="114">
        <v>854.6</v>
      </c>
      <c r="BJ8" s="111">
        <v>963.1</v>
      </c>
      <c r="BK8" s="115">
        <v>1056.3</v>
      </c>
      <c r="BL8" s="115">
        <v>1097.3</v>
      </c>
      <c r="BM8" s="112">
        <v>1134.9000000000001</v>
      </c>
      <c r="BN8" s="113">
        <f>1153.7</f>
        <v>1153.7</v>
      </c>
      <c r="BO8" s="114">
        <f>1208.4</f>
        <v>1208.4000000000001</v>
      </c>
      <c r="BP8" s="111">
        <v>1427.1</v>
      </c>
      <c r="BQ8" s="112">
        <v>1511.7</v>
      </c>
      <c r="BR8" s="113">
        <v>1577</v>
      </c>
      <c r="BS8" s="114">
        <v>1653.1</v>
      </c>
      <c r="BT8" s="111">
        <v>1982.1</v>
      </c>
      <c r="BU8" s="115">
        <f>2264.7</f>
        <v>2264.6999999999998</v>
      </c>
      <c r="BV8" s="115">
        <f>2335.8</f>
        <v>2335.8000000000002</v>
      </c>
      <c r="BW8" s="112">
        <f>2487.9</f>
        <v>2487.9</v>
      </c>
      <c r="BX8" s="113">
        <v>2740.8</v>
      </c>
      <c r="BY8" s="114">
        <v>2888</v>
      </c>
      <c r="BZ8" s="111">
        <v>3745.7</v>
      </c>
      <c r="CA8" s="112">
        <v>4020.1</v>
      </c>
      <c r="CB8" s="113">
        <v>4066</v>
      </c>
      <c r="CC8" s="114">
        <v>4173.2</v>
      </c>
      <c r="CD8" s="111">
        <v>5237.3999999999996</v>
      </c>
      <c r="CE8" s="112">
        <v>5383.4</v>
      </c>
      <c r="CF8" s="160">
        <v>5759</v>
      </c>
      <c r="CG8" s="159">
        <v>6088.7</v>
      </c>
      <c r="CH8" s="159">
        <v>6088.7</v>
      </c>
      <c r="CI8" s="159">
        <v>6088.7</v>
      </c>
      <c r="CJ8" s="111"/>
      <c r="CK8" s="112"/>
      <c r="CL8" s="113"/>
      <c r="CM8" s="114"/>
      <c r="CN8" s="111"/>
      <c r="CO8" s="112"/>
      <c r="CP8" s="113"/>
      <c r="CQ8" s="114"/>
    </row>
    <row r="9" spans="1:95" s="116" customFormat="1" ht="25.5" x14ac:dyDescent="0.6">
      <c r="A9" s="110">
        <v>7</v>
      </c>
      <c r="B9" s="111"/>
      <c r="C9" s="112"/>
      <c r="D9" s="113"/>
      <c r="E9" s="114"/>
      <c r="F9" s="111"/>
      <c r="G9" s="112"/>
      <c r="H9" s="113"/>
      <c r="I9" s="114"/>
      <c r="J9" s="111"/>
      <c r="K9" s="112"/>
      <c r="L9" s="113"/>
      <c r="M9" s="114"/>
      <c r="N9" s="111"/>
      <c r="O9" s="112"/>
      <c r="P9" s="113"/>
      <c r="Q9" s="114"/>
      <c r="R9" s="111"/>
      <c r="S9" s="112"/>
      <c r="T9" s="113"/>
      <c r="U9" s="114"/>
      <c r="V9" s="111"/>
      <c r="W9" s="112"/>
      <c r="X9" s="113"/>
      <c r="Y9" s="114"/>
      <c r="Z9" s="111"/>
      <c r="AA9" s="112"/>
      <c r="AB9" s="113"/>
      <c r="AC9" s="114"/>
      <c r="AD9" s="111"/>
      <c r="AE9" s="112"/>
      <c r="AF9" s="113"/>
      <c r="AG9" s="114"/>
      <c r="AH9" s="111"/>
      <c r="AI9" s="112"/>
      <c r="AJ9" s="113"/>
      <c r="AK9" s="114"/>
      <c r="AL9" s="111"/>
      <c r="AM9" s="112"/>
      <c r="AN9" s="113"/>
      <c r="AO9" s="114"/>
      <c r="AP9" s="111"/>
      <c r="AQ9" s="112"/>
      <c r="AR9" s="113"/>
      <c r="AS9" s="114"/>
      <c r="AT9" s="111"/>
      <c r="AU9" s="112"/>
      <c r="AV9" s="113"/>
      <c r="AW9" s="114"/>
      <c r="AX9" s="111"/>
      <c r="AY9" s="112"/>
      <c r="AZ9" s="113"/>
      <c r="BA9" s="114"/>
      <c r="BB9" s="111">
        <v>658.9</v>
      </c>
      <c r="BC9" s="112">
        <v>664.8</v>
      </c>
      <c r="BD9" s="113">
        <v>682</v>
      </c>
      <c r="BE9" s="114">
        <v>689.5</v>
      </c>
      <c r="BF9" s="111">
        <v>737.3</v>
      </c>
      <c r="BG9" s="112">
        <v>752.1</v>
      </c>
      <c r="BH9" s="113">
        <v>769.1</v>
      </c>
      <c r="BI9" s="114">
        <v>780.2</v>
      </c>
      <c r="BJ9" s="111">
        <v>877</v>
      </c>
      <c r="BK9" s="115">
        <v>945.7</v>
      </c>
      <c r="BL9" s="115">
        <v>1004.5</v>
      </c>
      <c r="BM9" s="112">
        <v>1026.4000000000001</v>
      </c>
      <c r="BN9" s="113">
        <f>1064.1</f>
        <v>1064.0999999999999</v>
      </c>
      <c r="BO9" s="114">
        <f>1087.3</f>
        <v>1087.3</v>
      </c>
      <c r="BP9" s="111">
        <v>1269.5</v>
      </c>
      <c r="BQ9" s="112">
        <v>1339.6</v>
      </c>
      <c r="BR9" s="113">
        <v>1390.2</v>
      </c>
      <c r="BS9" s="114">
        <v>1482.4</v>
      </c>
      <c r="BT9" s="111">
        <v>1769.7</v>
      </c>
      <c r="BU9" s="115">
        <f>2085.5</f>
        <v>2085.5</v>
      </c>
      <c r="BV9" s="115">
        <f>2189.4</f>
        <v>2189.4</v>
      </c>
      <c r="BW9" s="112">
        <f>2305</f>
        <v>2305</v>
      </c>
      <c r="BX9" s="113">
        <v>2593.6</v>
      </c>
      <c r="BY9" s="114">
        <v>2725.1</v>
      </c>
      <c r="BZ9" s="111">
        <v>3400</v>
      </c>
      <c r="CA9" s="112">
        <v>3756.2</v>
      </c>
      <c r="CB9" s="113">
        <v>3795.8</v>
      </c>
      <c r="CC9" s="114">
        <v>3827</v>
      </c>
      <c r="CD9" s="111">
        <v>4638.3</v>
      </c>
      <c r="CE9" s="112">
        <v>4673.3</v>
      </c>
      <c r="CF9" s="160">
        <v>4977</v>
      </c>
      <c r="CG9" s="159">
        <v>5380.4</v>
      </c>
      <c r="CH9" s="159">
        <v>5472.4</v>
      </c>
      <c r="CI9" s="159">
        <v>5742.4</v>
      </c>
      <c r="CJ9" s="111"/>
      <c r="CK9" s="112"/>
      <c r="CL9" s="113"/>
      <c r="CM9" s="114"/>
      <c r="CN9" s="111"/>
      <c r="CO9" s="112"/>
      <c r="CP9" s="113"/>
      <c r="CQ9" s="114"/>
    </row>
    <row r="10" spans="1:95" s="116" customFormat="1" ht="25.5" x14ac:dyDescent="0.6">
      <c r="A10" s="110">
        <v>8</v>
      </c>
      <c r="B10" s="111"/>
      <c r="C10" s="112"/>
      <c r="D10" s="113"/>
      <c r="E10" s="114"/>
      <c r="F10" s="111"/>
      <c r="G10" s="112"/>
      <c r="H10" s="113"/>
      <c r="I10" s="114"/>
      <c r="J10" s="111"/>
      <c r="K10" s="112"/>
      <c r="L10" s="113"/>
      <c r="M10" s="114"/>
      <c r="N10" s="111"/>
      <c r="O10" s="112"/>
      <c r="P10" s="113"/>
      <c r="Q10" s="114"/>
      <c r="R10" s="111"/>
      <c r="S10" s="112"/>
      <c r="T10" s="113"/>
      <c r="U10" s="114"/>
      <c r="V10" s="111"/>
      <c r="W10" s="112"/>
      <c r="X10" s="113"/>
      <c r="Y10" s="114"/>
      <c r="Z10" s="111"/>
      <c r="AA10" s="112"/>
      <c r="AB10" s="113"/>
      <c r="AC10" s="114"/>
      <c r="AD10" s="111"/>
      <c r="AE10" s="112"/>
      <c r="AF10" s="113"/>
      <c r="AG10" s="114"/>
      <c r="AH10" s="111"/>
      <c r="AI10" s="112"/>
      <c r="AJ10" s="113"/>
      <c r="AK10" s="114"/>
      <c r="AL10" s="111"/>
      <c r="AM10" s="112"/>
      <c r="AN10" s="113"/>
      <c r="AO10" s="114"/>
      <c r="AP10" s="111"/>
      <c r="AQ10" s="112"/>
      <c r="AR10" s="113"/>
      <c r="AS10" s="114"/>
      <c r="AT10" s="111"/>
      <c r="AU10" s="112"/>
      <c r="AV10" s="113"/>
      <c r="AW10" s="114"/>
      <c r="AX10" s="111"/>
      <c r="AY10" s="112"/>
      <c r="AZ10" s="113"/>
      <c r="BA10" s="114"/>
      <c r="BB10" s="111">
        <v>783</v>
      </c>
      <c r="BC10" s="112">
        <v>790.7</v>
      </c>
      <c r="BD10" s="113">
        <v>797.7</v>
      </c>
      <c r="BE10" s="114">
        <v>804.7</v>
      </c>
      <c r="BF10" s="111">
        <v>863.8</v>
      </c>
      <c r="BG10" s="112">
        <v>867.6</v>
      </c>
      <c r="BH10" s="113">
        <v>885.1</v>
      </c>
      <c r="BI10" s="114">
        <v>894.5</v>
      </c>
      <c r="BJ10" s="111">
        <v>1013.3</v>
      </c>
      <c r="BK10" s="115">
        <v>1098.4000000000001</v>
      </c>
      <c r="BL10" s="115">
        <v>1137.5</v>
      </c>
      <c r="BM10" s="112">
        <v>1170.4000000000001</v>
      </c>
      <c r="BN10" s="113">
        <f>1188.7</f>
        <v>1188.7</v>
      </c>
      <c r="BO10" s="114">
        <f>1220</f>
        <v>1220</v>
      </c>
      <c r="BP10" s="111">
        <v>1450.6</v>
      </c>
      <c r="BQ10" s="112">
        <v>1530</v>
      </c>
      <c r="BR10" s="113">
        <v>1602.1</v>
      </c>
      <c r="BS10" s="114">
        <v>1669.2</v>
      </c>
      <c r="BT10" s="111">
        <v>2035.3</v>
      </c>
      <c r="BU10" s="115">
        <f>2309.3</f>
        <v>2309.3000000000002</v>
      </c>
      <c r="BV10" s="115">
        <f>2387.8</f>
        <v>2387.8000000000002</v>
      </c>
      <c r="BW10" s="112">
        <f>2522.5</f>
        <v>2522.5</v>
      </c>
      <c r="BX10" s="113">
        <v>2741.9</v>
      </c>
      <c r="BY10" s="114">
        <v>2880.1</v>
      </c>
      <c r="BZ10" s="111">
        <v>3729.5</v>
      </c>
      <c r="CA10" s="112">
        <v>3983.6</v>
      </c>
      <c r="CB10" s="113">
        <v>4049</v>
      </c>
      <c r="CC10" s="114">
        <v>4142</v>
      </c>
      <c r="CD10" s="111">
        <v>5168</v>
      </c>
      <c r="CE10" s="112">
        <v>5315.9</v>
      </c>
      <c r="CF10" s="160">
        <v>5726.2</v>
      </c>
      <c r="CG10" s="159">
        <v>6055</v>
      </c>
      <c r="CH10" s="159">
        <v>6059.5</v>
      </c>
      <c r="CI10" s="159">
        <v>6090.4</v>
      </c>
      <c r="CJ10" s="111"/>
      <c r="CK10" s="112"/>
      <c r="CL10" s="113"/>
      <c r="CM10" s="114"/>
      <c r="CN10" s="111"/>
      <c r="CO10" s="112"/>
      <c r="CP10" s="113"/>
      <c r="CQ10" s="114"/>
    </row>
    <row r="11" spans="1:95" s="116" customFormat="1" ht="25.5" x14ac:dyDescent="0.6">
      <c r="A11" s="110">
        <v>9</v>
      </c>
      <c r="B11" s="111"/>
      <c r="C11" s="112"/>
      <c r="D11" s="113"/>
      <c r="E11" s="114"/>
      <c r="F11" s="111"/>
      <c r="G11" s="112"/>
      <c r="H11" s="113"/>
      <c r="I11" s="114"/>
      <c r="J11" s="111"/>
      <c r="K11" s="112"/>
      <c r="L11" s="113"/>
      <c r="M11" s="114"/>
      <c r="N11" s="111"/>
      <c r="O11" s="112"/>
      <c r="P11" s="113"/>
      <c r="Q11" s="114"/>
      <c r="R11" s="111"/>
      <c r="S11" s="112"/>
      <c r="T11" s="113"/>
      <c r="U11" s="114"/>
      <c r="V11" s="111"/>
      <c r="W11" s="112"/>
      <c r="X11" s="113"/>
      <c r="Y11" s="114"/>
      <c r="Z11" s="111"/>
      <c r="AA11" s="112"/>
      <c r="AB11" s="113"/>
      <c r="AC11" s="114"/>
      <c r="AD11" s="111"/>
      <c r="AE11" s="112"/>
      <c r="AF11" s="113"/>
      <c r="AG11" s="114"/>
      <c r="AH11" s="111"/>
      <c r="AI11" s="112"/>
      <c r="AJ11" s="113"/>
      <c r="AK11" s="114"/>
      <c r="AL11" s="111"/>
      <c r="AM11" s="112"/>
      <c r="AN11" s="113"/>
      <c r="AO11" s="114"/>
      <c r="AP11" s="111"/>
      <c r="AQ11" s="112"/>
      <c r="AR11" s="113"/>
      <c r="AS11" s="114"/>
      <c r="AT11" s="111"/>
      <c r="AU11" s="112"/>
      <c r="AV11" s="113"/>
      <c r="AW11" s="114"/>
      <c r="AX11" s="111"/>
      <c r="AY11" s="112"/>
      <c r="AZ11" s="113"/>
      <c r="BA11" s="114"/>
      <c r="BB11" s="111">
        <v>604</v>
      </c>
      <c r="BC11" s="112">
        <v>603.9</v>
      </c>
      <c r="BD11" s="113">
        <v>624.9</v>
      </c>
      <c r="BE11" s="114">
        <v>617.29999999999995</v>
      </c>
      <c r="BF11" s="111">
        <v>631.5</v>
      </c>
      <c r="BG11" s="112">
        <v>722.1</v>
      </c>
      <c r="BH11" s="113">
        <v>756.9</v>
      </c>
      <c r="BI11" s="114">
        <v>787.1</v>
      </c>
      <c r="BJ11" s="111">
        <v>951.1</v>
      </c>
      <c r="BK11" s="115">
        <v>1072.9000000000001</v>
      </c>
      <c r="BL11" s="115">
        <v>1264.4000000000001</v>
      </c>
      <c r="BM11" s="112">
        <v>1392.5</v>
      </c>
      <c r="BN11" s="113">
        <f>1312.7</f>
        <v>1312.7</v>
      </c>
      <c r="BO11" s="114">
        <f>1335.1</f>
        <v>1335.1</v>
      </c>
      <c r="BP11" s="111">
        <v>1545</v>
      </c>
      <c r="BQ11" s="112">
        <v>1432</v>
      </c>
      <c r="BR11" s="113">
        <v>1478.8</v>
      </c>
      <c r="BS11" s="114">
        <v>1738.3</v>
      </c>
      <c r="BT11" s="111">
        <v>2036.8</v>
      </c>
      <c r="BU11" s="115">
        <f>2867.9</f>
        <v>2867.9</v>
      </c>
      <c r="BV11" s="115">
        <f>3080.6</f>
        <v>3080.6</v>
      </c>
      <c r="BW11" s="112">
        <f>3257.8</f>
        <v>3257.8</v>
      </c>
      <c r="BX11" s="113">
        <v>3524.9</v>
      </c>
      <c r="BY11" s="114">
        <v>3691.1</v>
      </c>
      <c r="BZ11" s="111">
        <v>4075.3</v>
      </c>
      <c r="CA11" s="112">
        <v>4648.8999999999996</v>
      </c>
      <c r="CB11" s="113">
        <v>4626.8</v>
      </c>
      <c r="CC11" s="114">
        <v>4601.8</v>
      </c>
      <c r="CD11" s="111">
        <v>5404.3</v>
      </c>
      <c r="CE11" s="112">
        <v>5103.3999999999996</v>
      </c>
      <c r="CF11" s="160">
        <v>5121.5</v>
      </c>
      <c r="CG11" s="159">
        <v>5867.4</v>
      </c>
      <c r="CH11" s="159">
        <v>6584.9</v>
      </c>
      <c r="CI11" s="159">
        <v>7669.6</v>
      </c>
      <c r="CJ11" s="111"/>
      <c r="CK11" s="112"/>
      <c r="CL11" s="113"/>
      <c r="CM11" s="114"/>
      <c r="CN11" s="111"/>
      <c r="CO11" s="112"/>
      <c r="CP11" s="113"/>
      <c r="CQ11" s="114"/>
    </row>
    <row r="12" spans="1:95" s="116" customFormat="1" ht="25.5" x14ac:dyDescent="0.6">
      <c r="A12" s="110">
        <v>10</v>
      </c>
      <c r="B12" s="111"/>
      <c r="C12" s="112"/>
      <c r="D12" s="113"/>
      <c r="E12" s="114"/>
      <c r="F12" s="111"/>
      <c r="G12" s="112"/>
      <c r="H12" s="113"/>
      <c r="I12" s="114"/>
      <c r="J12" s="111"/>
      <c r="K12" s="112"/>
      <c r="L12" s="113"/>
      <c r="M12" s="114"/>
      <c r="N12" s="111"/>
      <c r="O12" s="112"/>
      <c r="P12" s="113"/>
      <c r="Q12" s="114"/>
      <c r="R12" s="111"/>
      <c r="S12" s="112"/>
      <c r="T12" s="113"/>
      <c r="U12" s="114"/>
      <c r="V12" s="111"/>
      <c r="W12" s="112"/>
      <c r="X12" s="113"/>
      <c r="Y12" s="114"/>
      <c r="Z12" s="111"/>
      <c r="AA12" s="112"/>
      <c r="AB12" s="113"/>
      <c r="AC12" s="114"/>
      <c r="AD12" s="111"/>
      <c r="AE12" s="112"/>
      <c r="AF12" s="113"/>
      <c r="AG12" s="114"/>
      <c r="AH12" s="111"/>
      <c r="AI12" s="112"/>
      <c r="AJ12" s="113"/>
      <c r="AK12" s="114"/>
      <c r="AL12" s="111"/>
      <c r="AM12" s="112"/>
      <c r="AN12" s="113"/>
      <c r="AO12" s="114"/>
      <c r="AP12" s="111"/>
      <c r="AQ12" s="112"/>
      <c r="AR12" s="113"/>
      <c r="AS12" s="114"/>
      <c r="AT12" s="111"/>
      <c r="AU12" s="112"/>
      <c r="AV12" s="113"/>
      <c r="AW12" s="114"/>
      <c r="AX12" s="111"/>
      <c r="AY12" s="112"/>
      <c r="AZ12" s="113"/>
      <c r="BA12" s="114"/>
      <c r="BB12" s="111">
        <v>779.7</v>
      </c>
      <c r="BC12" s="112">
        <v>786.4</v>
      </c>
      <c r="BD12" s="113">
        <v>795.5</v>
      </c>
      <c r="BE12" s="114">
        <v>803.2</v>
      </c>
      <c r="BF12" s="111">
        <v>855.5</v>
      </c>
      <c r="BG12" s="112">
        <v>861.3</v>
      </c>
      <c r="BH12" s="113">
        <v>885.8</v>
      </c>
      <c r="BI12" s="114">
        <v>894.9</v>
      </c>
      <c r="BJ12" s="111">
        <v>998.2</v>
      </c>
      <c r="BK12" s="115">
        <v>1113.5999999999999</v>
      </c>
      <c r="BL12" s="115">
        <v>1175.7</v>
      </c>
      <c r="BM12" s="112">
        <v>1229.2</v>
      </c>
      <c r="BN12" s="113">
        <f>1248.4</f>
        <v>1248.4000000000001</v>
      </c>
      <c r="BO12" s="114">
        <f>1319.5</f>
        <v>1319.5</v>
      </c>
      <c r="BP12" s="111">
        <v>1527.2</v>
      </c>
      <c r="BQ12" s="112">
        <v>1619.4</v>
      </c>
      <c r="BR12" s="113">
        <v>1704.1</v>
      </c>
      <c r="BS12" s="114">
        <v>1808.4</v>
      </c>
      <c r="BT12" s="111">
        <v>2140.9</v>
      </c>
      <c r="BU12" s="115">
        <f>2522.8</f>
        <v>2522.8000000000002</v>
      </c>
      <c r="BV12" s="115">
        <f>2634.4</f>
        <v>2634.4</v>
      </c>
      <c r="BW12" s="112">
        <f>2832</f>
        <v>2832</v>
      </c>
      <c r="BX12" s="113">
        <v>3119.9</v>
      </c>
      <c r="BY12" s="114">
        <v>3279.2</v>
      </c>
      <c r="BZ12" s="111">
        <v>4196.5</v>
      </c>
      <c r="CA12" s="112">
        <v>4543.1000000000004</v>
      </c>
      <c r="CB12" s="113">
        <v>4569.6000000000004</v>
      </c>
      <c r="CC12" s="114">
        <v>4698.8999999999996</v>
      </c>
      <c r="CD12" s="111">
        <v>5845.6</v>
      </c>
      <c r="CE12" s="112">
        <v>6040</v>
      </c>
      <c r="CF12" s="160">
        <v>6411.2</v>
      </c>
      <c r="CG12" s="159">
        <v>6843.2</v>
      </c>
      <c r="CH12" s="159">
        <v>6904.6</v>
      </c>
      <c r="CI12" s="159">
        <v>6980.5</v>
      </c>
      <c r="CJ12" s="111"/>
      <c r="CK12" s="112"/>
      <c r="CL12" s="113"/>
      <c r="CM12" s="114"/>
      <c r="CN12" s="111"/>
      <c r="CO12" s="112"/>
      <c r="CP12" s="113"/>
      <c r="CQ12" s="114"/>
    </row>
    <row r="13" spans="1:95" s="116" customFormat="1" ht="25.5" x14ac:dyDescent="0.6">
      <c r="A13" s="110">
        <v>11</v>
      </c>
      <c r="B13" s="111"/>
      <c r="C13" s="112"/>
      <c r="D13" s="113"/>
      <c r="E13" s="114"/>
      <c r="F13" s="111"/>
      <c r="G13" s="112"/>
      <c r="H13" s="113"/>
      <c r="I13" s="114"/>
      <c r="J13" s="111"/>
      <c r="K13" s="112"/>
      <c r="L13" s="113"/>
      <c r="M13" s="114"/>
      <c r="N13" s="111"/>
      <c r="O13" s="112"/>
      <c r="P13" s="113"/>
      <c r="Q13" s="114"/>
      <c r="R13" s="111"/>
      <c r="S13" s="112"/>
      <c r="T13" s="113"/>
      <c r="U13" s="114"/>
      <c r="V13" s="111"/>
      <c r="W13" s="112"/>
      <c r="X13" s="113"/>
      <c r="Y13" s="114"/>
      <c r="Z13" s="111"/>
      <c r="AA13" s="112"/>
      <c r="AB13" s="113"/>
      <c r="AC13" s="114"/>
      <c r="AD13" s="111"/>
      <c r="AE13" s="112"/>
      <c r="AF13" s="113"/>
      <c r="AG13" s="114"/>
      <c r="AH13" s="111"/>
      <c r="AI13" s="112"/>
      <c r="AJ13" s="113"/>
      <c r="AK13" s="114"/>
      <c r="AL13" s="111"/>
      <c r="AM13" s="112"/>
      <c r="AN13" s="113"/>
      <c r="AO13" s="114"/>
      <c r="AP13" s="111"/>
      <c r="AQ13" s="112"/>
      <c r="AR13" s="113"/>
      <c r="AS13" s="114"/>
      <c r="AT13" s="111"/>
      <c r="AU13" s="112"/>
      <c r="AV13" s="113"/>
      <c r="AW13" s="114"/>
      <c r="AX13" s="111"/>
      <c r="AY13" s="112"/>
      <c r="AZ13" s="113"/>
      <c r="BA13" s="114"/>
      <c r="BB13" s="111">
        <v>638.20000000000005</v>
      </c>
      <c r="BC13" s="112">
        <v>645.5</v>
      </c>
      <c r="BD13" s="113">
        <v>660.7</v>
      </c>
      <c r="BE13" s="114">
        <v>666.8</v>
      </c>
      <c r="BF13" s="111">
        <v>720.2</v>
      </c>
      <c r="BG13" s="112">
        <v>732.1</v>
      </c>
      <c r="BH13" s="113">
        <v>740</v>
      </c>
      <c r="BI13" s="114">
        <v>746.2</v>
      </c>
      <c r="BJ13" s="111">
        <v>831.1</v>
      </c>
      <c r="BK13" s="115">
        <v>872.9</v>
      </c>
      <c r="BL13" s="115">
        <v>911</v>
      </c>
      <c r="BM13" s="112">
        <v>918</v>
      </c>
      <c r="BN13" s="113">
        <f>958.9</f>
        <v>958.9</v>
      </c>
      <c r="BO13" s="114">
        <f>979.7</f>
        <v>979.7</v>
      </c>
      <c r="BP13" s="111">
        <v>1119.0999999999999</v>
      </c>
      <c r="BQ13" s="112">
        <v>1248.5999999999999</v>
      </c>
      <c r="BR13" s="113">
        <v>1318.4</v>
      </c>
      <c r="BS13" s="114">
        <v>1365</v>
      </c>
      <c r="BT13" s="111">
        <v>1633.1</v>
      </c>
      <c r="BU13" s="115">
        <f>1852.3</f>
        <v>1852.3</v>
      </c>
      <c r="BV13" s="115">
        <f>1912.6</f>
        <v>1912.6</v>
      </c>
      <c r="BW13" s="112">
        <f>2019.2</f>
        <v>2019.2</v>
      </c>
      <c r="BX13" s="113">
        <v>2252.6</v>
      </c>
      <c r="BY13" s="114">
        <v>2333.5</v>
      </c>
      <c r="BZ13" s="111">
        <v>3016.6</v>
      </c>
      <c r="CA13" s="112">
        <v>3394.6</v>
      </c>
      <c r="CB13" s="113">
        <v>3450.8</v>
      </c>
      <c r="CC13" s="114">
        <v>3544.2</v>
      </c>
      <c r="CD13" s="111">
        <v>4185</v>
      </c>
      <c r="CE13" s="112">
        <v>4448.3999999999996</v>
      </c>
      <c r="CF13" s="160">
        <v>4874.1000000000004</v>
      </c>
      <c r="CG13" s="159">
        <v>5187.2</v>
      </c>
      <c r="CH13" s="159">
        <v>5191.6000000000004</v>
      </c>
      <c r="CI13" s="159">
        <v>5457.1</v>
      </c>
      <c r="CJ13" s="111"/>
      <c r="CK13" s="112"/>
      <c r="CL13" s="113"/>
      <c r="CM13" s="114"/>
      <c r="CN13" s="111"/>
      <c r="CO13" s="112"/>
      <c r="CP13" s="113"/>
      <c r="CQ13" s="114"/>
    </row>
    <row r="14" spans="1:95" s="116" customFormat="1" ht="25.5" x14ac:dyDescent="0.6">
      <c r="A14" s="110">
        <v>12</v>
      </c>
      <c r="B14" s="111"/>
      <c r="C14" s="112"/>
      <c r="D14" s="113"/>
      <c r="E14" s="114"/>
      <c r="F14" s="111"/>
      <c r="G14" s="112"/>
      <c r="H14" s="113"/>
      <c r="I14" s="114"/>
      <c r="J14" s="111"/>
      <c r="K14" s="112"/>
      <c r="L14" s="113"/>
      <c r="M14" s="114"/>
      <c r="N14" s="111"/>
      <c r="O14" s="112"/>
      <c r="P14" s="113"/>
      <c r="Q14" s="114"/>
      <c r="R14" s="111"/>
      <c r="S14" s="112"/>
      <c r="T14" s="113"/>
      <c r="U14" s="114"/>
      <c r="V14" s="111"/>
      <c r="W14" s="112"/>
      <c r="X14" s="113"/>
      <c r="Y14" s="114"/>
      <c r="Z14" s="111"/>
      <c r="AA14" s="112"/>
      <c r="AB14" s="113"/>
      <c r="AC14" s="114"/>
      <c r="AD14" s="111"/>
      <c r="AE14" s="112"/>
      <c r="AF14" s="113"/>
      <c r="AG14" s="114"/>
      <c r="AH14" s="111"/>
      <c r="AI14" s="112"/>
      <c r="AJ14" s="113"/>
      <c r="AK14" s="114"/>
      <c r="AL14" s="111"/>
      <c r="AM14" s="112"/>
      <c r="AN14" s="113"/>
      <c r="AO14" s="114"/>
      <c r="AP14" s="111"/>
      <c r="AQ14" s="112"/>
      <c r="AR14" s="113"/>
      <c r="AS14" s="114"/>
      <c r="AT14" s="111"/>
      <c r="AU14" s="112"/>
      <c r="AV14" s="113"/>
      <c r="AW14" s="114"/>
      <c r="AX14" s="111"/>
      <c r="AY14" s="112"/>
      <c r="AZ14" s="113"/>
      <c r="BA14" s="114"/>
      <c r="BB14" s="111">
        <v>627</v>
      </c>
      <c r="BC14" s="112">
        <v>661.6</v>
      </c>
      <c r="BD14" s="113">
        <v>684.5</v>
      </c>
      <c r="BE14" s="114">
        <v>690.8</v>
      </c>
      <c r="BF14" s="111">
        <v>725.3</v>
      </c>
      <c r="BG14" s="112">
        <v>746.1</v>
      </c>
      <c r="BH14" s="113">
        <v>753</v>
      </c>
      <c r="BI14" s="114">
        <v>759.9</v>
      </c>
      <c r="BJ14" s="111">
        <v>843.4</v>
      </c>
      <c r="BK14" s="115">
        <v>927.1</v>
      </c>
      <c r="BL14" s="115">
        <v>1025.9000000000001</v>
      </c>
      <c r="BM14" s="112">
        <v>1052.4000000000001</v>
      </c>
      <c r="BN14" s="113">
        <f>1109.3</f>
        <v>1109.3</v>
      </c>
      <c r="BO14" s="114">
        <f>1227</f>
        <v>1227</v>
      </c>
      <c r="BP14" s="111">
        <v>1404.9</v>
      </c>
      <c r="BQ14" s="112">
        <v>1509.2</v>
      </c>
      <c r="BR14" s="113">
        <v>1772.2</v>
      </c>
      <c r="BS14" s="114">
        <v>1877</v>
      </c>
      <c r="BT14" s="111">
        <v>2370.6</v>
      </c>
      <c r="BU14" s="115">
        <f>2890.5</f>
        <v>2890.5</v>
      </c>
      <c r="BV14" s="115">
        <f>2965.7</f>
        <v>2965.7</v>
      </c>
      <c r="BW14" s="112">
        <f>3190.9</f>
        <v>3190.9</v>
      </c>
      <c r="BX14" s="113">
        <v>3378.5</v>
      </c>
      <c r="BY14" s="114">
        <v>3538</v>
      </c>
      <c r="BZ14" s="111">
        <v>4651.8</v>
      </c>
      <c r="CA14" s="112">
        <v>4900.1000000000004</v>
      </c>
      <c r="CB14" s="113">
        <v>4988.8</v>
      </c>
      <c r="CC14" s="114">
        <v>5095.3</v>
      </c>
      <c r="CD14" s="111">
        <v>6343.3</v>
      </c>
      <c r="CE14" s="112">
        <v>6562.7</v>
      </c>
      <c r="CF14" s="160">
        <v>7031.6</v>
      </c>
      <c r="CG14" s="159">
        <v>7423.8</v>
      </c>
      <c r="CH14" s="159">
        <v>7545.9</v>
      </c>
      <c r="CI14" s="159">
        <v>7668</v>
      </c>
      <c r="CJ14" s="111"/>
      <c r="CK14" s="112"/>
      <c r="CL14" s="113"/>
      <c r="CM14" s="114"/>
      <c r="CN14" s="111"/>
      <c r="CO14" s="112"/>
      <c r="CP14" s="113"/>
      <c r="CQ14" s="114"/>
    </row>
    <row r="15" spans="1:95" s="116" customFormat="1" ht="25.5" x14ac:dyDescent="0.6">
      <c r="A15" s="110">
        <v>13</v>
      </c>
      <c r="B15" s="111"/>
      <c r="C15" s="112"/>
      <c r="D15" s="113"/>
      <c r="E15" s="114"/>
      <c r="F15" s="111"/>
      <c r="G15" s="112"/>
      <c r="H15" s="113"/>
      <c r="I15" s="114"/>
      <c r="J15" s="111"/>
      <c r="K15" s="112"/>
      <c r="L15" s="113"/>
      <c r="M15" s="114"/>
      <c r="N15" s="111"/>
      <c r="O15" s="112"/>
      <c r="P15" s="113"/>
      <c r="Q15" s="114"/>
      <c r="R15" s="111"/>
      <c r="S15" s="112"/>
      <c r="T15" s="113"/>
      <c r="U15" s="114"/>
      <c r="V15" s="111"/>
      <c r="W15" s="112"/>
      <c r="X15" s="113"/>
      <c r="Y15" s="114"/>
      <c r="Z15" s="111"/>
      <c r="AA15" s="112"/>
      <c r="AB15" s="113"/>
      <c r="AC15" s="114"/>
      <c r="AD15" s="111"/>
      <c r="AE15" s="112"/>
      <c r="AF15" s="113"/>
      <c r="AG15" s="114"/>
      <c r="AH15" s="111"/>
      <c r="AI15" s="112"/>
      <c r="AJ15" s="113"/>
      <c r="AK15" s="114"/>
      <c r="AL15" s="111"/>
      <c r="AM15" s="112"/>
      <c r="AN15" s="113"/>
      <c r="AO15" s="114"/>
      <c r="AP15" s="111"/>
      <c r="AQ15" s="112"/>
      <c r="AR15" s="113"/>
      <c r="AS15" s="114"/>
      <c r="AT15" s="111"/>
      <c r="AU15" s="112"/>
      <c r="AV15" s="113"/>
      <c r="AW15" s="114"/>
      <c r="AX15" s="111"/>
      <c r="AY15" s="112"/>
      <c r="AZ15" s="113"/>
      <c r="BA15" s="114"/>
      <c r="BB15" s="111">
        <v>815.4</v>
      </c>
      <c r="BC15" s="112">
        <v>823.2</v>
      </c>
      <c r="BD15" s="113">
        <v>830.9</v>
      </c>
      <c r="BE15" s="114">
        <v>838.6</v>
      </c>
      <c r="BF15" s="111">
        <v>890.5</v>
      </c>
      <c r="BG15" s="112">
        <v>891.2</v>
      </c>
      <c r="BH15" s="113">
        <v>915.3</v>
      </c>
      <c r="BI15" s="114">
        <v>923.6</v>
      </c>
      <c r="BJ15" s="111">
        <v>1026.4000000000001</v>
      </c>
      <c r="BK15" s="115">
        <v>1157.4000000000001</v>
      </c>
      <c r="BL15" s="115">
        <v>1220</v>
      </c>
      <c r="BM15" s="112">
        <v>1279.7</v>
      </c>
      <c r="BN15" s="113">
        <f>1298.6</f>
        <v>1298.5999999999999</v>
      </c>
      <c r="BO15" s="114">
        <f>1386.3</f>
        <v>1386.3</v>
      </c>
      <c r="BP15" s="111">
        <v>1599.6</v>
      </c>
      <c r="BQ15" s="112">
        <v>1707.7</v>
      </c>
      <c r="BR15" s="113">
        <v>1802.3</v>
      </c>
      <c r="BS15" s="114">
        <v>1908.2</v>
      </c>
      <c r="BT15" s="111">
        <v>2257.6999999999998</v>
      </c>
      <c r="BU15" s="115">
        <v>375.71428571428572</v>
      </c>
      <c r="BV15" s="115">
        <f>2744.2</f>
        <v>2744.2</v>
      </c>
      <c r="BW15" s="112">
        <f>2982.7</f>
        <v>2982.7</v>
      </c>
      <c r="BX15" s="113">
        <v>3292.7</v>
      </c>
      <c r="BY15" s="114">
        <v>3479.9</v>
      </c>
      <c r="BZ15" s="111">
        <v>4490</v>
      </c>
      <c r="CA15" s="112">
        <v>4867</v>
      </c>
      <c r="CB15" s="113">
        <v>4915.3999999999996</v>
      </c>
      <c r="CC15" s="114">
        <v>5083.5</v>
      </c>
      <c r="CD15" s="111">
        <v>6332.5</v>
      </c>
      <c r="CE15" s="112">
        <v>6533.5</v>
      </c>
      <c r="CF15" s="160">
        <v>6965.5</v>
      </c>
      <c r="CG15" s="159">
        <v>7406.8</v>
      </c>
      <c r="CH15" s="159">
        <v>7407.2</v>
      </c>
      <c r="CI15" s="159">
        <v>7407.6</v>
      </c>
      <c r="CJ15" s="111"/>
      <c r="CK15" s="112"/>
      <c r="CL15" s="113"/>
      <c r="CM15" s="114"/>
      <c r="CN15" s="111"/>
      <c r="CO15" s="112"/>
      <c r="CP15" s="113"/>
      <c r="CQ15" s="114"/>
    </row>
    <row r="16" spans="1:95" s="116" customFormat="1" ht="25.5" x14ac:dyDescent="0.6">
      <c r="A16" s="110">
        <v>14</v>
      </c>
      <c r="B16" s="111"/>
      <c r="C16" s="112"/>
      <c r="D16" s="113"/>
      <c r="E16" s="114"/>
      <c r="F16" s="111"/>
      <c r="G16" s="112"/>
      <c r="H16" s="113"/>
      <c r="I16" s="114"/>
      <c r="J16" s="111"/>
      <c r="K16" s="112"/>
      <c r="L16" s="113"/>
      <c r="M16" s="114"/>
      <c r="N16" s="111"/>
      <c r="O16" s="112"/>
      <c r="P16" s="113"/>
      <c r="Q16" s="114"/>
      <c r="R16" s="111"/>
      <c r="S16" s="112"/>
      <c r="T16" s="113"/>
      <c r="U16" s="114"/>
      <c r="V16" s="111"/>
      <c r="W16" s="112"/>
      <c r="X16" s="113"/>
      <c r="Y16" s="114"/>
      <c r="Z16" s="111"/>
      <c r="AA16" s="112"/>
      <c r="AB16" s="113"/>
      <c r="AC16" s="114"/>
      <c r="AD16" s="111"/>
      <c r="AE16" s="112"/>
      <c r="AF16" s="113"/>
      <c r="AG16" s="114"/>
      <c r="AH16" s="111"/>
      <c r="AI16" s="112"/>
      <c r="AJ16" s="113"/>
      <c r="AK16" s="114"/>
      <c r="AL16" s="111"/>
      <c r="AM16" s="112"/>
      <c r="AN16" s="113"/>
      <c r="AO16" s="114"/>
      <c r="AP16" s="111"/>
      <c r="AQ16" s="112"/>
      <c r="AR16" s="113"/>
      <c r="AS16" s="114"/>
      <c r="AT16" s="111"/>
      <c r="AU16" s="112"/>
      <c r="AV16" s="113"/>
      <c r="AW16" s="114"/>
      <c r="AX16" s="111"/>
      <c r="AY16" s="112"/>
      <c r="AZ16" s="113"/>
      <c r="BA16" s="114"/>
      <c r="BB16" s="111">
        <v>376.7</v>
      </c>
      <c r="BC16" s="112">
        <v>376.7</v>
      </c>
      <c r="BD16" s="113">
        <v>376.7</v>
      </c>
      <c r="BE16" s="114">
        <v>376.7</v>
      </c>
      <c r="BF16" s="111">
        <v>433.2</v>
      </c>
      <c r="BG16" s="112">
        <v>459.6</v>
      </c>
      <c r="BH16" s="113">
        <v>459.6</v>
      </c>
      <c r="BI16" s="114">
        <v>459.6</v>
      </c>
      <c r="BJ16" s="111">
        <v>542.29999999999995</v>
      </c>
      <c r="BK16" s="115">
        <v>726.1</v>
      </c>
      <c r="BL16" s="115">
        <v>785.8</v>
      </c>
      <c r="BM16" s="112">
        <v>804.2</v>
      </c>
      <c r="BN16" s="113">
        <f>827.2</f>
        <v>827.2</v>
      </c>
      <c r="BO16" s="114">
        <f>891.5</f>
        <v>891.5</v>
      </c>
      <c r="BP16" s="111">
        <v>1025.3</v>
      </c>
      <c r="BQ16" s="112">
        <v>1150.0999999999999</v>
      </c>
      <c r="BR16" s="113">
        <v>1203.5999999999999</v>
      </c>
      <c r="BS16" s="114">
        <v>1248.2</v>
      </c>
      <c r="BT16" s="111">
        <v>1597.6</v>
      </c>
      <c r="BU16" s="115">
        <f>1747.4</f>
        <v>1747.4</v>
      </c>
      <c r="BV16" s="115">
        <f>1809.8</f>
        <v>1809.8</v>
      </c>
      <c r="BW16" s="112">
        <f>2084.4</f>
        <v>2084.4</v>
      </c>
      <c r="BX16" s="113">
        <v>1879.8</v>
      </c>
      <c r="BY16" s="114">
        <v>1879.8</v>
      </c>
      <c r="BZ16" s="111">
        <v>2168.9</v>
      </c>
      <c r="CA16" s="112">
        <v>2546.9</v>
      </c>
      <c r="CB16" s="113">
        <v>2623.7</v>
      </c>
      <c r="CC16" s="114">
        <v>2784.4</v>
      </c>
      <c r="CD16" s="111">
        <v>3340.4</v>
      </c>
      <c r="CE16" s="112">
        <v>3480.5</v>
      </c>
      <c r="CF16" s="160">
        <v>3838</v>
      </c>
      <c r="CG16" s="159">
        <v>4162.1000000000004</v>
      </c>
      <c r="CH16" s="159">
        <v>4202.2</v>
      </c>
      <c r="CI16" s="159">
        <v>4675.5</v>
      </c>
      <c r="CJ16" s="111"/>
      <c r="CK16" s="112"/>
      <c r="CL16" s="113"/>
      <c r="CM16" s="114"/>
      <c r="CN16" s="111"/>
      <c r="CO16" s="112"/>
      <c r="CP16" s="113"/>
      <c r="CQ16" s="114"/>
    </row>
    <row r="17" spans="1:95" s="116" customFormat="1" ht="25.5" x14ac:dyDescent="0.6">
      <c r="A17" s="110">
        <v>15</v>
      </c>
      <c r="B17" s="111"/>
      <c r="C17" s="112"/>
      <c r="D17" s="113"/>
      <c r="E17" s="114"/>
      <c r="F17" s="111"/>
      <c r="G17" s="112"/>
      <c r="H17" s="113"/>
      <c r="I17" s="114"/>
      <c r="J17" s="111"/>
      <c r="K17" s="112"/>
      <c r="L17" s="113"/>
      <c r="M17" s="114"/>
      <c r="N17" s="111"/>
      <c r="O17" s="112"/>
      <c r="P17" s="113"/>
      <c r="Q17" s="114"/>
      <c r="R17" s="111"/>
      <c r="S17" s="112"/>
      <c r="T17" s="113"/>
      <c r="U17" s="114"/>
      <c r="V17" s="111"/>
      <c r="W17" s="112"/>
      <c r="X17" s="113"/>
      <c r="Y17" s="114"/>
      <c r="Z17" s="111"/>
      <c r="AA17" s="112"/>
      <c r="AB17" s="113"/>
      <c r="AC17" s="114"/>
      <c r="AD17" s="111"/>
      <c r="AE17" s="112"/>
      <c r="AF17" s="113"/>
      <c r="AG17" s="114"/>
      <c r="AH17" s="111"/>
      <c r="AI17" s="112"/>
      <c r="AJ17" s="113"/>
      <c r="AK17" s="114"/>
      <c r="AL17" s="111"/>
      <c r="AM17" s="112"/>
      <c r="AN17" s="113"/>
      <c r="AO17" s="114"/>
      <c r="AP17" s="111"/>
      <c r="AQ17" s="112"/>
      <c r="AR17" s="113"/>
      <c r="AS17" s="114"/>
      <c r="AT17" s="111"/>
      <c r="AU17" s="112"/>
      <c r="AV17" s="113"/>
      <c r="AW17" s="114"/>
      <c r="AX17" s="111"/>
      <c r="AY17" s="112"/>
      <c r="AZ17" s="113"/>
      <c r="BA17" s="114"/>
      <c r="BB17" s="111">
        <v>830.1</v>
      </c>
      <c r="BC17" s="112">
        <v>845.3</v>
      </c>
      <c r="BD17" s="113">
        <v>829.9</v>
      </c>
      <c r="BE17" s="114">
        <v>836</v>
      </c>
      <c r="BF17" s="111">
        <v>847.7</v>
      </c>
      <c r="BG17" s="112">
        <v>862.6</v>
      </c>
      <c r="BH17" s="113">
        <v>955.2</v>
      </c>
      <c r="BI17" s="114">
        <v>1043</v>
      </c>
      <c r="BJ17" s="111">
        <v>1183.8</v>
      </c>
      <c r="BK17" s="115">
        <v>1392.4</v>
      </c>
      <c r="BL17" s="115">
        <v>1629.6</v>
      </c>
      <c r="BM17" s="112">
        <v>1887.8</v>
      </c>
      <c r="BN17" s="113">
        <f>1624.4</f>
        <v>1624.4</v>
      </c>
      <c r="BO17" s="114">
        <f>1569.7</f>
        <v>1569.7</v>
      </c>
      <c r="BP17" s="111">
        <v>1833</v>
      </c>
      <c r="BQ17" s="112">
        <v>1779.6</v>
      </c>
      <c r="BR17" s="113">
        <v>1835.7</v>
      </c>
      <c r="BS17" s="114">
        <v>1893</v>
      </c>
      <c r="BT17" s="111">
        <v>2527.1999999999998</v>
      </c>
      <c r="BU17" s="115">
        <f>2626.6</f>
        <v>2626.6</v>
      </c>
      <c r="BV17" s="115">
        <f>2877.4</f>
        <v>2877.4</v>
      </c>
      <c r="BW17" s="112">
        <f>3237.1</f>
        <v>3237.1</v>
      </c>
      <c r="BX17" s="113">
        <v>3596.7</v>
      </c>
      <c r="BY17" s="114">
        <v>3748.2</v>
      </c>
      <c r="BZ17" s="111">
        <v>4144.5</v>
      </c>
      <c r="CA17" s="112">
        <v>4179.2</v>
      </c>
      <c r="CB17" s="113">
        <v>4319.8</v>
      </c>
      <c r="CC17" s="114">
        <v>4319.8</v>
      </c>
      <c r="CD17" s="111">
        <v>5302.6</v>
      </c>
      <c r="CE17" s="112">
        <v>5302.5</v>
      </c>
      <c r="CF17" s="160">
        <v>5299.3</v>
      </c>
      <c r="CG17" s="159">
        <v>5368.4</v>
      </c>
      <c r="CH17" s="159">
        <v>5655.7</v>
      </c>
      <c r="CI17" s="159">
        <v>5940.8</v>
      </c>
      <c r="CJ17" s="111"/>
      <c r="CK17" s="112"/>
      <c r="CL17" s="113"/>
      <c r="CM17" s="114"/>
      <c r="CN17" s="111"/>
      <c r="CO17" s="112"/>
      <c r="CP17" s="113"/>
      <c r="CQ17" s="114"/>
    </row>
    <row r="18" spans="1:95" s="116" customFormat="1" ht="25.5" x14ac:dyDescent="0.6">
      <c r="A18" s="110">
        <v>16</v>
      </c>
      <c r="B18" s="111"/>
      <c r="C18" s="112"/>
      <c r="D18" s="113"/>
      <c r="E18" s="114"/>
      <c r="F18" s="111"/>
      <c r="G18" s="112"/>
      <c r="H18" s="113"/>
      <c r="I18" s="114"/>
      <c r="J18" s="111"/>
      <c r="K18" s="112"/>
      <c r="L18" s="113"/>
      <c r="M18" s="114"/>
      <c r="N18" s="111"/>
      <c r="O18" s="112"/>
      <c r="P18" s="113"/>
      <c r="Q18" s="114"/>
      <c r="R18" s="111"/>
      <c r="S18" s="112"/>
      <c r="T18" s="113"/>
      <c r="U18" s="114"/>
      <c r="V18" s="111"/>
      <c r="W18" s="112"/>
      <c r="X18" s="113"/>
      <c r="Y18" s="114"/>
      <c r="Z18" s="111"/>
      <c r="AA18" s="112"/>
      <c r="AB18" s="113"/>
      <c r="AC18" s="114"/>
      <c r="AD18" s="111"/>
      <c r="AE18" s="112"/>
      <c r="AF18" s="113"/>
      <c r="AG18" s="114"/>
      <c r="AH18" s="111"/>
      <c r="AI18" s="112"/>
      <c r="AJ18" s="113"/>
      <c r="AK18" s="114"/>
      <c r="AL18" s="111"/>
      <c r="AM18" s="112"/>
      <c r="AN18" s="113"/>
      <c r="AO18" s="114"/>
      <c r="AP18" s="111"/>
      <c r="AQ18" s="112"/>
      <c r="AR18" s="113"/>
      <c r="AS18" s="114"/>
      <c r="AT18" s="111"/>
      <c r="AU18" s="112"/>
      <c r="AV18" s="113"/>
      <c r="AW18" s="114"/>
      <c r="AX18" s="111"/>
      <c r="AY18" s="112"/>
      <c r="AZ18" s="113"/>
      <c r="BA18" s="114"/>
      <c r="BB18" s="111">
        <v>350</v>
      </c>
      <c r="BC18" s="112">
        <v>350</v>
      </c>
      <c r="BD18" s="113">
        <v>350</v>
      </c>
      <c r="BE18" s="114">
        <v>350</v>
      </c>
      <c r="BF18" s="111">
        <v>350</v>
      </c>
      <c r="BG18" s="112">
        <v>350</v>
      </c>
      <c r="BH18" s="113">
        <v>350</v>
      </c>
      <c r="BI18" s="114">
        <v>350</v>
      </c>
      <c r="BJ18" s="111">
        <v>351</v>
      </c>
      <c r="BK18" s="115">
        <v>352</v>
      </c>
      <c r="BL18" s="115">
        <v>353</v>
      </c>
      <c r="BM18" s="112">
        <v>354</v>
      </c>
      <c r="BN18" s="113">
        <f>354</f>
        <v>354</v>
      </c>
      <c r="BO18" s="114">
        <f>355</f>
        <v>355</v>
      </c>
      <c r="BP18" s="111">
        <v>356</v>
      </c>
      <c r="BQ18" s="112">
        <v>357</v>
      </c>
      <c r="BR18" s="113">
        <v>358</v>
      </c>
      <c r="BS18" s="114">
        <v>359</v>
      </c>
      <c r="BT18" s="111">
        <v>360</v>
      </c>
      <c r="BU18" s="115">
        <f>361</f>
        <v>361</v>
      </c>
      <c r="BV18" s="115">
        <f>362</f>
        <v>362</v>
      </c>
      <c r="BW18" s="112">
        <f>364</f>
        <v>364</v>
      </c>
      <c r="BX18" s="113">
        <v>365</v>
      </c>
      <c r="BY18" s="114">
        <v>366</v>
      </c>
      <c r="BZ18" s="111">
        <v>367</v>
      </c>
      <c r="CA18" s="112">
        <v>368</v>
      </c>
      <c r="CB18" s="113">
        <v>369</v>
      </c>
      <c r="CC18" s="114">
        <v>370</v>
      </c>
      <c r="CD18" s="111">
        <v>371</v>
      </c>
      <c r="CE18" s="112">
        <v>372</v>
      </c>
      <c r="CF18" s="160">
        <v>373</v>
      </c>
      <c r="CG18" s="159">
        <v>374</v>
      </c>
      <c r="CH18" s="159">
        <v>374</v>
      </c>
      <c r="CI18" s="159">
        <v>374</v>
      </c>
      <c r="CJ18" s="111"/>
      <c r="CK18" s="112"/>
      <c r="CL18" s="113"/>
      <c r="CM18" s="114"/>
      <c r="CN18" s="111"/>
      <c r="CO18" s="112"/>
      <c r="CP18" s="113"/>
      <c r="CQ18" s="114"/>
    </row>
    <row r="19" spans="1:95" s="116" customFormat="1" ht="25.5" x14ac:dyDescent="0.6">
      <c r="A19" s="110">
        <v>17</v>
      </c>
      <c r="B19" s="111"/>
      <c r="C19" s="112"/>
      <c r="D19" s="113"/>
      <c r="E19" s="114"/>
      <c r="F19" s="111"/>
      <c r="G19" s="112"/>
      <c r="H19" s="113"/>
      <c r="I19" s="114"/>
      <c r="J19" s="111"/>
      <c r="K19" s="112"/>
      <c r="L19" s="113"/>
      <c r="M19" s="114"/>
      <c r="N19" s="111"/>
      <c r="O19" s="112"/>
      <c r="P19" s="113"/>
      <c r="Q19" s="114"/>
      <c r="R19" s="111"/>
      <c r="S19" s="112"/>
      <c r="T19" s="113"/>
      <c r="U19" s="114"/>
      <c r="V19" s="111"/>
      <c r="W19" s="112"/>
      <c r="X19" s="113"/>
      <c r="Y19" s="114"/>
      <c r="Z19" s="111"/>
      <c r="AA19" s="112"/>
      <c r="AB19" s="113"/>
      <c r="AC19" s="114"/>
      <c r="AD19" s="111"/>
      <c r="AE19" s="112"/>
      <c r="AF19" s="113"/>
      <c r="AG19" s="114"/>
      <c r="AH19" s="111"/>
      <c r="AI19" s="112"/>
      <c r="AJ19" s="113"/>
      <c r="AK19" s="114"/>
      <c r="AL19" s="111"/>
      <c r="AM19" s="112"/>
      <c r="AN19" s="113"/>
      <c r="AO19" s="114"/>
      <c r="AP19" s="111"/>
      <c r="AQ19" s="112"/>
      <c r="AR19" s="113"/>
      <c r="AS19" s="114"/>
      <c r="AT19" s="111"/>
      <c r="AU19" s="112"/>
      <c r="AV19" s="113"/>
      <c r="AW19" s="114"/>
      <c r="AX19" s="111"/>
      <c r="AY19" s="112"/>
      <c r="AZ19" s="113"/>
      <c r="BA19" s="114"/>
      <c r="BB19" s="111">
        <v>614.5</v>
      </c>
      <c r="BC19" s="112">
        <v>628.70000000000005</v>
      </c>
      <c r="BD19" s="113">
        <v>734.7</v>
      </c>
      <c r="BE19" s="114">
        <v>734.7</v>
      </c>
      <c r="BF19" s="111">
        <v>743.6</v>
      </c>
      <c r="BG19" s="112">
        <v>768.5</v>
      </c>
      <c r="BH19" s="113">
        <v>815.6</v>
      </c>
      <c r="BI19" s="114">
        <v>852.3</v>
      </c>
      <c r="BJ19" s="111">
        <v>937.5</v>
      </c>
      <c r="BK19" s="115">
        <v>1005.7</v>
      </c>
      <c r="BL19" s="115">
        <v>1201.8</v>
      </c>
      <c r="BM19" s="112">
        <v>1414.8</v>
      </c>
      <c r="BN19" s="113">
        <f>1406.3</f>
        <v>1406.3</v>
      </c>
      <c r="BO19" s="114">
        <f>1406.3</f>
        <v>1406.3</v>
      </c>
      <c r="BP19" s="111">
        <v>1624.3</v>
      </c>
      <c r="BQ19" s="112">
        <v>1575.1</v>
      </c>
      <c r="BR19" s="113">
        <v>1617.3</v>
      </c>
      <c r="BS19" s="114">
        <v>1645.4</v>
      </c>
      <c r="BT19" s="111">
        <v>1809.9</v>
      </c>
      <c r="BU19" s="115">
        <f>1975.5</f>
        <v>1975.5</v>
      </c>
      <c r="BV19" s="115">
        <f>2139</f>
        <v>2139</v>
      </c>
      <c r="BW19" s="112">
        <f>2468.1</f>
        <v>2468.1</v>
      </c>
      <c r="BX19" s="113">
        <v>3192</v>
      </c>
      <c r="BY19" s="114">
        <v>3586.9</v>
      </c>
      <c r="BZ19" s="111">
        <v>3838</v>
      </c>
      <c r="CA19" s="112">
        <v>4125</v>
      </c>
      <c r="CB19" s="113">
        <v>4411.8999999999996</v>
      </c>
      <c r="CC19" s="114">
        <v>4591.3</v>
      </c>
      <c r="CD19" s="111">
        <v>4912.7</v>
      </c>
      <c r="CE19" s="112">
        <v>4475.1000000000004</v>
      </c>
      <c r="CF19" s="160">
        <v>4554.6000000000004</v>
      </c>
      <c r="CG19" s="159">
        <v>4967.8</v>
      </c>
      <c r="CH19" s="159">
        <v>4926.3999999999996</v>
      </c>
      <c r="CI19" s="159">
        <v>4797.8999999999996</v>
      </c>
      <c r="CJ19" s="111"/>
      <c r="CK19" s="112"/>
      <c r="CL19" s="113"/>
      <c r="CM19" s="114"/>
      <c r="CN19" s="111"/>
      <c r="CO19" s="112"/>
      <c r="CP19" s="113"/>
      <c r="CQ19" s="114"/>
    </row>
    <row r="20" spans="1:95" s="116" customFormat="1" ht="25.5" x14ac:dyDescent="0.6">
      <c r="A20" s="110">
        <v>18</v>
      </c>
      <c r="B20" s="111"/>
      <c r="C20" s="112"/>
      <c r="D20" s="113"/>
      <c r="E20" s="114"/>
      <c r="F20" s="111"/>
      <c r="G20" s="112"/>
      <c r="H20" s="113"/>
      <c r="I20" s="114"/>
      <c r="J20" s="111"/>
      <c r="K20" s="112"/>
      <c r="L20" s="113"/>
      <c r="M20" s="114"/>
      <c r="N20" s="111"/>
      <c r="O20" s="112"/>
      <c r="P20" s="113"/>
      <c r="Q20" s="114"/>
      <c r="R20" s="111"/>
      <c r="S20" s="112"/>
      <c r="T20" s="113"/>
      <c r="U20" s="114"/>
      <c r="V20" s="111"/>
      <c r="W20" s="112"/>
      <c r="X20" s="113"/>
      <c r="Y20" s="114"/>
      <c r="Z20" s="111"/>
      <c r="AA20" s="112"/>
      <c r="AB20" s="113"/>
      <c r="AC20" s="114"/>
      <c r="AD20" s="111"/>
      <c r="AE20" s="112"/>
      <c r="AF20" s="113"/>
      <c r="AG20" s="114"/>
      <c r="AH20" s="111"/>
      <c r="AI20" s="112"/>
      <c r="AJ20" s="113"/>
      <c r="AK20" s="114"/>
      <c r="AL20" s="111"/>
      <c r="AM20" s="112"/>
      <c r="AN20" s="113"/>
      <c r="AO20" s="114"/>
      <c r="AP20" s="111"/>
      <c r="AQ20" s="112"/>
      <c r="AR20" s="113"/>
      <c r="AS20" s="114"/>
      <c r="AT20" s="111"/>
      <c r="AU20" s="112"/>
      <c r="AV20" s="113"/>
      <c r="AW20" s="114"/>
      <c r="AX20" s="111"/>
      <c r="AY20" s="112"/>
      <c r="AZ20" s="113"/>
      <c r="BA20" s="114"/>
      <c r="BB20" s="111">
        <v>616.5</v>
      </c>
      <c r="BC20" s="112">
        <v>616.5</v>
      </c>
      <c r="BD20" s="113">
        <v>598.20000000000005</v>
      </c>
      <c r="BE20" s="114">
        <v>598.20000000000005</v>
      </c>
      <c r="BF20" s="111">
        <v>616.20000000000005</v>
      </c>
      <c r="BG20" s="112">
        <v>616.20000000000005</v>
      </c>
      <c r="BH20" s="113">
        <v>640.1</v>
      </c>
      <c r="BI20" s="114">
        <v>699.9</v>
      </c>
      <c r="BJ20" s="111">
        <v>839.9</v>
      </c>
      <c r="BK20" s="115">
        <v>1049.9000000000001</v>
      </c>
      <c r="BL20" s="115">
        <v>1399.9</v>
      </c>
      <c r="BM20" s="112">
        <v>1399.9</v>
      </c>
      <c r="BN20" s="113">
        <f>1364.9</f>
        <v>1364.9</v>
      </c>
      <c r="BO20" s="114">
        <f>1364.9</f>
        <v>1364.9</v>
      </c>
      <c r="BP20" s="111">
        <v>1719.7</v>
      </c>
      <c r="BQ20" s="112">
        <v>1678.8</v>
      </c>
      <c r="BR20" s="113">
        <v>1774.3</v>
      </c>
      <c r="BS20" s="114">
        <v>1842.6</v>
      </c>
      <c r="BT20" s="111">
        <v>2211.1</v>
      </c>
      <c r="BU20" s="115">
        <f>3040.2</f>
        <v>3040.2</v>
      </c>
      <c r="BV20" s="115">
        <f>3040.2</f>
        <v>3040.2</v>
      </c>
      <c r="BW20" s="112">
        <f>3132.4</f>
        <v>3132.4</v>
      </c>
      <c r="BX20" s="113">
        <v>3242.9</v>
      </c>
      <c r="BY20" s="114">
        <v>3242.9</v>
      </c>
      <c r="BZ20" s="111">
        <v>4118.5</v>
      </c>
      <c r="CA20" s="112">
        <v>4118.5</v>
      </c>
      <c r="CB20" s="113">
        <v>4215.8</v>
      </c>
      <c r="CC20" s="114">
        <v>4442.8</v>
      </c>
      <c r="CD20" s="111">
        <v>4887.1000000000004</v>
      </c>
      <c r="CE20" s="112">
        <v>5553.5</v>
      </c>
      <c r="CF20" s="160">
        <v>5775.6</v>
      </c>
      <c r="CG20" s="159">
        <v>6255.4</v>
      </c>
      <c r="CH20" s="159">
        <v>6513.1</v>
      </c>
      <c r="CI20" s="159">
        <v>6753</v>
      </c>
      <c r="CJ20" s="111"/>
      <c r="CK20" s="112"/>
      <c r="CL20" s="113"/>
      <c r="CM20" s="114"/>
      <c r="CN20" s="111"/>
      <c r="CO20" s="112"/>
      <c r="CP20" s="113"/>
      <c r="CQ20" s="114"/>
    </row>
    <row r="21" spans="1:95" s="116" customFormat="1" ht="25.5" hidden="1" customHeight="1" x14ac:dyDescent="0.6">
      <c r="A21" s="110">
        <v>19</v>
      </c>
      <c r="B21" s="111"/>
      <c r="C21" s="112"/>
      <c r="D21" s="113"/>
      <c r="E21" s="114"/>
      <c r="F21" s="111"/>
      <c r="G21" s="112"/>
      <c r="H21" s="113"/>
      <c r="I21" s="114"/>
      <c r="J21" s="111"/>
      <c r="K21" s="112"/>
      <c r="L21" s="113"/>
      <c r="M21" s="114"/>
      <c r="N21" s="111"/>
      <c r="O21" s="112"/>
      <c r="P21" s="113"/>
      <c r="Q21" s="114"/>
      <c r="R21" s="111"/>
      <c r="S21" s="112"/>
      <c r="T21" s="113"/>
      <c r="U21" s="114"/>
      <c r="V21" s="111"/>
      <c r="W21" s="112"/>
      <c r="X21" s="113"/>
      <c r="Y21" s="114"/>
      <c r="Z21" s="111"/>
      <c r="AA21" s="112"/>
      <c r="AB21" s="113"/>
      <c r="AC21" s="114"/>
      <c r="AD21" s="111"/>
      <c r="AE21" s="112"/>
      <c r="AF21" s="113"/>
      <c r="AG21" s="114"/>
      <c r="AH21" s="111"/>
      <c r="AI21" s="112"/>
      <c r="AJ21" s="113"/>
      <c r="AK21" s="114"/>
      <c r="AL21" s="111"/>
      <c r="AM21" s="112"/>
      <c r="AN21" s="113"/>
      <c r="AO21" s="114"/>
      <c r="AP21" s="111"/>
      <c r="AQ21" s="112"/>
      <c r="AR21" s="113"/>
      <c r="AS21" s="114"/>
      <c r="AT21" s="111"/>
      <c r="AU21" s="112"/>
      <c r="AV21" s="113"/>
      <c r="AW21" s="114"/>
      <c r="AX21" s="111"/>
      <c r="AY21" s="112"/>
      <c r="AZ21" s="113"/>
      <c r="BA21" s="114"/>
      <c r="BB21" s="111"/>
      <c r="BC21" s="112"/>
      <c r="BD21" s="113"/>
      <c r="BE21" s="114"/>
      <c r="BF21" s="111"/>
      <c r="BG21" s="112"/>
      <c r="BH21" s="113"/>
      <c r="BI21" s="114"/>
      <c r="BJ21" s="111"/>
      <c r="BK21" s="115"/>
      <c r="BL21" s="115"/>
      <c r="BM21" s="112"/>
      <c r="BN21" s="113"/>
      <c r="BO21" s="114"/>
      <c r="BP21" s="111"/>
      <c r="BQ21" s="112"/>
      <c r="BR21" s="113"/>
      <c r="BS21" s="114"/>
      <c r="BT21" s="111"/>
      <c r="BU21" s="115"/>
      <c r="BV21" s="115"/>
      <c r="BW21" s="112"/>
      <c r="BX21" s="113"/>
      <c r="BY21" s="114"/>
      <c r="BZ21" s="111"/>
      <c r="CA21" s="112"/>
      <c r="CB21" s="113"/>
      <c r="CC21" s="114"/>
      <c r="CD21" s="111"/>
      <c r="CE21" s="112"/>
      <c r="CF21" s="158"/>
      <c r="CG21" s="161"/>
      <c r="CH21" s="161"/>
      <c r="CI21" s="161"/>
      <c r="CJ21" s="111"/>
      <c r="CK21" s="112"/>
      <c r="CL21" s="113"/>
      <c r="CM21" s="114"/>
      <c r="CN21" s="111"/>
      <c r="CO21" s="112"/>
      <c r="CP21" s="113"/>
      <c r="CQ21" s="114"/>
    </row>
    <row r="22" spans="1:95" s="116" customFormat="1" ht="25.5" hidden="1" customHeight="1" x14ac:dyDescent="0.6">
      <c r="A22" s="110">
        <v>20</v>
      </c>
      <c r="B22" s="111"/>
      <c r="C22" s="112"/>
      <c r="D22" s="113"/>
      <c r="E22" s="114"/>
      <c r="F22" s="111"/>
      <c r="G22" s="112"/>
      <c r="H22" s="113"/>
      <c r="I22" s="114"/>
      <c r="J22" s="111"/>
      <c r="K22" s="112"/>
      <c r="L22" s="113"/>
      <c r="M22" s="114"/>
      <c r="N22" s="111"/>
      <c r="O22" s="112"/>
      <c r="P22" s="113"/>
      <c r="Q22" s="114"/>
      <c r="R22" s="111"/>
      <c r="S22" s="112"/>
      <c r="T22" s="113"/>
      <c r="U22" s="114"/>
      <c r="V22" s="111"/>
      <c r="W22" s="112"/>
      <c r="X22" s="113"/>
      <c r="Y22" s="114"/>
      <c r="Z22" s="111"/>
      <c r="AA22" s="112"/>
      <c r="AB22" s="113"/>
      <c r="AC22" s="114"/>
      <c r="AD22" s="111"/>
      <c r="AE22" s="112"/>
      <c r="AF22" s="113"/>
      <c r="AG22" s="114"/>
      <c r="AH22" s="111"/>
      <c r="AI22" s="112"/>
      <c r="AJ22" s="113"/>
      <c r="AK22" s="114"/>
      <c r="AL22" s="111"/>
      <c r="AM22" s="112"/>
      <c r="AN22" s="113"/>
      <c r="AO22" s="114"/>
      <c r="AP22" s="111"/>
      <c r="AQ22" s="112"/>
      <c r="AR22" s="113"/>
      <c r="AS22" s="114"/>
      <c r="AT22" s="111"/>
      <c r="AU22" s="112"/>
      <c r="AV22" s="113"/>
      <c r="AW22" s="114"/>
      <c r="AX22" s="111"/>
      <c r="AY22" s="112"/>
      <c r="AZ22" s="113"/>
      <c r="BA22" s="114"/>
      <c r="BB22" s="111"/>
      <c r="BC22" s="112"/>
      <c r="BD22" s="113"/>
      <c r="BE22" s="114"/>
      <c r="BF22" s="111"/>
      <c r="BG22" s="112"/>
      <c r="BH22" s="113"/>
      <c r="BI22" s="114"/>
      <c r="BJ22" s="111"/>
      <c r="BK22" s="115"/>
      <c r="BL22" s="115"/>
      <c r="BM22" s="112"/>
      <c r="BN22" s="113"/>
      <c r="BO22" s="114"/>
      <c r="BP22" s="111"/>
      <c r="BQ22" s="112"/>
      <c r="BR22" s="113"/>
      <c r="BS22" s="114"/>
      <c r="BT22" s="111"/>
      <c r="BU22" s="115"/>
      <c r="BV22" s="115"/>
      <c r="BW22" s="112"/>
      <c r="BX22" s="113"/>
      <c r="BY22" s="114"/>
      <c r="BZ22" s="111"/>
      <c r="CA22" s="112"/>
      <c r="CB22" s="113"/>
      <c r="CC22" s="114"/>
      <c r="CD22" s="111"/>
      <c r="CE22" s="112"/>
      <c r="CF22" s="158"/>
      <c r="CG22" s="161"/>
      <c r="CH22" s="161"/>
      <c r="CI22" s="161"/>
      <c r="CJ22" s="111"/>
      <c r="CK22" s="112"/>
      <c r="CL22" s="113"/>
      <c r="CM22" s="114"/>
      <c r="CN22" s="111"/>
      <c r="CO22" s="112"/>
      <c r="CP22" s="113"/>
      <c r="CQ22" s="114"/>
    </row>
    <row r="23" spans="1:95" s="116" customFormat="1" ht="25.5" hidden="1" customHeight="1" x14ac:dyDescent="0.6">
      <c r="A23" s="110">
        <v>21</v>
      </c>
      <c r="B23" s="111"/>
      <c r="C23" s="112"/>
      <c r="D23" s="113"/>
      <c r="E23" s="114"/>
      <c r="F23" s="111"/>
      <c r="G23" s="112"/>
      <c r="H23" s="113"/>
      <c r="I23" s="114"/>
      <c r="J23" s="111"/>
      <c r="K23" s="112"/>
      <c r="L23" s="113"/>
      <c r="M23" s="114"/>
      <c r="N23" s="111"/>
      <c r="O23" s="112"/>
      <c r="P23" s="113"/>
      <c r="Q23" s="114"/>
      <c r="R23" s="111"/>
      <c r="S23" s="112"/>
      <c r="T23" s="113"/>
      <c r="U23" s="114"/>
      <c r="V23" s="111"/>
      <c r="W23" s="112"/>
      <c r="X23" s="113"/>
      <c r="Y23" s="114"/>
      <c r="Z23" s="111"/>
      <c r="AA23" s="112"/>
      <c r="AB23" s="113"/>
      <c r="AC23" s="114"/>
      <c r="AD23" s="111"/>
      <c r="AE23" s="112"/>
      <c r="AF23" s="113"/>
      <c r="AG23" s="114"/>
      <c r="AH23" s="111"/>
      <c r="AI23" s="112"/>
      <c r="AJ23" s="113"/>
      <c r="AK23" s="114"/>
      <c r="AL23" s="111"/>
      <c r="AM23" s="112"/>
      <c r="AN23" s="113"/>
      <c r="AO23" s="114"/>
      <c r="AP23" s="111"/>
      <c r="AQ23" s="112"/>
      <c r="AR23" s="113"/>
      <c r="AS23" s="114"/>
      <c r="AT23" s="111"/>
      <c r="AU23" s="112"/>
      <c r="AV23" s="113"/>
      <c r="AW23" s="114"/>
      <c r="AX23" s="111"/>
      <c r="AY23" s="112"/>
      <c r="AZ23" s="113"/>
      <c r="BA23" s="114"/>
      <c r="BB23" s="111"/>
      <c r="BC23" s="112"/>
      <c r="BD23" s="113"/>
      <c r="BE23" s="114"/>
      <c r="BF23" s="111"/>
      <c r="BG23" s="112"/>
      <c r="BH23" s="113"/>
      <c r="BI23" s="114"/>
      <c r="BJ23" s="111"/>
      <c r="BK23" s="115"/>
      <c r="BL23" s="115"/>
      <c r="BM23" s="112"/>
      <c r="BN23" s="113"/>
      <c r="BO23" s="114"/>
      <c r="BP23" s="111"/>
      <c r="BQ23" s="112"/>
      <c r="BR23" s="113"/>
      <c r="BS23" s="114"/>
      <c r="BT23" s="111"/>
      <c r="BU23" s="115"/>
      <c r="BV23" s="115"/>
      <c r="BW23" s="112"/>
      <c r="BX23" s="113"/>
      <c r="BY23" s="114"/>
      <c r="BZ23" s="111"/>
      <c r="CA23" s="112"/>
      <c r="CB23" s="113"/>
      <c r="CC23" s="114"/>
      <c r="CD23" s="111"/>
      <c r="CE23" s="112"/>
      <c r="CF23" s="158"/>
      <c r="CG23" s="161"/>
      <c r="CH23" s="161"/>
      <c r="CI23" s="161"/>
      <c r="CJ23" s="111"/>
      <c r="CK23" s="112"/>
      <c r="CL23" s="113"/>
      <c r="CM23" s="114"/>
      <c r="CN23" s="111"/>
      <c r="CO23" s="112"/>
      <c r="CP23" s="113"/>
      <c r="CQ23" s="114"/>
    </row>
    <row r="24" spans="1:95" s="116" customFormat="1" ht="25.5" hidden="1" customHeight="1" x14ac:dyDescent="0.6">
      <c r="A24" s="110">
        <v>22</v>
      </c>
      <c r="B24" s="111"/>
      <c r="C24" s="112"/>
      <c r="D24" s="113"/>
      <c r="E24" s="114"/>
      <c r="F24" s="111"/>
      <c r="G24" s="112"/>
      <c r="H24" s="113"/>
      <c r="I24" s="114"/>
      <c r="J24" s="111"/>
      <c r="K24" s="112"/>
      <c r="L24" s="113"/>
      <c r="M24" s="114"/>
      <c r="N24" s="111"/>
      <c r="O24" s="112"/>
      <c r="P24" s="113"/>
      <c r="Q24" s="114"/>
      <c r="R24" s="111"/>
      <c r="S24" s="112"/>
      <c r="T24" s="113"/>
      <c r="U24" s="114"/>
      <c r="V24" s="111"/>
      <c r="W24" s="112"/>
      <c r="X24" s="113"/>
      <c r="Y24" s="114"/>
      <c r="Z24" s="111"/>
      <c r="AA24" s="112"/>
      <c r="AB24" s="113"/>
      <c r="AC24" s="114"/>
      <c r="AD24" s="111"/>
      <c r="AE24" s="112"/>
      <c r="AF24" s="113"/>
      <c r="AG24" s="114"/>
      <c r="AH24" s="111"/>
      <c r="AI24" s="112"/>
      <c r="AJ24" s="113"/>
      <c r="AK24" s="114"/>
      <c r="AL24" s="111"/>
      <c r="AM24" s="112"/>
      <c r="AN24" s="113"/>
      <c r="AO24" s="114"/>
      <c r="AP24" s="111"/>
      <c r="AQ24" s="112"/>
      <c r="AR24" s="113"/>
      <c r="AS24" s="114"/>
      <c r="AT24" s="111"/>
      <c r="AU24" s="112"/>
      <c r="AV24" s="113"/>
      <c r="AW24" s="114"/>
      <c r="AX24" s="111"/>
      <c r="AY24" s="112"/>
      <c r="AZ24" s="113"/>
      <c r="BA24" s="114"/>
      <c r="BB24" s="111"/>
      <c r="BC24" s="112"/>
      <c r="BD24" s="113"/>
      <c r="BE24" s="114"/>
      <c r="BF24" s="111"/>
      <c r="BG24" s="112"/>
      <c r="BH24" s="113"/>
      <c r="BI24" s="114"/>
      <c r="BJ24" s="111"/>
      <c r="BK24" s="115"/>
      <c r="BL24" s="115"/>
      <c r="BM24" s="112"/>
      <c r="BN24" s="113"/>
      <c r="BO24" s="114"/>
      <c r="BP24" s="111"/>
      <c r="BQ24" s="112"/>
      <c r="BR24" s="113"/>
      <c r="BS24" s="114"/>
      <c r="BT24" s="111"/>
      <c r="BU24" s="115"/>
      <c r="BV24" s="115"/>
      <c r="BW24" s="112"/>
      <c r="BX24" s="113"/>
      <c r="BY24" s="114"/>
      <c r="BZ24" s="111"/>
      <c r="CA24" s="112"/>
      <c r="CB24" s="113"/>
      <c r="CC24" s="114"/>
      <c r="CD24" s="111"/>
      <c r="CE24" s="112"/>
      <c r="CF24" s="158"/>
      <c r="CG24" s="161"/>
      <c r="CH24" s="161"/>
      <c r="CI24" s="161"/>
      <c r="CJ24" s="111"/>
      <c r="CK24" s="112"/>
      <c r="CL24" s="113"/>
      <c r="CM24" s="114"/>
      <c r="CN24" s="111"/>
      <c r="CO24" s="112"/>
      <c r="CP24" s="113"/>
      <c r="CQ24" s="114"/>
    </row>
    <row r="25" spans="1:95" s="116" customFormat="1" ht="25.5" hidden="1" customHeight="1" x14ac:dyDescent="0.6">
      <c r="A25" s="110">
        <v>23</v>
      </c>
      <c r="B25" s="111"/>
      <c r="C25" s="112"/>
      <c r="D25" s="113"/>
      <c r="E25" s="114"/>
      <c r="F25" s="111"/>
      <c r="G25" s="112"/>
      <c r="H25" s="113"/>
      <c r="I25" s="114"/>
      <c r="J25" s="111"/>
      <c r="K25" s="112"/>
      <c r="L25" s="113"/>
      <c r="M25" s="114"/>
      <c r="N25" s="111"/>
      <c r="O25" s="112"/>
      <c r="P25" s="113"/>
      <c r="Q25" s="114"/>
      <c r="R25" s="111"/>
      <c r="S25" s="112"/>
      <c r="T25" s="113"/>
      <c r="U25" s="114"/>
      <c r="V25" s="111"/>
      <c r="W25" s="112"/>
      <c r="X25" s="113"/>
      <c r="Y25" s="114"/>
      <c r="Z25" s="111"/>
      <c r="AA25" s="112"/>
      <c r="AB25" s="113"/>
      <c r="AC25" s="114"/>
      <c r="AD25" s="111"/>
      <c r="AE25" s="112"/>
      <c r="AF25" s="113"/>
      <c r="AG25" s="114"/>
      <c r="AH25" s="111"/>
      <c r="AI25" s="112"/>
      <c r="AJ25" s="113"/>
      <c r="AK25" s="114"/>
      <c r="AL25" s="111"/>
      <c r="AM25" s="112"/>
      <c r="AN25" s="113"/>
      <c r="AO25" s="114"/>
      <c r="AP25" s="111"/>
      <c r="AQ25" s="112"/>
      <c r="AR25" s="113"/>
      <c r="AS25" s="114"/>
      <c r="AT25" s="111"/>
      <c r="AU25" s="112"/>
      <c r="AV25" s="113"/>
      <c r="AW25" s="114"/>
      <c r="AX25" s="111"/>
      <c r="AY25" s="112"/>
      <c r="AZ25" s="113"/>
      <c r="BA25" s="114"/>
      <c r="BB25" s="111"/>
      <c r="BC25" s="112"/>
      <c r="BD25" s="113"/>
      <c r="BE25" s="114"/>
      <c r="BF25" s="111"/>
      <c r="BG25" s="112"/>
      <c r="BH25" s="113"/>
      <c r="BI25" s="114"/>
      <c r="BJ25" s="111"/>
      <c r="BK25" s="115"/>
      <c r="BL25" s="115"/>
      <c r="BM25" s="112"/>
      <c r="BN25" s="113"/>
      <c r="BO25" s="114"/>
      <c r="BP25" s="111"/>
      <c r="BQ25" s="112"/>
      <c r="BR25" s="113"/>
      <c r="BS25" s="114"/>
      <c r="BT25" s="111"/>
      <c r="BU25" s="115"/>
      <c r="BV25" s="115"/>
      <c r="BW25" s="112"/>
      <c r="BX25" s="113"/>
      <c r="BY25" s="114"/>
      <c r="BZ25" s="111"/>
      <c r="CA25" s="112"/>
      <c r="CB25" s="113"/>
      <c r="CC25" s="114"/>
      <c r="CD25" s="111"/>
      <c r="CE25" s="112"/>
      <c r="CF25" s="158"/>
      <c r="CG25" s="161"/>
      <c r="CH25" s="161"/>
      <c r="CI25" s="161"/>
      <c r="CJ25" s="111"/>
      <c r="CK25" s="112"/>
      <c r="CL25" s="113"/>
      <c r="CM25" s="114"/>
      <c r="CN25" s="111"/>
      <c r="CO25" s="112"/>
      <c r="CP25" s="113"/>
      <c r="CQ25" s="114"/>
    </row>
    <row r="26" spans="1:95" s="116" customFormat="1" ht="25.5" hidden="1" customHeight="1" x14ac:dyDescent="0.6">
      <c r="A26" s="110">
        <v>24</v>
      </c>
      <c r="B26" s="111"/>
      <c r="C26" s="112"/>
      <c r="D26" s="113"/>
      <c r="E26" s="114"/>
      <c r="F26" s="111"/>
      <c r="G26" s="112"/>
      <c r="H26" s="113"/>
      <c r="I26" s="114"/>
      <c r="J26" s="111"/>
      <c r="K26" s="112"/>
      <c r="L26" s="113"/>
      <c r="M26" s="114"/>
      <c r="N26" s="111"/>
      <c r="O26" s="112"/>
      <c r="P26" s="113"/>
      <c r="Q26" s="114"/>
      <c r="R26" s="111"/>
      <c r="S26" s="112"/>
      <c r="T26" s="113"/>
      <c r="U26" s="114"/>
      <c r="V26" s="111"/>
      <c r="W26" s="112"/>
      <c r="X26" s="113"/>
      <c r="Y26" s="114"/>
      <c r="Z26" s="111"/>
      <c r="AA26" s="112"/>
      <c r="AB26" s="113"/>
      <c r="AC26" s="114"/>
      <c r="AD26" s="111"/>
      <c r="AE26" s="112"/>
      <c r="AF26" s="113"/>
      <c r="AG26" s="114"/>
      <c r="AH26" s="111"/>
      <c r="AI26" s="112"/>
      <c r="AJ26" s="113"/>
      <c r="AK26" s="114"/>
      <c r="AL26" s="111"/>
      <c r="AM26" s="112"/>
      <c r="AN26" s="113"/>
      <c r="AO26" s="114"/>
      <c r="AP26" s="111"/>
      <c r="AQ26" s="112"/>
      <c r="AR26" s="113"/>
      <c r="AS26" s="114"/>
      <c r="AT26" s="111"/>
      <c r="AU26" s="112"/>
      <c r="AV26" s="113"/>
      <c r="AW26" s="114"/>
      <c r="AX26" s="111"/>
      <c r="AY26" s="112"/>
      <c r="AZ26" s="113"/>
      <c r="BA26" s="114"/>
      <c r="BB26" s="111"/>
      <c r="BC26" s="112"/>
      <c r="BD26" s="113"/>
      <c r="BE26" s="114"/>
      <c r="BF26" s="111"/>
      <c r="BG26" s="112"/>
      <c r="BH26" s="113"/>
      <c r="BI26" s="114"/>
      <c r="BJ26" s="111"/>
      <c r="BK26" s="115"/>
      <c r="BL26" s="115"/>
      <c r="BM26" s="112"/>
      <c r="BN26" s="113"/>
      <c r="BO26" s="114"/>
      <c r="BP26" s="111"/>
      <c r="BQ26" s="112"/>
      <c r="BR26" s="113"/>
      <c r="BS26" s="114"/>
      <c r="BT26" s="111"/>
      <c r="BU26" s="115"/>
      <c r="BV26" s="115"/>
      <c r="BW26" s="112"/>
      <c r="BX26" s="113"/>
      <c r="BY26" s="114"/>
      <c r="BZ26" s="111"/>
      <c r="CA26" s="112"/>
      <c r="CB26" s="113"/>
      <c r="CC26" s="114"/>
      <c r="CD26" s="111"/>
      <c r="CE26" s="112"/>
      <c r="CF26" s="158"/>
      <c r="CG26" s="161"/>
      <c r="CH26" s="161"/>
      <c r="CI26" s="161"/>
      <c r="CJ26" s="111"/>
      <c r="CK26" s="112"/>
      <c r="CL26" s="113"/>
      <c r="CM26" s="114"/>
      <c r="CN26" s="111"/>
      <c r="CO26" s="112"/>
      <c r="CP26" s="113"/>
      <c r="CQ26" s="114"/>
    </row>
    <row r="27" spans="1:95" s="116" customFormat="1" ht="25.5" hidden="1" customHeight="1" x14ac:dyDescent="0.6">
      <c r="A27" s="110">
        <v>25</v>
      </c>
      <c r="B27" s="111"/>
      <c r="C27" s="112"/>
      <c r="D27" s="113"/>
      <c r="E27" s="114"/>
      <c r="F27" s="111"/>
      <c r="G27" s="112"/>
      <c r="H27" s="113"/>
      <c r="I27" s="114"/>
      <c r="J27" s="111"/>
      <c r="K27" s="112"/>
      <c r="L27" s="113"/>
      <c r="M27" s="114"/>
      <c r="N27" s="111"/>
      <c r="O27" s="112"/>
      <c r="P27" s="113"/>
      <c r="Q27" s="114"/>
      <c r="R27" s="111"/>
      <c r="S27" s="112"/>
      <c r="T27" s="113"/>
      <c r="U27" s="114"/>
      <c r="V27" s="111"/>
      <c r="W27" s="112"/>
      <c r="X27" s="113"/>
      <c r="Y27" s="114"/>
      <c r="Z27" s="111"/>
      <c r="AA27" s="112"/>
      <c r="AB27" s="113"/>
      <c r="AC27" s="114"/>
      <c r="AD27" s="111"/>
      <c r="AE27" s="112"/>
      <c r="AF27" s="113"/>
      <c r="AG27" s="114"/>
      <c r="AH27" s="111"/>
      <c r="AI27" s="112"/>
      <c r="AJ27" s="113"/>
      <c r="AK27" s="114"/>
      <c r="AL27" s="111"/>
      <c r="AM27" s="112"/>
      <c r="AN27" s="113"/>
      <c r="AO27" s="114"/>
      <c r="AP27" s="111"/>
      <c r="AQ27" s="112"/>
      <c r="AR27" s="113"/>
      <c r="AS27" s="114"/>
      <c r="AT27" s="111"/>
      <c r="AU27" s="112"/>
      <c r="AV27" s="113"/>
      <c r="AW27" s="114"/>
      <c r="AX27" s="111"/>
      <c r="AY27" s="112"/>
      <c r="AZ27" s="113"/>
      <c r="BA27" s="114"/>
      <c r="BB27" s="111"/>
      <c r="BC27" s="112"/>
      <c r="BD27" s="113"/>
      <c r="BE27" s="114"/>
      <c r="BF27" s="111"/>
      <c r="BG27" s="112"/>
      <c r="BH27" s="113"/>
      <c r="BI27" s="114"/>
      <c r="BJ27" s="111"/>
      <c r="BK27" s="115"/>
      <c r="BL27" s="115"/>
      <c r="BM27" s="112"/>
      <c r="BN27" s="113"/>
      <c r="BO27" s="114"/>
      <c r="BP27" s="111"/>
      <c r="BQ27" s="112"/>
      <c r="BR27" s="113"/>
      <c r="BS27" s="114"/>
      <c r="BT27" s="111"/>
      <c r="BU27" s="115"/>
      <c r="BV27" s="115"/>
      <c r="BW27" s="112"/>
      <c r="BX27" s="113"/>
      <c r="BY27" s="114"/>
      <c r="BZ27" s="111"/>
      <c r="CA27" s="112"/>
      <c r="CB27" s="113"/>
      <c r="CC27" s="114"/>
      <c r="CD27" s="111"/>
      <c r="CE27" s="112"/>
      <c r="CF27" s="158"/>
      <c r="CG27" s="161"/>
      <c r="CH27" s="161"/>
      <c r="CI27" s="161"/>
      <c r="CJ27" s="111"/>
      <c r="CK27" s="112"/>
      <c r="CL27" s="113"/>
      <c r="CM27" s="114"/>
      <c r="CN27" s="111"/>
      <c r="CO27" s="112"/>
      <c r="CP27" s="113"/>
      <c r="CQ27" s="114"/>
    </row>
    <row r="28" spans="1:95" s="116" customFormat="1" ht="25.5" hidden="1" customHeight="1" x14ac:dyDescent="0.6">
      <c r="A28" s="110">
        <v>26</v>
      </c>
      <c r="B28" s="111"/>
      <c r="C28" s="112"/>
      <c r="D28" s="113"/>
      <c r="E28" s="114"/>
      <c r="F28" s="111"/>
      <c r="G28" s="112"/>
      <c r="H28" s="113"/>
      <c r="I28" s="114"/>
      <c r="J28" s="111"/>
      <c r="K28" s="112"/>
      <c r="L28" s="113"/>
      <c r="M28" s="114"/>
      <c r="N28" s="111"/>
      <c r="O28" s="112"/>
      <c r="P28" s="113"/>
      <c r="Q28" s="114"/>
      <c r="R28" s="111"/>
      <c r="S28" s="112"/>
      <c r="T28" s="113"/>
      <c r="U28" s="114"/>
      <c r="V28" s="111"/>
      <c r="W28" s="112"/>
      <c r="X28" s="113"/>
      <c r="Y28" s="114"/>
      <c r="Z28" s="111"/>
      <c r="AA28" s="112"/>
      <c r="AB28" s="113"/>
      <c r="AC28" s="114"/>
      <c r="AD28" s="111"/>
      <c r="AE28" s="112"/>
      <c r="AF28" s="113"/>
      <c r="AG28" s="114"/>
      <c r="AH28" s="111"/>
      <c r="AI28" s="112"/>
      <c r="AJ28" s="113"/>
      <c r="AK28" s="114"/>
      <c r="AL28" s="111"/>
      <c r="AM28" s="112"/>
      <c r="AN28" s="113"/>
      <c r="AO28" s="114"/>
      <c r="AP28" s="111"/>
      <c r="AQ28" s="112"/>
      <c r="AR28" s="113"/>
      <c r="AS28" s="114"/>
      <c r="AT28" s="111"/>
      <c r="AU28" s="112"/>
      <c r="AV28" s="113"/>
      <c r="AW28" s="114"/>
      <c r="AX28" s="111"/>
      <c r="AY28" s="112"/>
      <c r="AZ28" s="113"/>
      <c r="BA28" s="114"/>
      <c r="BB28" s="111"/>
      <c r="BC28" s="112"/>
      <c r="BD28" s="113"/>
      <c r="BE28" s="114"/>
      <c r="BF28" s="111"/>
      <c r="BG28" s="112"/>
      <c r="BH28" s="113"/>
      <c r="BI28" s="114"/>
      <c r="BJ28" s="111"/>
      <c r="BK28" s="115"/>
      <c r="BL28" s="115"/>
      <c r="BM28" s="112"/>
      <c r="BN28" s="113"/>
      <c r="BO28" s="114"/>
      <c r="BP28" s="111"/>
      <c r="BQ28" s="112"/>
      <c r="BR28" s="113"/>
      <c r="BS28" s="114"/>
      <c r="BT28" s="111"/>
      <c r="BU28" s="115"/>
      <c r="BV28" s="115"/>
      <c r="BW28" s="112"/>
      <c r="BX28" s="113"/>
      <c r="BY28" s="114"/>
      <c r="BZ28" s="111"/>
      <c r="CA28" s="112"/>
      <c r="CB28" s="113"/>
      <c r="CC28" s="114"/>
      <c r="CD28" s="111"/>
      <c r="CE28" s="112"/>
      <c r="CF28" s="158"/>
      <c r="CG28" s="161"/>
      <c r="CH28" s="161"/>
      <c r="CI28" s="161"/>
      <c r="CJ28" s="111"/>
      <c r="CK28" s="112"/>
      <c r="CL28" s="113"/>
      <c r="CM28" s="114"/>
      <c r="CN28" s="111"/>
      <c r="CO28" s="112"/>
      <c r="CP28" s="113"/>
      <c r="CQ28" s="114"/>
    </row>
    <row r="29" spans="1:95" s="116" customFormat="1" ht="25.5" hidden="1" customHeight="1" x14ac:dyDescent="0.6">
      <c r="A29" s="110">
        <v>27</v>
      </c>
      <c r="B29" s="111"/>
      <c r="C29" s="112"/>
      <c r="D29" s="113"/>
      <c r="E29" s="114"/>
      <c r="F29" s="111"/>
      <c r="G29" s="112"/>
      <c r="H29" s="113"/>
      <c r="I29" s="114"/>
      <c r="J29" s="111"/>
      <c r="K29" s="112"/>
      <c r="L29" s="113"/>
      <c r="M29" s="114"/>
      <c r="N29" s="111"/>
      <c r="O29" s="112"/>
      <c r="P29" s="113"/>
      <c r="Q29" s="114"/>
      <c r="R29" s="111"/>
      <c r="S29" s="112"/>
      <c r="T29" s="113"/>
      <c r="U29" s="114"/>
      <c r="V29" s="111"/>
      <c r="W29" s="112"/>
      <c r="X29" s="113"/>
      <c r="Y29" s="114"/>
      <c r="Z29" s="111"/>
      <c r="AA29" s="112"/>
      <c r="AB29" s="113"/>
      <c r="AC29" s="114"/>
      <c r="AD29" s="111"/>
      <c r="AE29" s="112"/>
      <c r="AF29" s="113"/>
      <c r="AG29" s="114"/>
      <c r="AH29" s="111"/>
      <c r="AI29" s="112"/>
      <c r="AJ29" s="113"/>
      <c r="AK29" s="114"/>
      <c r="AL29" s="111"/>
      <c r="AM29" s="112"/>
      <c r="AN29" s="113"/>
      <c r="AO29" s="114"/>
      <c r="AP29" s="111"/>
      <c r="AQ29" s="112"/>
      <c r="AR29" s="113"/>
      <c r="AS29" s="114"/>
      <c r="AT29" s="111"/>
      <c r="AU29" s="112"/>
      <c r="AV29" s="113"/>
      <c r="AW29" s="114"/>
      <c r="AX29" s="111"/>
      <c r="AY29" s="112"/>
      <c r="AZ29" s="113"/>
      <c r="BA29" s="114"/>
      <c r="BB29" s="111"/>
      <c r="BC29" s="112"/>
      <c r="BD29" s="113"/>
      <c r="BE29" s="114"/>
      <c r="BF29" s="111"/>
      <c r="BG29" s="112"/>
      <c r="BH29" s="113"/>
      <c r="BI29" s="114"/>
      <c r="BJ29" s="111"/>
      <c r="BK29" s="115"/>
      <c r="BL29" s="115"/>
      <c r="BM29" s="112"/>
      <c r="BN29" s="113"/>
      <c r="BO29" s="114"/>
      <c r="BP29" s="111"/>
      <c r="BQ29" s="112"/>
      <c r="BR29" s="113"/>
      <c r="BS29" s="114"/>
      <c r="BT29" s="111"/>
      <c r="BU29" s="115"/>
      <c r="BV29" s="115"/>
      <c r="BW29" s="112"/>
      <c r="BX29" s="113"/>
      <c r="BY29" s="114"/>
      <c r="BZ29" s="111"/>
      <c r="CA29" s="112"/>
      <c r="CB29" s="113"/>
      <c r="CC29" s="114"/>
      <c r="CD29" s="111"/>
      <c r="CE29" s="112"/>
      <c r="CF29" s="158"/>
      <c r="CG29" s="161"/>
      <c r="CH29" s="161"/>
      <c r="CI29" s="161"/>
      <c r="CJ29" s="111"/>
      <c r="CK29" s="112"/>
      <c r="CL29" s="113"/>
      <c r="CM29" s="114"/>
      <c r="CN29" s="111"/>
      <c r="CO29" s="112"/>
      <c r="CP29" s="113"/>
      <c r="CQ29" s="114"/>
    </row>
    <row r="30" spans="1:95" s="116" customFormat="1" ht="25.5" hidden="1" customHeight="1" x14ac:dyDescent="0.6">
      <c r="A30" s="110">
        <v>28</v>
      </c>
      <c r="B30" s="117"/>
      <c r="C30" s="118"/>
      <c r="D30" s="119"/>
      <c r="E30" s="120"/>
      <c r="F30" s="111"/>
      <c r="G30" s="112"/>
      <c r="H30" s="113"/>
      <c r="I30" s="114"/>
      <c r="J30" s="111"/>
      <c r="K30" s="112"/>
      <c r="L30" s="113"/>
      <c r="M30" s="114"/>
      <c r="N30" s="111"/>
      <c r="O30" s="112"/>
      <c r="P30" s="113"/>
      <c r="Q30" s="114"/>
      <c r="R30" s="111"/>
      <c r="S30" s="112"/>
      <c r="T30" s="113"/>
      <c r="U30" s="114"/>
      <c r="V30" s="111"/>
      <c r="W30" s="112"/>
      <c r="X30" s="113"/>
      <c r="Y30" s="114"/>
      <c r="Z30" s="111"/>
      <c r="AA30" s="112"/>
      <c r="AB30" s="113"/>
      <c r="AC30" s="114"/>
      <c r="AD30" s="111"/>
      <c r="AE30" s="112"/>
      <c r="AF30" s="113"/>
      <c r="AG30" s="114"/>
      <c r="AH30" s="111"/>
      <c r="AI30" s="112"/>
      <c r="AJ30" s="113"/>
      <c r="AK30" s="114"/>
      <c r="AL30" s="111"/>
      <c r="AM30" s="112"/>
      <c r="AN30" s="113"/>
      <c r="AO30" s="114"/>
      <c r="AP30" s="111"/>
      <c r="AQ30" s="112"/>
      <c r="AR30" s="113"/>
      <c r="AS30" s="114"/>
      <c r="AT30" s="111"/>
      <c r="AU30" s="112"/>
      <c r="AV30" s="113"/>
      <c r="AW30" s="114"/>
      <c r="AX30" s="111"/>
      <c r="AY30" s="112"/>
      <c r="AZ30" s="113"/>
      <c r="BA30" s="114"/>
      <c r="BB30" s="111"/>
      <c r="BC30" s="112"/>
      <c r="BD30" s="113"/>
      <c r="BE30" s="114"/>
      <c r="BF30" s="111"/>
      <c r="BG30" s="112"/>
      <c r="BH30" s="113"/>
      <c r="BI30" s="114"/>
      <c r="BJ30" s="111"/>
      <c r="BK30" s="115"/>
      <c r="BL30" s="115"/>
      <c r="BM30" s="112"/>
      <c r="BN30" s="113"/>
      <c r="BO30" s="114"/>
      <c r="BP30" s="111"/>
      <c r="BQ30" s="112"/>
      <c r="BR30" s="113"/>
      <c r="BS30" s="114"/>
      <c r="BT30" s="111"/>
      <c r="BU30" s="115"/>
      <c r="BV30" s="115"/>
      <c r="BW30" s="112"/>
      <c r="BX30" s="113"/>
      <c r="BY30" s="114"/>
      <c r="BZ30" s="111"/>
      <c r="CA30" s="112"/>
      <c r="CB30" s="113"/>
      <c r="CC30" s="114"/>
      <c r="CD30" s="111"/>
      <c r="CE30" s="112"/>
      <c r="CF30" s="158"/>
      <c r="CG30" s="161"/>
      <c r="CH30" s="161"/>
      <c r="CI30" s="161"/>
      <c r="CJ30" s="111"/>
      <c r="CK30" s="112"/>
      <c r="CL30" s="113"/>
      <c r="CM30" s="114"/>
      <c r="CN30" s="111"/>
      <c r="CO30" s="112"/>
      <c r="CP30" s="113"/>
      <c r="CQ30" s="114"/>
    </row>
    <row r="31" spans="1:95" s="116" customFormat="1" ht="25.5" hidden="1" customHeight="1" x14ac:dyDescent="0.6">
      <c r="A31" s="110">
        <v>29</v>
      </c>
      <c r="B31" s="117"/>
      <c r="C31" s="118"/>
      <c r="D31" s="119"/>
      <c r="E31" s="120"/>
      <c r="F31" s="111"/>
      <c r="G31" s="112"/>
      <c r="H31" s="113"/>
      <c r="I31" s="114"/>
      <c r="J31" s="111"/>
      <c r="K31" s="112"/>
      <c r="L31" s="113"/>
      <c r="M31" s="114"/>
      <c r="N31" s="111"/>
      <c r="O31" s="112"/>
      <c r="P31" s="113"/>
      <c r="Q31" s="114"/>
      <c r="R31" s="111"/>
      <c r="S31" s="112"/>
      <c r="T31" s="113"/>
      <c r="U31" s="114"/>
      <c r="V31" s="111"/>
      <c r="W31" s="112"/>
      <c r="X31" s="113"/>
      <c r="Y31" s="114"/>
      <c r="Z31" s="111"/>
      <c r="AA31" s="112"/>
      <c r="AB31" s="113"/>
      <c r="AC31" s="114"/>
      <c r="AD31" s="111"/>
      <c r="AE31" s="112"/>
      <c r="AF31" s="113"/>
      <c r="AG31" s="114"/>
      <c r="AH31" s="111"/>
      <c r="AI31" s="112"/>
      <c r="AJ31" s="113"/>
      <c r="AK31" s="114"/>
      <c r="AL31" s="111"/>
      <c r="AM31" s="112"/>
      <c r="AN31" s="113"/>
      <c r="AO31" s="114"/>
      <c r="AP31" s="111"/>
      <c r="AQ31" s="112"/>
      <c r="AR31" s="113"/>
      <c r="AS31" s="114"/>
      <c r="AT31" s="111"/>
      <c r="AU31" s="112"/>
      <c r="AV31" s="113"/>
      <c r="AW31" s="114"/>
      <c r="AX31" s="111"/>
      <c r="AY31" s="112"/>
      <c r="AZ31" s="113"/>
      <c r="BA31" s="114"/>
      <c r="BB31" s="111"/>
      <c r="BC31" s="112"/>
      <c r="BD31" s="113"/>
      <c r="BE31" s="114"/>
      <c r="BF31" s="111"/>
      <c r="BG31" s="112"/>
      <c r="BH31" s="113"/>
      <c r="BI31" s="114"/>
      <c r="BJ31" s="111"/>
      <c r="BK31" s="115"/>
      <c r="BL31" s="115"/>
      <c r="BM31" s="112"/>
      <c r="BN31" s="113"/>
      <c r="BO31" s="114"/>
      <c r="BP31" s="111"/>
      <c r="BQ31" s="112"/>
      <c r="BR31" s="113"/>
      <c r="BS31" s="114"/>
      <c r="BT31" s="111"/>
      <c r="BU31" s="115"/>
      <c r="BV31" s="115"/>
      <c r="BW31" s="112"/>
      <c r="BX31" s="113"/>
      <c r="BY31" s="114"/>
      <c r="BZ31" s="111"/>
      <c r="CA31" s="112"/>
      <c r="CB31" s="113"/>
      <c r="CC31" s="114"/>
      <c r="CD31" s="111"/>
      <c r="CE31" s="112"/>
      <c r="CF31" s="158"/>
      <c r="CG31" s="161"/>
      <c r="CH31" s="161"/>
      <c r="CI31" s="161"/>
      <c r="CJ31" s="111"/>
      <c r="CK31" s="112"/>
      <c r="CL31" s="113"/>
      <c r="CM31" s="114"/>
      <c r="CN31" s="111"/>
      <c r="CO31" s="112"/>
      <c r="CP31" s="113"/>
      <c r="CQ31" s="114"/>
    </row>
    <row r="32" spans="1:95" s="116" customFormat="1" ht="25.5" hidden="1" customHeight="1" x14ac:dyDescent="0.6">
      <c r="A32" s="110">
        <v>30</v>
      </c>
      <c r="B32" s="117"/>
      <c r="C32" s="118"/>
      <c r="D32" s="119"/>
      <c r="E32" s="120"/>
      <c r="F32" s="111"/>
      <c r="G32" s="112"/>
      <c r="H32" s="113"/>
      <c r="I32" s="114"/>
      <c r="J32" s="111"/>
      <c r="K32" s="112"/>
      <c r="L32" s="113"/>
      <c r="M32" s="114"/>
      <c r="N32" s="111"/>
      <c r="O32" s="112"/>
      <c r="P32" s="113"/>
      <c r="Q32" s="114"/>
      <c r="R32" s="111"/>
      <c r="S32" s="112"/>
      <c r="T32" s="113"/>
      <c r="U32" s="114"/>
      <c r="V32" s="121"/>
      <c r="W32" s="112"/>
      <c r="X32" s="113"/>
      <c r="Y32" s="114"/>
      <c r="Z32" s="111"/>
      <c r="AA32" s="112"/>
      <c r="AB32" s="113"/>
      <c r="AC32" s="114"/>
      <c r="AD32" s="111"/>
      <c r="AE32" s="112"/>
      <c r="AF32" s="113"/>
      <c r="AG32" s="114"/>
      <c r="AH32" s="111"/>
      <c r="AI32" s="112"/>
      <c r="AJ32" s="113"/>
      <c r="AK32" s="114"/>
      <c r="AL32" s="111"/>
      <c r="AM32" s="112"/>
      <c r="AN32" s="113"/>
      <c r="AO32" s="114"/>
      <c r="AP32" s="111"/>
      <c r="AQ32" s="112"/>
      <c r="AR32" s="113"/>
      <c r="AS32" s="114"/>
      <c r="AT32" s="111"/>
      <c r="AU32" s="112"/>
      <c r="AV32" s="113"/>
      <c r="AW32" s="114"/>
      <c r="AX32" s="111"/>
      <c r="AY32" s="112"/>
      <c r="AZ32" s="113"/>
      <c r="BA32" s="114"/>
      <c r="BB32" s="111"/>
      <c r="BC32" s="112"/>
      <c r="BD32" s="113"/>
      <c r="BE32" s="114"/>
      <c r="BF32" s="111"/>
      <c r="BG32" s="112"/>
      <c r="BH32" s="113"/>
      <c r="BI32" s="114"/>
      <c r="BJ32" s="111"/>
      <c r="BK32" s="115"/>
      <c r="BL32" s="115"/>
      <c r="BM32" s="112"/>
      <c r="BN32" s="122"/>
      <c r="BO32" s="123"/>
      <c r="BP32" s="111"/>
      <c r="BQ32" s="112"/>
      <c r="BR32" s="113"/>
      <c r="BS32" s="114"/>
      <c r="BT32" s="111"/>
      <c r="BU32" s="115"/>
      <c r="BV32" s="115"/>
      <c r="BW32" s="112"/>
      <c r="BX32" s="113"/>
      <c r="BY32" s="114"/>
      <c r="BZ32" s="111"/>
      <c r="CA32" s="112"/>
      <c r="CB32" s="113"/>
      <c r="CC32" s="114"/>
      <c r="CD32" s="111"/>
      <c r="CE32" s="112"/>
      <c r="CF32" s="158"/>
      <c r="CG32" s="161"/>
      <c r="CH32" s="161"/>
      <c r="CI32" s="161"/>
      <c r="CJ32" s="111"/>
      <c r="CK32" s="112"/>
      <c r="CL32" s="113"/>
      <c r="CM32" s="114"/>
      <c r="CN32" s="111"/>
      <c r="CO32" s="112"/>
      <c r="CP32" s="113"/>
      <c r="CQ32" s="114"/>
    </row>
    <row r="33" spans="1:95" s="116" customFormat="1" ht="25.5" hidden="1" customHeight="1" x14ac:dyDescent="0.6">
      <c r="A33" s="110">
        <v>31</v>
      </c>
      <c r="B33" s="117"/>
      <c r="C33" s="118"/>
      <c r="D33" s="119"/>
      <c r="E33" s="120"/>
      <c r="F33" s="111"/>
      <c r="G33" s="112"/>
      <c r="H33" s="113"/>
      <c r="I33" s="114"/>
      <c r="J33" s="111"/>
      <c r="K33" s="112"/>
      <c r="L33" s="113"/>
      <c r="M33" s="114"/>
      <c r="N33" s="111"/>
      <c r="O33" s="112"/>
      <c r="P33" s="113"/>
      <c r="Q33" s="114"/>
      <c r="R33" s="111"/>
      <c r="S33" s="112"/>
      <c r="T33" s="113"/>
      <c r="U33" s="114"/>
      <c r="V33" s="111"/>
      <c r="W33" s="112"/>
      <c r="X33" s="113"/>
      <c r="Y33" s="114"/>
      <c r="Z33" s="111"/>
      <c r="AA33" s="112"/>
      <c r="AB33" s="113"/>
      <c r="AC33" s="114"/>
      <c r="AD33" s="111"/>
      <c r="AE33" s="112"/>
      <c r="AF33" s="113"/>
      <c r="AG33" s="114"/>
      <c r="AH33" s="111"/>
      <c r="AI33" s="112"/>
      <c r="AJ33" s="113"/>
      <c r="AK33" s="114"/>
      <c r="AL33" s="111"/>
      <c r="AM33" s="112"/>
      <c r="AN33" s="113"/>
      <c r="AO33" s="114"/>
      <c r="AP33" s="111"/>
      <c r="AQ33" s="112"/>
      <c r="AR33" s="113"/>
      <c r="AS33" s="114"/>
      <c r="AT33" s="111"/>
      <c r="AU33" s="112"/>
      <c r="AV33" s="113"/>
      <c r="AW33" s="114"/>
      <c r="AX33" s="111"/>
      <c r="AY33" s="112"/>
      <c r="AZ33" s="113"/>
      <c r="BA33" s="114"/>
      <c r="BB33" s="111"/>
      <c r="BC33" s="112"/>
      <c r="BD33" s="113"/>
      <c r="BE33" s="114"/>
      <c r="BF33" s="111"/>
      <c r="BG33" s="112"/>
      <c r="BH33" s="113"/>
      <c r="BI33" s="114"/>
      <c r="BJ33" s="111"/>
      <c r="BK33" s="115"/>
      <c r="BL33" s="115"/>
      <c r="BM33" s="112"/>
      <c r="BN33" s="113"/>
      <c r="BO33" s="114"/>
      <c r="BP33" s="111"/>
      <c r="BQ33" s="112"/>
      <c r="BR33" s="113"/>
      <c r="BS33" s="114"/>
      <c r="BT33" s="111"/>
      <c r="BU33" s="115"/>
      <c r="BV33" s="115"/>
      <c r="BW33" s="112"/>
      <c r="BX33" s="113"/>
      <c r="BY33" s="114"/>
      <c r="BZ33" s="111"/>
      <c r="CA33" s="112"/>
      <c r="CB33" s="113"/>
      <c r="CC33" s="114"/>
      <c r="CD33" s="111"/>
      <c r="CE33" s="112"/>
      <c r="CF33" s="158"/>
      <c r="CG33" s="161"/>
      <c r="CH33" s="161"/>
      <c r="CI33" s="161"/>
      <c r="CJ33" s="111"/>
      <c r="CK33" s="112"/>
      <c r="CL33" s="113"/>
      <c r="CM33" s="114"/>
      <c r="CN33" s="111"/>
      <c r="CO33" s="112"/>
      <c r="CP33" s="113"/>
      <c r="CQ33" s="114"/>
    </row>
    <row r="34" spans="1:95" s="116" customFormat="1" ht="25.5" hidden="1" customHeight="1" x14ac:dyDescent="0.6">
      <c r="A34" s="110">
        <v>32</v>
      </c>
      <c r="B34" s="117"/>
      <c r="C34" s="118"/>
      <c r="D34" s="119"/>
      <c r="E34" s="120"/>
      <c r="F34" s="111"/>
      <c r="G34" s="112"/>
      <c r="H34" s="113"/>
      <c r="I34" s="114"/>
      <c r="J34" s="111"/>
      <c r="K34" s="112"/>
      <c r="L34" s="113"/>
      <c r="M34" s="114"/>
      <c r="N34" s="111"/>
      <c r="O34" s="112"/>
      <c r="P34" s="113"/>
      <c r="Q34" s="114"/>
      <c r="R34" s="111"/>
      <c r="S34" s="112"/>
      <c r="T34" s="113"/>
      <c r="U34" s="114"/>
      <c r="V34" s="111"/>
      <c r="W34" s="112"/>
      <c r="X34" s="113"/>
      <c r="Y34" s="114"/>
      <c r="Z34" s="111"/>
      <c r="AA34" s="112"/>
      <c r="AB34" s="113"/>
      <c r="AC34" s="114"/>
      <c r="AD34" s="111"/>
      <c r="AE34" s="112"/>
      <c r="AF34" s="113"/>
      <c r="AG34" s="114"/>
      <c r="AH34" s="111"/>
      <c r="AI34" s="112"/>
      <c r="AJ34" s="113"/>
      <c r="AK34" s="114"/>
      <c r="AL34" s="111"/>
      <c r="AM34" s="112"/>
      <c r="AN34" s="113"/>
      <c r="AO34" s="114"/>
      <c r="AP34" s="111"/>
      <c r="AQ34" s="112"/>
      <c r="AR34" s="113"/>
      <c r="AS34" s="114"/>
      <c r="AT34" s="111"/>
      <c r="AU34" s="112"/>
      <c r="AV34" s="113"/>
      <c r="AW34" s="114"/>
      <c r="AX34" s="111"/>
      <c r="AY34" s="112"/>
      <c r="AZ34" s="113"/>
      <c r="BA34" s="114"/>
      <c r="BB34" s="111"/>
      <c r="BC34" s="112"/>
      <c r="BD34" s="113"/>
      <c r="BE34" s="114"/>
      <c r="BF34" s="111"/>
      <c r="BG34" s="112"/>
      <c r="BH34" s="113"/>
      <c r="BI34" s="114"/>
      <c r="BJ34" s="111"/>
      <c r="BK34" s="115"/>
      <c r="BL34" s="115"/>
      <c r="BM34" s="112"/>
      <c r="BN34" s="113"/>
      <c r="BO34" s="114"/>
      <c r="BP34" s="111"/>
      <c r="BQ34" s="112"/>
      <c r="BR34" s="113"/>
      <c r="BS34" s="114"/>
      <c r="BT34" s="111"/>
      <c r="BU34" s="115"/>
      <c r="BV34" s="115"/>
      <c r="BW34" s="112"/>
      <c r="BX34" s="113"/>
      <c r="BY34" s="114"/>
      <c r="BZ34" s="111"/>
      <c r="CA34" s="112"/>
      <c r="CB34" s="113"/>
      <c r="CC34" s="114"/>
      <c r="CD34" s="111"/>
      <c r="CE34" s="112"/>
      <c r="CF34" s="158"/>
      <c r="CG34" s="161"/>
      <c r="CH34" s="161"/>
      <c r="CI34" s="161"/>
      <c r="CJ34" s="111"/>
      <c r="CK34" s="112"/>
      <c r="CL34" s="113"/>
      <c r="CM34" s="114"/>
      <c r="CN34" s="111"/>
      <c r="CO34" s="112"/>
      <c r="CP34" s="113"/>
      <c r="CQ34" s="114"/>
    </row>
    <row r="35" spans="1:95" s="116" customFormat="1" ht="25.5" hidden="1" customHeight="1" x14ac:dyDescent="0.6">
      <c r="A35" s="110">
        <v>33</v>
      </c>
      <c r="B35" s="117"/>
      <c r="C35" s="118"/>
      <c r="D35" s="119"/>
      <c r="E35" s="120"/>
      <c r="F35" s="111"/>
      <c r="G35" s="112"/>
      <c r="H35" s="113"/>
      <c r="I35" s="114"/>
      <c r="J35" s="111"/>
      <c r="K35" s="112"/>
      <c r="L35" s="113"/>
      <c r="M35" s="114"/>
      <c r="N35" s="111"/>
      <c r="O35" s="112"/>
      <c r="P35" s="113"/>
      <c r="Q35" s="114"/>
      <c r="R35" s="111"/>
      <c r="S35" s="112"/>
      <c r="T35" s="113"/>
      <c r="U35" s="114"/>
      <c r="V35" s="111"/>
      <c r="W35" s="112"/>
      <c r="X35" s="113"/>
      <c r="Y35" s="114"/>
      <c r="Z35" s="111"/>
      <c r="AA35" s="112"/>
      <c r="AB35" s="113"/>
      <c r="AC35" s="114"/>
      <c r="AD35" s="111"/>
      <c r="AE35" s="112"/>
      <c r="AF35" s="113"/>
      <c r="AG35" s="114"/>
      <c r="AH35" s="111"/>
      <c r="AI35" s="112"/>
      <c r="AJ35" s="113"/>
      <c r="AK35" s="114"/>
      <c r="AL35" s="111"/>
      <c r="AM35" s="112"/>
      <c r="AN35" s="113"/>
      <c r="AO35" s="114"/>
      <c r="AP35" s="111"/>
      <c r="AQ35" s="112"/>
      <c r="AR35" s="113"/>
      <c r="AS35" s="114"/>
      <c r="AT35" s="111"/>
      <c r="AU35" s="112"/>
      <c r="AV35" s="113"/>
      <c r="AW35" s="114"/>
      <c r="AX35" s="111"/>
      <c r="AY35" s="112"/>
      <c r="AZ35" s="113"/>
      <c r="BA35" s="114"/>
      <c r="BB35" s="111"/>
      <c r="BC35" s="112"/>
      <c r="BD35" s="113"/>
      <c r="BE35" s="114"/>
      <c r="BF35" s="111"/>
      <c r="BG35" s="112"/>
      <c r="BH35" s="113"/>
      <c r="BI35" s="114"/>
      <c r="BJ35" s="111"/>
      <c r="BK35" s="115"/>
      <c r="BL35" s="115"/>
      <c r="BM35" s="112"/>
      <c r="BN35" s="113"/>
      <c r="BO35" s="114"/>
      <c r="BP35" s="111"/>
      <c r="BQ35" s="112"/>
      <c r="BR35" s="113"/>
      <c r="BS35" s="114"/>
      <c r="BT35" s="111"/>
      <c r="BU35" s="115"/>
      <c r="BV35" s="115"/>
      <c r="BW35" s="112"/>
      <c r="BX35" s="113"/>
      <c r="BY35" s="114"/>
      <c r="BZ35" s="111"/>
      <c r="CA35" s="112"/>
      <c r="CB35" s="113"/>
      <c r="CC35" s="114"/>
      <c r="CD35" s="111"/>
      <c r="CE35" s="112"/>
      <c r="CF35" s="158"/>
      <c r="CG35" s="161"/>
      <c r="CH35" s="161"/>
      <c r="CI35" s="161"/>
      <c r="CJ35" s="111"/>
      <c r="CK35" s="112"/>
      <c r="CL35" s="113"/>
      <c r="CM35" s="114"/>
      <c r="CN35" s="111"/>
      <c r="CO35" s="112"/>
      <c r="CP35" s="113"/>
      <c r="CQ35" s="114"/>
    </row>
    <row r="36" spans="1:95" s="116" customFormat="1" ht="25.5" hidden="1" customHeight="1" x14ac:dyDescent="0.6">
      <c r="A36" s="110">
        <v>34</v>
      </c>
      <c r="B36" s="117"/>
      <c r="C36" s="118"/>
      <c r="D36" s="119"/>
      <c r="E36" s="120"/>
      <c r="F36" s="111"/>
      <c r="G36" s="112"/>
      <c r="H36" s="113"/>
      <c r="I36" s="114"/>
      <c r="J36" s="111"/>
      <c r="K36" s="112"/>
      <c r="L36" s="113"/>
      <c r="M36" s="114"/>
      <c r="N36" s="111"/>
      <c r="O36" s="112"/>
      <c r="P36" s="113"/>
      <c r="Q36" s="114"/>
      <c r="R36" s="111"/>
      <c r="S36" s="112"/>
      <c r="T36" s="113"/>
      <c r="U36" s="114"/>
      <c r="V36" s="111"/>
      <c r="W36" s="112"/>
      <c r="X36" s="113"/>
      <c r="Y36" s="114"/>
      <c r="Z36" s="111"/>
      <c r="AA36" s="112"/>
      <c r="AB36" s="113"/>
      <c r="AC36" s="114"/>
      <c r="AD36" s="111"/>
      <c r="AE36" s="112"/>
      <c r="AF36" s="113"/>
      <c r="AG36" s="114"/>
      <c r="AH36" s="111"/>
      <c r="AI36" s="112"/>
      <c r="AJ36" s="113"/>
      <c r="AK36" s="114"/>
      <c r="AL36" s="111"/>
      <c r="AM36" s="112"/>
      <c r="AN36" s="113"/>
      <c r="AO36" s="114"/>
      <c r="AP36" s="111"/>
      <c r="AQ36" s="112"/>
      <c r="AR36" s="113"/>
      <c r="AS36" s="114"/>
      <c r="AT36" s="111"/>
      <c r="AU36" s="112"/>
      <c r="AV36" s="113"/>
      <c r="AW36" s="114"/>
      <c r="AX36" s="111"/>
      <c r="AY36" s="112"/>
      <c r="AZ36" s="113"/>
      <c r="BA36" s="114"/>
      <c r="BB36" s="111"/>
      <c r="BC36" s="112"/>
      <c r="BD36" s="113"/>
      <c r="BE36" s="114"/>
      <c r="BF36" s="111"/>
      <c r="BG36" s="112"/>
      <c r="BH36" s="113"/>
      <c r="BI36" s="114"/>
      <c r="BJ36" s="111"/>
      <c r="BK36" s="115"/>
      <c r="BL36" s="115"/>
      <c r="BM36" s="112"/>
      <c r="BN36" s="113"/>
      <c r="BO36" s="114"/>
      <c r="BP36" s="111"/>
      <c r="BQ36" s="112"/>
      <c r="BR36" s="113"/>
      <c r="BS36" s="114"/>
      <c r="BT36" s="111"/>
      <c r="BU36" s="115"/>
      <c r="BV36" s="115"/>
      <c r="BW36" s="112"/>
      <c r="BX36" s="113"/>
      <c r="BY36" s="114"/>
      <c r="BZ36" s="111"/>
      <c r="CA36" s="112"/>
      <c r="CB36" s="113"/>
      <c r="CC36" s="114"/>
      <c r="CD36" s="111"/>
      <c r="CE36" s="112"/>
      <c r="CF36" s="158"/>
      <c r="CG36" s="161"/>
      <c r="CH36" s="161"/>
      <c r="CI36" s="161"/>
      <c r="CJ36" s="111"/>
      <c r="CK36" s="112"/>
      <c r="CL36" s="113"/>
      <c r="CM36" s="114"/>
      <c r="CN36" s="111"/>
      <c r="CO36" s="112"/>
      <c r="CP36" s="113"/>
      <c r="CQ36" s="114"/>
    </row>
    <row r="37" spans="1:95" s="116" customFormat="1" ht="25.5" hidden="1" customHeight="1" x14ac:dyDescent="0.6">
      <c r="A37" s="110">
        <v>35</v>
      </c>
      <c r="B37" s="117"/>
      <c r="C37" s="118"/>
      <c r="D37" s="119"/>
      <c r="E37" s="120"/>
      <c r="F37" s="111"/>
      <c r="G37" s="112"/>
      <c r="H37" s="113"/>
      <c r="I37" s="114"/>
      <c r="J37" s="111"/>
      <c r="K37" s="112"/>
      <c r="L37" s="113"/>
      <c r="M37" s="114"/>
      <c r="N37" s="111"/>
      <c r="O37" s="112"/>
      <c r="P37" s="113"/>
      <c r="Q37" s="114"/>
      <c r="R37" s="111"/>
      <c r="S37" s="112"/>
      <c r="T37" s="113"/>
      <c r="U37" s="114"/>
      <c r="V37" s="111"/>
      <c r="W37" s="112"/>
      <c r="X37" s="113"/>
      <c r="Y37" s="114"/>
      <c r="Z37" s="111"/>
      <c r="AA37" s="112"/>
      <c r="AB37" s="113"/>
      <c r="AC37" s="114"/>
      <c r="AD37" s="111"/>
      <c r="AE37" s="112"/>
      <c r="AF37" s="113"/>
      <c r="AG37" s="114"/>
      <c r="AH37" s="111"/>
      <c r="AI37" s="112"/>
      <c r="AJ37" s="113"/>
      <c r="AK37" s="114"/>
      <c r="AL37" s="111"/>
      <c r="AM37" s="112"/>
      <c r="AN37" s="113"/>
      <c r="AO37" s="114"/>
      <c r="AP37" s="111"/>
      <c r="AQ37" s="112"/>
      <c r="AR37" s="113"/>
      <c r="AS37" s="114"/>
      <c r="AT37" s="111"/>
      <c r="AU37" s="112"/>
      <c r="AV37" s="113"/>
      <c r="AW37" s="114"/>
      <c r="AX37" s="111"/>
      <c r="AY37" s="112"/>
      <c r="AZ37" s="113"/>
      <c r="BA37" s="114"/>
      <c r="BB37" s="111"/>
      <c r="BC37" s="112"/>
      <c r="BD37" s="113"/>
      <c r="BE37" s="114"/>
      <c r="BF37" s="111"/>
      <c r="BG37" s="112"/>
      <c r="BH37" s="113"/>
      <c r="BI37" s="114"/>
      <c r="BJ37" s="111"/>
      <c r="BK37" s="115"/>
      <c r="BL37" s="115"/>
      <c r="BM37" s="112"/>
      <c r="BN37" s="113"/>
      <c r="BO37" s="114"/>
      <c r="BP37" s="111"/>
      <c r="BQ37" s="112"/>
      <c r="BR37" s="113"/>
      <c r="BS37" s="114"/>
      <c r="BT37" s="111"/>
      <c r="BU37" s="115"/>
      <c r="BV37" s="115"/>
      <c r="BW37" s="112"/>
      <c r="BX37" s="113"/>
      <c r="BY37" s="114"/>
      <c r="BZ37" s="111"/>
      <c r="CA37" s="112"/>
      <c r="CB37" s="113"/>
      <c r="CC37" s="114"/>
      <c r="CD37" s="111"/>
      <c r="CE37" s="112"/>
      <c r="CF37" s="158"/>
      <c r="CG37" s="161"/>
      <c r="CH37" s="161"/>
      <c r="CI37" s="161"/>
      <c r="CJ37" s="111"/>
      <c r="CK37" s="112"/>
      <c r="CL37" s="113"/>
      <c r="CM37" s="114"/>
      <c r="CN37" s="111"/>
      <c r="CO37" s="112"/>
      <c r="CP37" s="113"/>
      <c r="CQ37" s="114"/>
    </row>
    <row r="38" spans="1:95" s="116" customFormat="1" ht="25.5" hidden="1" customHeight="1" x14ac:dyDescent="0.6">
      <c r="A38" s="110">
        <v>36</v>
      </c>
      <c r="B38" s="117"/>
      <c r="C38" s="118"/>
      <c r="D38" s="119"/>
      <c r="E38" s="120"/>
      <c r="F38" s="111"/>
      <c r="G38" s="112"/>
      <c r="H38" s="113"/>
      <c r="I38" s="114"/>
      <c r="J38" s="111"/>
      <c r="K38" s="112"/>
      <c r="L38" s="113"/>
      <c r="M38" s="114"/>
      <c r="N38" s="111"/>
      <c r="O38" s="112"/>
      <c r="P38" s="113"/>
      <c r="Q38" s="114"/>
      <c r="R38" s="111"/>
      <c r="S38" s="112"/>
      <c r="T38" s="113"/>
      <c r="U38" s="114"/>
      <c r="V38" s="111"/>
      <c r="W38" s="112"/>
      <c r="X38" s="113"/>
      <c r="Y38" s="114"/>
      <c r="Z38" s="111"/>
      <c r="AA38" s="112"/>
      <c r="AB38" s="113"/>
      <c r="AC38" s="114"/>
      <c r="AD38" s="111"/>
      <c r="AE38" s="112"/>
      <c r="AF38" s="113"/>
      <c r="AG38" s="114"/>
      <c r="AH38" s="111"/>
      <c r="AI38" s="112"/>
      <c r="AJ38" s="113"/>
      <c r="AK38" s="114"/>
      <c r="AL38" s="111"/>
      <c r="AM38" s="112"/>
      <c r="AN38" s="113"/>
      <c r="AO38" s="114"/>
      <c r="AP38" s="111"/>
      <c r="AQ38" s="112"/>
      <c r="AR38" s="113"/>
      <c r="AS38" s="114"/>
      <c r="AT38" s="111"/>
      <c r="AU38" s="112"/>
      <c r="AV38" s="113"/>
      <c r="AW38" s="114"/>
      <c r="AX38" s="111"/>
      <c r="AY38" s="112"/>
      <c r="AZ38" s="113"/>
      <c r="BA38" s="114"/>
      <c r="BB38" s="111"/>
      <c r="BC38" s="112"/>
      <c r="BD38" s="113"/>
      <c r="BE38" s="114"/>
      <c r="BF38" s="111"/>
      <c r="BG38" s="112"/>
      <c r="BH38" s="113"/>
      <c r="BI38" s="114"/>
      <c r="BJ38" s="111"/>
      <c r="BK38" s="115"/>
      <c r="BL38" s="115"/>
      <c r="BM38" s="112"/>
      <c r="BN38" s="113"/>
      <c r="BO38" s="114"/>
      <c r="BP38" s="111"/>
      <c r="BQ38" s="112"/>
      <c r="BR38" s="113"/>
      <c r="BS38" s="114"/>
      <c r="BT38" s="111"/>
      <c r="BU38" s="115"/>
      <c r="BV38" s="115"/>
      <c r="BW38" s="112"/>
      <c r="BX38" s="113"/>
      <c r="BY38" s="114"/>
      <c r="BZ38" s="111"/>
      <c r="CA38" s="112"/>
      <c r="CB38" s="113"/>
      <c r="CC38" s="114"/>
      <c r="CD38" s="111"/>
      <c r="CE38" s="112"/>
      <c r="CF38" s="158"/>
      <c r="CG38" s="161"/>
      <c r="CH38" s="161"/>
      <c r="CI38" s="161"/>
      <c r="CJ38" s="111"/>
      <c r="CK38" s="112"/>
      <c r="CL38" s="113"/>
      <c r="CM38" s="114"/>
      <c r="CN38" s="111"/>
      <c r="CO38" s="112"/>
      <c r="CP38" s="113"/>
      <c r="CQ38" s="114"/>
    </row>
    <row r="39" spans="1:95" s="116" customFormat="1" ht="25.5" hidden="1" customHeight="1" x14ac:dyDescent="0.6">
      <c r="A39" s="110">
        <v>37</v>
      </c>
      <c r="B39" s="117"/>
      <c r="C39" s="118"/>
      <c r="D39" s="119"/>
      <c r="E39" s="120"/>
      <c r="F39" s="117"/>
      <c r="G39" s="118"/>
      <c r="H39" s="119"/>
      <c r="I39" s="120"/>
      <c r="J39" s="117"/>
      <c r="K39" s="118"/>
      <c r="L39" s="119"/>
      <c r="M39" s="120"/>
      <c r="N39" s="117"/>
      <c r="O39" s="118"/>
      <c r="P39" s="119"/>
      <c r="Q39" s="120"/>
      <c r="R39" s="117"/>
      <c r="S39" s="118"/>
      <c r="T39" s="119"/>
      <c r="U39" s="120"/>
      <c r="V39" s="117"/>
      <c r="W39" s="118"/>
      <c r="X39" s="119"/>
      <c r="Y39" s="120"/>
      <c r="Z39" s="117"/>
      <c r="AA39" s="118"/>
      <c r="AB39" s="119"/>
      <c r="AC39" s="120"/>
      <c r="AD39" s="117"/>
      <c r="AE39" s="118"/>
      <c r="AF39" s="119"/>
      <c r="AG39" s="120"/>
      <c r="AH39" s="117"/>
      <c r="AI39" s="118"/>
      <c r="AJ39" s="119"/>
      <c r="AK39" s="120"/>
      <c r="AL39" s="117"/>
      <c r="AM39" s="118"/>
      <c r="AN39" s="119"/>
      <c r="AO39" s="120"/>
      <c r="AP39" s="117"/>
      <c r="AQ39" s="118"/>
      <c r="AR39" s="119"/>
      <c r="AS39" s="120"/>
      <c r="AT39" s="117"/>
      <c r="AU39" s="118"/>
      <c r="AV39" s="119"/>
      <c r="AW39" s="120"/>
      <c r="AX39" s="124"/>
      <c r="AY39" s="125"/>
      <c r="AZ39" s="122"/>
      <c r="BA39" s="123"/>
      <c r="BB39" s="124"/>
      <c r="BC39" s="125"/>
      <c r="BD39" s="122"/>
      <c r="BE39" s="123"/>
      <c r="BF39" s="124"/>
      <c r="BG39" s="125"/>
      <c r="BH39" s="122"/>
      <c r="BI39" s="123"/>
      <c r="BJ39" s="124"/>
      <c r="BK39" s="126"/>
      <c r="BL39" s="126"/>
      <c r="BM39" s="125"/>
      <c r="BN39" s="122"/>
      <c r="BO39" s="123"/>
      <c r="BP39" s="124"/>
      <c r="BQ39" s="125"/>
      <c r="BR39" s="122"/>
      <c r="BS39" s="114"/>
      <c r="BT39" s="111"/>
      <c r="BU39" s="115"/>
      <c r="BV39" s="115"/>
      <c r="BW39" s="112"/>
      <c r="BX39" s="122"/>
      <c r="BY39" s="123"/>
      <c r="BZ39" s="124"/>
      <c r="CA39" s="125"/>
      <c r="CB39" s="122"/>
      <c r="CC39" s="114"/>
      <c r="CD39" s="124"/>
      <c r="CE39" s="125"/>
      <c r="CF39" s="162"/>
      <c r="CG39" s="161"/>
      <c r="CH39" s="161"/>
      <c r="CI39" s="161"/>
      <c r="CJ39" s="124"/>
      <c r="CK39" s="125"/>
      <c r="CL39" s="122"/>
      <c r="CM39" s="114"/>
      <c r="CN39" s="124"/>
      <c r="CO39" s="125"/>
      <c r="CP39" s="122"/>
      <c r="CQ39" s="114"/>
    </row>
    <row r="40" spans="1:95" s="116" customFormat="1" ht="25.5" hidden="1" customHeight="1" x14ac:dyDescent="0.6">
      <c r="A40" s="110">
        <v>38</v>
      </c>
      <c r="B40" s="117"/>
      <c r="C40" s="118"/>
      <c r="D40" s="119"/>
      <c r="E40" s="120"/>
      <c r="F40" s="117"/>
      <c r="G40" s="118"/>
      <c r="H40" s="119"/>
      <c r="I40" s="120"/>
      <c r="J40" s="117"/>
      <c r="K40" s="118"/>
      <c r="L40" s="119"/>
      <c r="M40" s="120"/>
      <c r="N40" s="117"/>
      <c r="O40" s="118"/>
      <c r="P40" s="119"/>
      <c r="Q40" s="120"/>
      <c r="R40" s="117"/>
      <c r="S40" s="118"/>
      <c r="T40" s="119"/>
      <c r="U40" s="120"/>
      <c r="V40" s="117"/>
      <c r="W40" s="118"/>
      <c r="X40" s="119"/>
      <c r="Y40" s="120"/>
      <c r="Z40" s="117"/>
      <c r="AA40" s="118"/>
      <c r="AB40" s="119"/>
      <c r="AC40" s="120"/>
      <c r="AD40" s="117"/>
      <c r="AE40" s="118"/>
      <c r="AF40" s="119"/>
      <c r="AG40" s="120"/>
      <c r="AH40" s="117"/>
      <c r="AI40" s="118"/>
      <c r="AJ40" s="119"/>
      <c r="AK40" s="120"/>
      <c r="AL40" s="117"/>
      <c r="AM40" s="118"/>
      <c r="AN40" s="119"/>
      <c r="AO40" s="120"/>
      <c r="AP40" s="117"/>
      <c r="AQ40" s="118"/>
      <c r="AR40" s="119"/>
      <c r="AS40" s="120"/>
      <c r="AT40" s="117"/>
      <c r="AU40" s="118"/>
      <c r="AV40" s="119"/>
      <c r="AW40" s="120"/>
      <c r="AX40" s="124"/>
      <c r="AY40" s="125"/>
      <c r="AZ40" s="122"/>
      <c r="BA40" s="123"/>
      <c r="BB40" s="124"/>
      <c r="BC40" s="125"/>
      <c r="BD40" s="122"/>
      <c r="BE40" s="123"/>
      <c r="BF40" s="124"/>
      <c r="BG40" s="125"/>
      <c r="BH40" s="122"/>
      <c r="BI40" s="123"/>
      <c r="BJ40" s="124"/>
      <c r="BK40" s="126"/>
      <c r="BL40" s="126"/>
      <c r="BM40" s="125"/>
      <c r="BN40" s="122"/>
      <c r="BO40" s="123"/>
      <c r="BP40" s="124"/>
      <c r="BQ40" s="125"/>
      <c r="BR40" s="122"/>
      <c r="BS40" s="114"/>
      <c r="BT40" s="111"/>
      <c r="BU40" s="115"/>
      <c r="BV40" s="115"/>
      <c r="BW40" s="112"/>
      <c r="BX40" s="122"/>
      <c r="BY40" s="123"/>
      <c r="BZ40" s="124"/>
      <c r="CA40" s="125"/>
      <c r="CB40" s="122"/>
      <c r="CC40" s="114"/>
      <c r="CD40" s="124"/>
      <c r="CE40" s="125"/>
      <c r="CF40" s="162"/>
      <c r="CG40" s="161"/>
      <c r="CH40" s="161"/>
      <c r="CI40" s="161"/>
      <c r="CJ40" s="124"/>
      <c r="CK40" s="125"/>
      <c r="CL40" s="122"/>
      <c r="CM40" s="114"/>
      <c r="CN40" s="124"/>
      <c r="CO40" s="125"/>
      <c r="CP40" s="122"/>
      <c r="CQ40" s="114"/>
    </row>
    <row r="41" spans="1:95" s="116" customFormat="1" ht="25.5" hidden="1" customHeight="1" x14ac:dyDescent="0.6">
      <c r="A41" s="110">
        <v>39</v>
      </c>
      <c r="B41" s="117"/>
      <c r="C41" s="118"/>
      <c r="D41" s="119"/>
      <c r="E41" s="120"/>
      <c r="F41" s="117"/>
      <c r="G41" s="118"/>
      <c r="H41" s="119"/>
      <c r="I41" s="120"/>
      <c r="J41" s="117"/>
      <c r="K41" s="118"/>
      <c r="L41" s="119"/>
      <c r="M41" s="120"/>
      <c r="N41" s="117"/>
      <c r="O41" s="118"/>
      <c r="P41" s="119"/>
      <c r="Q41" s="120"/>
      <c r="R41" s="117"/>
      <c r="S41" s="118"/>
      <c r="T41" s="119"/>
      <c r="U41" s="120"/>
      <c r="V41" s="111"/>
      <c r="W41" s="118"/>
      <c r="X41" s="119"/>
      <c r="Y41" s="120"/>
      <c r="Z41" s="117"/>
      <c r="AA41" s="118"/>
      <c r="AB41" s="119"/>
      <c r="AC41" s="120"/>
      <c r="AD41" s="117"/>
      <c r="AE41" s="118"/>
      <c r="AF41" s="119"/>
      <c r="AG41" s="120"/>
      <c r="AH41" s="117"/>
      <c r="AI41" s="118"/>
      <c r="AJ41" s="119"/>
      <c r="AK41" s="120"/>
      <c r="AL41" s="117"/>
      <c r="AM41" s="118"/>
      <c r="AN41" s="119"/>
      <c r="AO41" s="120"/>
      <c r="AP41" s="117"/>
      <c r="AQ41" s="118"/>
      <c r="AR41" s="119"/>
      <c r="AS41" s="120"/>
      <c r="AT41" s="117"/>
      <c r="AU41" s="118"/>
      <c r="AV41" s="119"/>
      <c r="AW41" s="120"/>
      <c r="AX41" s="124"/>
      <c r="AY41" s="125"/>
      <c r="AZ41" s="122"/>
      <c r="BA41" s="123"/>
      <c r="BB41" s="124"/>
      <c r="BC41" s="125"/>
      <c r="BD41" s="122"/>
      <c r="BE41" s="123"/>
      <c r="BF41" s="124"/>
      <c r="BG41" s="125"/>
      <c r="BH41" s="122"/>
      <c r="BI41" s="123"/>
      <c r="BJ41" s="124"/>
      <c r="BK41" s="126"/>
      <c r="BL41" s="126"/>
      <c r="BM41" s="125"/>
      <c r="BN41" s="113"/>
      <c r="BO41" s="114"/>
      <c r="BP41" s="111"/>
      <c r="BQ41" s="118"/>
      <c r="BR41" s="119"/>
      <c r="BS41" s="114"/>
      <c r="BT41" s="111"/>
      <c r="BU41" s="115"/>
      <c r="BV41" s="115"/>
      <c r="BW41" s="112"/>
      <c r="BX41" s="122"/>
      <c r="BY41" s="123"/>
      <c r="BZ41" s="111"/>
      <c r="CA41" s="118"/>
      <c r="CB41" s="119"/>
      <c r="CC41" s="114"/>
      <c r="CD41" s="111"/>
      <c r="CE41" s="118"/>
      <c r="CF41" s="163"/>
      <c r="CG41" s="161"/>
      <c r="CH41" s="161"/>
      <c r="CI41" s="161"/>
      <c r="CJ41" s="111"/>
      <c r="CK41" s="118"/>
      <c r="CL41" s="119"/>
      <c r="CM41" s="114"/>
      <c r="CN41" s="111"/>
      <c r="CO41" s="118"/>
      <c r="CP41" s="119"/>
      <c r="CQ41" s="114"/>
    </row>
    <row r="42" spans="1:95" s="116" customFormat="1" ht="25.5" hidden="1" customHeight="1" x14ac:dyDescent="0.6">
      <c r="A42" s="110">
        <v>40</v>
      </c>
      <c r="B42" s="117"/>
      <c r="C42" s="118"/>
      <c r="D42" s="119"/>
      <c r="E42" s="120"/>
      <c r="F42" s="117"/>
      <c r="G42" s="118"/>
      <c r="H42" s="119"/>
      <c r="I42" s="120"/>
      <c r="J42" s="117"/>
      <c r="K42" s="118"/>
      <c r="L42" s="119"/>
      <c r="M42" s="120"/>
      <c r="N42" s="117"/>
      <c r="O42" s="118"/>
      <c r="P42" s="119"/>
      <c r="Q42" s="120"/>
      <c r="R42" s="117"/>
      <c r="S42" s="118"/>
      <c r="T42" s="119"/>
      <c r="U42" s="120"/>
      <c r="V42" s="117"/>
      <c r="W42" s="118"/>
      <c r="X42" s="119"/>
      <c r="Y42" s="120"/>
      <c r="Z42" s="117"/>
      <c r="AA42" s="118"/>
      <c r="AB42" s="119"/>
      <c r="AC42" s="120"/>
      <c r="AD42" s="117"/>
      <c r="AE42" s="118"/>
      <c r="AF42" s="119"/>
      <c r="AG42" s="120"/>
      <c r="AH42" s="117"/>
      <c r="AI42" s="118"/>
      <c r="AJ42" s="119"/>
      <c r="AK42" s="120"/>
      <c r="AL42" s="117"/>
      <c r="AM42" s="118"/>
      <c r="AN42" s="119"/>
      <c r="AO42" s="120"/>
      <c r="AP42" s="117"/>
      <c r="AQ42" s="118"/>
      <c r="AR42" s="119"/>
      <c r="AS42" s="120"/>
      <c r="AT42" s="117"/>
      <c r="AU42" s="118"/>
      <c r="AV42" s="119"/>
      <c r="AW42" s="120"/>
      <c r="AX42" s="124"/>
      <c r="AY42" s="125"/>
      <c r="AZ42" s="122"/>
      <c r="BA42" s="123"/>
      <c r="BB42" s="124"/>
      <c r="BC42" s="125"/>
      <c r="BD42" s="122"/>
      <c r="BE42" s="123"/>
      <c r="BF42" s="124"/>
      <c r="BG42" s="125"/>
      <c r="BH42" s="122"/>
      <c r="BI42" s="123"/>
      <c r="BJ42" s="124"/>
      <c r="BK42" s="126"/>
      <c r="BL42" s="126"/>
      <c r="BM42" s="125"/>
      <c r="BN42" s="122"/>
      <c r="BO42" s="123"/>
      <c r="BP42" s="124"/>
      <c r="BQ42" s="125"/>
      <c r="BR42" s="122"/>
      <c r="BS42" s="123"/>
      <c r="BT42" s="111"/>
      <c r="BU42" s="115"/>
      <c r="BV42" s="115"/>
      <c r="BW42" s="112"/>
      <c r="BX42" s="122"/>
      <c r="BY42" s="123"/>
      <c r="BZ42" s="124"/>
      <c r="CA42" s="125"/>
      <c r="CB42" s="122"/>
      <c r="CC42" s="123"/>
      <c r="CD42" s="124"/>
      <c r="CE42" s="125"/>
      <c r="CF42" s="162"/>
      <c r="CG42" s="164"/>
      <c r="CH42" s="164"/>
      <c r="CI42" s="164"/>
      <c r="CJ42" s="124"/>
      <c r="CK42" s="125"/>
      <c r="CL42" s="122"/>
      <c r="CM42" s="123"/>
      <c r="CN42" s="124"/>
      <c r="CO42" s="125"/>
      <c r="CP42" s="122"/>
      <c r="CQ42" s="123"/>
    </row>
    <row r="43" spans="1:95" s="116" customFormat="1" ht="25.5" hidden="1" customHeight="1" x14ac:dyDescent="0.6">
      <c r="A43" s="110">
        <v>41</v>
      </c>
      <c r="B43" s="117"/>
      <c r="C43" s="118"/>
      <c r="D43" s="119"/>
      <c r="E43" s="120"/>
      <c r="F43" s="117"/>
      <c r="G43" s="118"/>
      <c r="H43" s="119"/>
      <c r="I43" s="120"/>
      <c r="J43" s="117"/>
      <c r="K43" s="118"/>
      <c r="L43" s="119"/>
      <c r="M43" s="120"/>
      <c r="N43" s="117"/>
      <c r="O43" s="118"/>
      <c r="P43" s="119"/>
      <c r="Q43" s="120"/>
      <c r="R43" s="117"/>
      <c r="S43" s="118"/>
      <c r="T43" s="119"/>
      <c r="U43" s="120"/>
      <c r="V43" s="117"/>
      <c r="W43" s="118"/>
      <c r="X43" s="119"/>
      <c r="Y43" s="120"/>
      <c r="Z43" s="117"/>
      <c r="AA43" s="118"/>
      <c r="AB43" s="119"/>
      <c r="AC43" s="120"/>
      <c r="AD43" s="117"/>
      <c r="AE43" s="118"/>
      <c r="AF43" s="119"/>
      <c r="AG43" s="120"/>
      <c r="AH43" s="117"/>
      <c r="AI43" s="118"/>
      <c r="AJ43" s="119"/>
      <c r="AK43" s="120"/>
      <c r="AL43" s="117"/>
      <c r="AM43" s="118"/>
      <c r="AN43" s="119"/>
      <c r="AO43" s="120"/>
      <c r="AP43" s="117"/>
      <c r="AQ43" s="118"/>
      <c r="AR43" s="119"/>
      <c r="AS43" s="120"/>
      <c r="AT43" s="117"/>
      <c r="AU43" s="118"/>
      <c r="AV43" s="119"/>
      <c r="AW43" s="120"/>
      <c r="AX43" s="124"/>
      <c r="AY43" s="125"/>
      <c r="AZ43" s="122"/>
      <c r="BA43" s="123"/>
      <c r="BB43" s="124"/>
      <c r="BC43" s="125"/>
      <c r="BD43" s="122"/>
      <c r="BE43" s="123"/>
      <c r="BF43" s="124"/>
      <c r="BG43" s="125"/>
      <c r="BH43" s="122"/>
      <c r="BI43" s="123"/>
      <c r="BJ43" s="124"/>
      <c r="BK43" s="126"/>
      <c r="BL43" s="126"/>
      <c r="BM43" s="125"/>
      <c r="BN43" s="122"/>
      <c r="BO43" s="123"/>
      <c r="BP43" s="124"/>
      <c r="BQ43" s="125"/>
      <c r="BR43" s="122"/>
      <c r="BS43" s="123"/>
      <c r="BT43" s="111"/>
      <c r="BU43" s="115"/>
      <c r="BV43" s="115"/>
      <c r="BW43" s="112"/>
      <c r="BX43" s="122"/>
      <c r="BY43" s="123"/>
      <c r="BZ43" s="124"/>
      <c r="CA43" s="125"/>
      <c r="CB43" s="122"/>
      <c r="CC43" s="123"/>
      <c r="CD43" s="124"/>
      <c r="CE43" s="125"/>
      <c r="CF43" s="162"/>
      <c r="CG43" s="164"/>
      <c r="CH43" s="164"/>
      <c r="CI43" s="164"/>
      <c r="CJ43" s="124"/>
      <c r="CK43" s="125"/>
      <c r="CL43" s="122"/>
      <c r="CM43" s="123"/>
      <c r="CN43" s="124"/>
      <c r="CO43" s="125"/>
      <c r="CP43" s="122"/>
      <c r="CQ43" s="123"/>
    </row>
    <row r="44" spans="1:95" s="116" customFormat="1" ht="25.5" hidden="1" customHeight="1" x14ac:dyDescent="0.6">
      <c r="A44" s="110">
        <v>42</v>
      </c>
      <c r="B44" s="117"/>
      <c r="C44" s="118"/>
      <c r="D44" s="119"/>
      <c r="E44" s="120"/>
      <c r="F44" s="117"/>
      <c r="G44" s="118"/>
      <c r="H44" s="119"/>
      <c r="I44" s="120"/>
      <c r="J44" s="117"/>
      <c r="K44" s="118"/>
      <c r="L44" s="119"/>
      <c r="M44" s="120"/>
      <c r="N44" s="117"/>
      <c r="O44" s="118"/>
      <c r="P44" s="119"/>
      <c r="Q44" s="120"/>
      <c r="R44" s="117"/>
      <c r="S44" s="118"/>
      <c r="T44" s="119"/>
      <c r="U44" s="120"/>
      <c r="V44" s="117"/>
      <c r="W44" s="118"/>
      <c r="X44" s="119"/>
      <c r="Y44" s="120"/>
      <c r="Z44" s="117"/>
      <c r="AA44" s="118"/>
      <c r="AB44" s="119"/>
      <c r="AC44" s="120"/>
      <c r="AD44" s="117"/>
      <c r="AE44" s="118"/>
      <c r="AF44" s="119"/>
      <c r="AG44" s="120"/>
      <c r="AH44" s="117"/>
      <c r="AI44" s="118"/>
      <c r="AJ44" s="119"/>
      <c r="AK44" s="120"/>
      <c r="AL44" s="117"/>
      <c r="AM44" s="118"/>
      <c r="AN44" s="119"/>
      <c r="AO44" s="120"/>
      <c r="AP44" s="117"/>
      <c r="AQ44" s="118"/>
      <c r="AR44" s="119"/>
      <c r="AS44" s="120"/>
      <c r="AT44" s="117"/>
      <c r="AU44" s="118"/>
      <c r="AV44" s="119"/>
      <c r="AW44" s="120"/>
      <c r="AX44" s="124"/>
      <c r="AY44" s="125"/>
      <c r="AZ44" s="122"/>
      <c r="BA44" s="123"/>
      <c r="BB44" s="124"/>
      <c r="BC44" s="125"/>
      <c r="BD44" s="122"/>
      <c r="BE44" s="123"/>
      <c r="BF44" s="124"/>
      <c r="BG44" s="125"/>
      <c r="BH44" s="122"/>
      <c r="BI44" s="123"/>
      <c r="BJ44" s="124"/>
      <c r="BK44" s="126"/>
      <c r="BL44" s="126"/>
      <c r="BM44" s="125"/>
      <c r="BN44" s="122"/>
      <c r="BO44" s="123"/>
      <c r="BP44" s="124"/>
      <c r="BQ44" s="125"/>
      <c r="BR44" s="122"/>
      <c r="BS44" s="123"/>
      <c r="BT44" s="111"/>
      <c r="BU44" s="115"/>
      <c r="BV44" s="115"/>
      <c r="BW44" s="112"/>
      <c r="BX44" s="122"/>
      <c r="BY44" s="123"/>
      <c r="BZ44" s="124"/>
      <c r="CA44" s="125"/>
      <c r="CB44" s="122"/>
      <c r="CC44" s="123"/>
      <c r="CD44" s="124"/>
      <c r="CE44" s="125"/>
      <c r="CF44" s="162"/>
      <c r="CG44" s="164"/>
      <c r="CH44" s="164"/>
      <c r="CI44" s="164"/>
      <c r="CJ44" s="124"/>
      <c r="CK44" s="125"/>
      <c r="CL44" s="122"/>
      <c r="CM44" s="123"/>
      <c r="CN44" s="124"/>
      <c r="CO44" s="125"/>
      <c r="CP44" s="122"/>
      <c r="CQ44" s="123"/>
    </row>
    <row r="45" spans="1:95" s="116" customFormat="1" ht="25.5" hidden="1" customHeight="1" x14ac:dyDescent="0.6">
      <c r="A45" s="110">
        <v>43</v>
      </c>
      <c r="B45" s="117"/>
      <c r="C45" s="118"/>
      <c r="D45" s="119"/>
      <c r="E45" s="120"/>
      <c r="F45" s="117"/>
      <c r="G45" s="118"/>
      <c r="H45" s="119"/>
      <c r="I45" s="120"/>
      <c r="J45" s="117"/>
      <c r="K45" s="118"/>
      <c r="L45" s="119"/>
      <c r="M45" s="120"/>
      <c r="N45" s="117"/>
      <c r="O45" s="118"/>
      <c r="P45" s="119"/>
      <c r="Q45" s="120"/>
      <c r="R45" s="117"/>
      <c r="S45" s="118"/>
      <c r="T45" s="119"/>
      <c r="U45" s="120"/>
      <c r="V45" s="117"/>
      <c r="W45" s="118"/>
      <c r="X45" s="119"/>
      <c r="Y45" s="120"/>
      <c r="Z45" s="117"/>
      <c r="AA45" s="118"/>
      <c r="AB45" s="119"/>
      <c r="AC45" s="120"/>
      <c r="AD45" s="117"/>
      <c r="AE45" s="118"/>
      <c r="AF45" s="119"/>
      <c r="AG45" s="120"/>
      <c r="AH45" s="117"/>
      <c r="AI45" s="118"/>
      <c r="AJ45" s="119"/>
      <c r="AK45" s="120"/>
      <c r="AL45" s="117"/>
      <c r="AM45" s="118"/>
      <c r="AN45" s="119"/>
      <c r="AO45" s="120"/>
      <c r="AP45" s="117"/>
      <c r="AQ45" s="118"/>
      <c r="AR45" s="119"/>
      <c r="AS45" s="120"/>
      <c r="AT45" s="117"/>
      <c r="AU45" s="118"/>
      <c r="AV45" s="119"/>
      <c r="AW45" s="120"/>
      <c r="AX45" s="124"/>
      <c r="AY45" s="125"/>
      <c r="AZ45" s="122"/>
      <c r="BA45" s="123"/>
      <c r="BB45" s="124"/>
      <c r="BC45" s="125"/>
      <c r="BD45" s="122"/>
      <c r="BE45" s="123"/>
      <c r="BF45" s="124"/>
      <c r="BG45" s="125"/>
      <c r="BH45" s="122"/>
      <c r="BI45" s="123"/>
      <c r="BJ45" s="124"/>
      <c r="BK45" s="126"/>
      <c r="BL45" s="126"/>
      <c r="BM45" s="125"/>
      <c r="BN45" s="122"/>
      <c r="BO45" s="123"/>
      <c r="BP45" s="124"/>
      <c r="BQ45" s="125"/>
      <c r="BR45" s="122"/>
      <c r="BS45" s="123"/>
      <c r="BT45" s="111"/>
      <c r="BU45" s="115"/>
      <c r="BV45" s="115"/>
      <c r="BW45" s="112"/>
      <c r="BX45" s="122"/>
      <c r="BY45" s="123"/>
      <c r="BZ45" s="124"/>
      <c r="CA45" s="125"/>
      <c r="CB45" s="122"/>
      <c r="CC45" s="123"/>
      <c r="CD45" s="124"/>
      <c r="CE45" s="125"/>
      <c r="CF45" s="162"/>
      <c r="CG45" s="164"/>
      <c r="CH45" s="164"/>
      <c r="CI45" s="164"/>
      <c r="CJ45" s="124"/>
      <c r="CK45" s="125"/>
      <c r="CL45" s="122"/>
      <c r="CM45" s="123"/>
      <c r="CN45" s="124"/>
      <c r="CO45" s="125"/>
      <c r="CP45" s="122"/>
      <c r="CQ45" s="123"/>
    </row>
    <row r="46" spans="1:95" s="116" customFormat="1" ht="25.5" hidden="1" customHeight="1" x14ac:dyDescent="0.6">
      <c r="A46" s="110">
        <v>44</v>
      </c>
      <c r="B46" s="117"/>
      <c r="C46" s="118"/>
      <c r="D46" s="119"/>
      <c r="E46" s="120"/>
      <c r="F46" s="117"/>
      <c r="G46" s="118"/>
      <c r="H46" s="119"/>
      <c r="I46" s="120"/>
      <c r="J46" s="117"/>
      <c r="K46" s="118"/>
      <c r="L46" s="119"/>
      <c r="M46" s="120"/>
      <c r="N46" s="117"/>
      <c r="O46" s="118"/>
      <c r="P46" s="119"/>
      <c r="Q46" s="120"/>
      <c r="R46" s="117"/>
      <c r="S46" s="118"/>
      <c r="T46" s="119"/>
      <c r="U46" s="120"/>
      <c r="V46" s="117"/>
      <c r="W46" s="118"/>
      <c r="X46" s="119"/>
      <c r="Y46" s="120"/>
      <c r="Z46" s="117"/>
      <c r="AA46" s="118"/>
      <c r="AB46" s="119"/>
      <c r="AC46" s="120"/>
      <c r="AD46" s="117"/>
      <c r="AE46" s="118"/>
      <c r="AF46" s="119"/>
      <c r="AG46" s="120"/>
      <c r="AH46" s="117"/>
      <c r="AI46" s="118"/>
      <c r="AJ46" s="119"/>
      <c r="AK46" s="120"/>
      <c r="AL46" s="117"/>
      <c r="AM46" s="118"/>
      <c r="AN46" s="119"/>
      <c r="AO46" s="120"/>
      <c r="AP46" s="117"/>
      <c r="AQ46" s="118"/>
      <c r="AR46" s="119"/>
      <c r="AS46" s="120"/>
      <c r="AT46" s="117"/>
      <c r="AU46" s="118"/>
      <c r="AV46" s="119"/>
      <c r="AW46" s="120"/>
      <c r="AX46" s="124"/>
      <c r="AY46" s="125"/>
      <c r="AZ46" s="122"/>
      <c r="BA46" s="123"/>
      <c r="BB46" s="124"/>
      <c r="BC46" s="125"/>
      <c r="BD46" s="122"/>
      <c r="BE46" s="123"/>
      <c r="BF46" s="124"/>
      <c r="BG46" s="125"/>
      <c r="BH46" s="122"/>
      <c r="BI46" s="123"/>
      <c r="BJ46" s="124"/>
      <c r="BK46" s="126"/>
      <c r="BL46" s="126"/>
      <c r="BM46" s="125"/>
      <c r="BN46" s="122"/>
      <c r="BO46" s="123"/>
      <c r="BP46" s="124"/>
      <c r="BQ46" s="125"/>
      <c r="BR46" s="122"/>
      <c r="BS46" s="123"/>
      <c r="BT46" s="111"/>
      <c r="BU46" s="115"/>
      <c r="BV46" s="115"/>
      <c r="BW46" s="112"/>
      <c r="BX46" s="122"/>
      <c r="BY46" s="123"/>
      <c r="BZ46" s="124"/>
      <c r="CA46" s="125"/>
      <c r="CB46" s="122"/>
      <c r="CC46" s="123"/>
      <c r="CD46" s="124"/>
      <c r="CE46" s="125"/>
      <c r="CF46" s="162"/>
      <c r="CG46" s="164"/>
      <c r="CH46" s="164"/>
      <c r="CI46" s="164"/>
      <c r="CJ46" s="124"/>
      <c r="CK46" s="125"/>
      <c r="CL46" s="122"/>
      <c r="CM46" s="123"/>
      <c r="CN46" s="124"/>
      <c r="CO46" s="125"/>
      <c r="CP46" s="122"/>
      <c r="CQ46" s="123"/>
    </row>
    <row r="47" spans="1:95" s="116" customFormat="1" ht="25.5" hidden="1" customHeight="1" x14ac:dyDescent="0.6">
      <c r="A47" s="110">
        <v>45</v>
      </c>
      <c r="B47" s="117"/>
      <c r="C47" s="118"/>
      <c r="D47" s="119"/>
      <c r="E47" s="120"/>
      <c r="F47" s="117"/>
      <c r="G47" s="118"/>
      <c r="H47" s="119"/>
      <c r="I47" s="120"/>
      <c r="J47" s="117"/>
      <c r="K47" s="118"/>
      <c r="L47" s="119"/>
      <c r="M47" s="120"/>
      <c r="N47" s="117"/>
      <c r="O47" s="118"/>
      <c r="P47" s="119"/>
      <c r="Q47" s="120"/>
      <c r="R47" s="117"/>
      <c r="S47" s="118"/>
      <c r="T47" s="119"/>
      <c r="U47" s="120"/>
      <c r="V47" s="117"/>
      <c r="W47" s="118"/>
      <c r="X47" s="119"/>
      <c r="Y47" s="120"/>
      <c r="Z47" s="117"/>
      <c r="AA47" s="118"/>
      <c r="AB47" s="119"/>
      <c r="AC47" s="120"/>
      <c r="AD47" s="117"/>
      <c r="AE47" s="118"/>
      <c r="AF47" s="119"/>
      <c r="AG47" s="120"/>
      <c r="AH47" s="117"/>
      <c r="AI47" s="118"/>
      <c r="AJ47" s="119"/>
      <c r="AK47" s="120"/>
      <c r="AL47" s="117"/>
      <c r="AM47" s="118"/>
      <c r="AN47" s="119"/>
      <c r="AO47" s="120"/>
      <c r="AP47" s="117"/>
      <c r="AQ47" s="118"/>
      <c r="AR47" s="119"/>
      <c r="AS47" s="120"/>
      <c r="AT47" s="117"/>
      <c r="AU47" s="118"/>
      <c r="AV47" s="119"/>
      <c r="AW47" s="120"/>
      <c r="AX47" s="124"/>
      <c r="AY47" s="125"/>
      <c r="AZ47" s="122"/>
      <c r="BA47" s="123"/>
      <c r="BB47" s="124"/>
      <c r="BC47" s="125"/>
      <c r="BD47" s="122"/>
      <c r="BE47" s="123"/>
      <c r="BF47" s="124"/>
      <c r="BG47" s="125"/>
      <c r="BH47" s="122"/>
      <c r="BI47" s="123"/>
      <c r="BJ47" s="124"/>
      <c r="BK47" s="126"/>
      <c r="BL47" s="126"/>
      <c r="BM47" s="125"/>
      <c r="BN47" s="122"/>
      <c r="BO47" s="123"/>
      <c r="BP47" s="124"/>
      <c r="BQ47" s="125"/>
      <c r="BR47" s="122"/>
      <c r="BS47" s="123"/>
      <c r="BT47" s="111"/>
      <c r="BU47" s="115"/>
      <c r="BV47" s="115"/>
      <c r="BW47" s="112"/>
      <c r="BX47" s="122"/>
      <c r="BY47" s="123"/>
      <c r="BZ47" s="124"/>
      <c r="CA47" s="125"/>
      <c r="CB47" s="122"/>
      <c r="CC47" s="123"/>
      <c r="CD47" s="124"/>
      <c r="CE47" s="125"/>
      <c r="CF47" s="162"/>
      <c r="CG47" s="164"/>
      <c r="CH47" s="164"/>
      <c r="CI47" s="164"/>
      <c r="CJ47" s="124"/>
      <c r="CK47" s="125"/>
      <c r="CL47" s="122"/>
      <c r="CM47" s="123"/>
      <c r="CN47" s="124"/>
      <c r="CO47" s="125"/>
      <c r="CP47" s="122"/>
      <c r="CQ47" s="123"/>
    </row>
    <row r="48" spans="1:95" s="116" customFormat="1" ht="25.5" hidden="1" customHeight="1" x14ac:dyDescent="0.6">
      <c r="A48" s="110">
        <v>46</v>
      </c>
      <c r="B48" s="117"/>
      <c r="C48" s="118"/>
      <c r="D48" s="119"/>
      <c r="E48" s="120"/>
      <c r="F48" s="117"/>
      <c r="G48" s="118"/>
      <c r="H48" s="119"/>
      <c r="I48" s="120"/>
      <c r="J48" s="117"/>
      <c r="K48" s="118"/>
      <c r="L48" s="119"/>
      <c r="M48" s="120"/>
      <c r="N48" s="117"/>
      <c r="O48" s="118"/>
      <c r="P48" s="119"/>
      <c r="Q48" s="120"/>
      <c r="R48" s="117"/>
      <c r="S48" s="118"/>
      <c r="T48" s="119"/>
      <c r="U48" s="120"/>
      <c r="V48" s="117"/>
      <c r="W48" s="118"/>
      <c r="X48" s="119"/>
      <c r="Y48" s="120"/>
      <c r="Z48" s="117"/>
      <c r="AA48" s="118"/>
      <c r="AB48" s="119"/>
      <c r="AC48" s="120"/>
      <c r="AD48" s="117"/>
      <c r="AE48" s="118"/>
      <c r="AF48" s="119"/>
      <c r="AG48" s="120"/>
      <c r="AH48" s="117"/>
      <c r="AI48" s="118"/>
      <c r="AJ48" s="119"/>
      <c r="AK48" s="120"/>
      <c r="AL48" s="117"/>
      <c r="AM48" s="118"/>
      <c r="AN48" s="119"/>
      <c r="AO48" s="120"/>
      <c r="AP48" s="117"/>
      <c r="AQ48" s="118"/>
      <c r="AR48" s="119"/>
      <c r="AS48" s="120"/>
      <c r="AT48" s="117"/>
      <c r="AU48" s="118"/>
      <c r="AV48" s="119"/>
      <c r="AW48" s="120"/>
      <c r="AX48" s="124"/>
      <c r="AY48" s="125"/>
      <c r="AZ48" s="122"/>
      <c r="BA48" s="123"/>
      <c r="BB48" s="124"/>
      <c r="BC48" s="125"/>
      <c r="BD48" s="122"/>
      <c r="BE48" s="123"/>
      <c r="BF48" s="124"/>
      <c r="BG48" s="125"/>
      <c r="BH48" s="122"/>
      <c r="BI48" s="123"/>
      <c r="BJ48" s="124"/>
      <c r="BK48" s="126"/>
      <c r="BL48" s="126"/>
      <c r="BM48" s="125"/>
      <c r="BN48" s="122"/>
      <c r="BO48" s="123"/>
      <c r="BP48" s="124"/>
      <c r="BQ48" s="125"/>
      <c r="BR48" s="122"/>
      <c r="BS48" s="123"/>
      <c r="BT48" s="111"/>
      <c r="BU48" s="115"/>
      <c r="BV48" s="115"/>
      <c r="BW48" s="112"/>
      <c r="BX48" s="122"/>
      <c r="BY48" s="123"/>
      <c r="BZ48" s="124"/>
      <c r="CA48" s="125"/>
      <c r="CB48" s="122"/>
      <c r="CC48" s="123"/>
      <c r="CD48" s="124"/>
      <c r="CE48" s="125"/>
      <c r="CF48" s="162"/>
      <c r="CG48" s="164"/>
      <c r="CH48" s="164"/>
      <c r="CI48" s="164"/>
      <c r="CJ48" s="124"/>
      <c r="CK48" s="125"/>
      <c r="CL48" s="122"/>
      <c r="CM48" s="123"/>
      <c r="CN48" s="124"/>
      <c r="CO48" s="125"/>
      <c r="CP48" s="122"/>
      <c r="CQ48" s="123"/>
    </row>
    <row r="49" spans="1:95" s="116" customFormat="1" ht="25.5" hidden="1" customHeight="1" x14ac:dyDescent="0.6">
      <c r="A49" s="110">
        <v>47</v>
      </c>
      <c r="B49" s="117"/>
      <c r="C49" s="118"/>
      <c r="D49" s="119"/>
      <c r="E49" s="120"/>
      <c r="F49" s="117"/>
      <c r="G49" s="118"/>
      <c r="H49" s="119"/>
      <c r="I49" s="120"/>
      <c r="J49" s="117"/>
      <c r="K49" s="118"/>
      <c r="L49" s="119"/>
      <c r="M49" s="120"/>
      <c r="N49" s="117"/>
      <c r="O49" s="118"/>
      <c r="P49" s="119"/>
      <c r="Q49" s="120"/>
      <c r="R49" s="117"/>
      <c r="S49" s="118"/>
      <c r="T49" s="119"/>
      <c r="U49" s="120"/>
      <c r="V49" s="117"/>
      <c r="W49" s="118"/>
      <c r="X49" s="119"/>
      <c r="Y49" s="120"/>
      <c r="Z49" s="117"/>
      <c r="AA49" s="118"/>
      <c r="AB49" s="119"/>
      <c r="AC49" s="120"/>
      <c r="AD49" s="117"/>
      <c r="AE49" s="118"/>
      <c r="AF49" s="119"/>
      <c r="AG49" s="120"/>
      <c r="AH49" s="117"/>
      <c r="AI49" s="118"/>
      <c r="AJ49" s="119"/>
      <c r="AK49" s="120"/>
      <c r="AL49" s="117"/>
      <c r="AM49" s="118"/>
      <c r="AN49" s="119"/>
      <c r="AO49" s="120"/>
      <c r="AP49" s="117"/>
      <c r="AQ49" s="118"/>
      <c r="AR49" s="119"/>
      <c r="AS49" s="120"/>
      <c r="AT49" s="117"/>
      <c r="AU49" s="118"/>
      <c r="AV49" s="119"/>
      <c r="AW49" s="120"/>
      <c r="AX49" s="124"/>
      <c r="AY49" s="125"/>
      <c r="AZ49" s="122"/>
      <c r="BA49" s="123"/>
      <c r="BB49" s="124"/>
      <c r="BC49" s="125"/>
      <c r="BD49" s="122"/>
      <c r="BE49" s="123"/>
      <c r="BF49" s="124"/>
      <c r="BG49" s="125"/>
      <c r="BH49" s="122"/>
      <c r="BI49" s="123"/>
      <c r="BJ49" s="124"/>
      <c r="BK49" s="126"/>
      <c r="BL49" s="126"/>
      <c r="BM49" s="125"/>
      <c r="BN49" s="122"/>
      <c r="BO49" s="123"/>
      <c r="BP49" s="124"/>
      <c r="BQ49" s="125"/>
      <c r="BR49" s="122"/>
      <c r="BS49" s="123"/>
      <c r="BT49" s="111"/>
      <c r="BU49" s="115"/>
      <c r="BV49" s="115"/>
      <c r="BW49" s="112"/>
      <c r="BX49" s="122"/>
      <c r="BY49" s="123"/>
      <c r="BZ49" s="124"/>
      <c r="CA49" s="125"/>
      <c r="CB49" s="122"/>
      <c r="CC49" s="123"/>
      <c r="CD49" s="124"/>
      <c r="CE49" s="125"/>
      <c r="CF49" s="162"/>
      <c r="CG49" s="164"/>
      <c r="CH49" s="164"/>
      <c r="CI49" s="164"/>
      <c r="CJ49" s="124"/>
      <c r="CK49" s="125"/>
      <c r="CL49" s="122"/>
      <c r="CM49" s="123"/>
      <c r="CN49" s="124"/>
      <c r="CO49" s="125"/>
      <c r="CP49" s="122"/>
      <c r="CQ49" s="123"/>
    </row>
    <row r="50" spans="1:95" s="116" customFormat="1" ht="25.5" hidden="1" customHeight="1" x14ac:dyDescent="0.6">
      <c r="A50" s="110">
        <v>48</v>
      </c>
      <c r="B50" s="117"/>
      <c r="C50" s="118"/>
      <c r="D50" s="119"/>
      <c r="E50" s="120"/>
      <c r="F50" s="117"/>
      <c r="G50" s="118"/>
      <c r="H50" s="119"/>
      <c r="I50" s="120"/>
      <c r="J50" s="117"/>
      <c r="K50" s="118"/>
      <c r="L50" s="119"/>
      <c r="M50" s="120"/>
      <c r="N50" s="117"/>
      <c r="O50" s="118"/>
      <c r="P50" s="119"/>
      <c r="Q50" s="120"/>
      <c r="R50" s="117"/>
      <c r="S50" s="118"/>
      <c r="T50" s="119"/>
      <c r="U50" s="120"/>
      <c r="V50" s="117"/>
      <c r="W50" s="118"/>
      <c r="X50" s="119"/>
      <c r="Y50" s="120"/>
      <c r="Z50" s="117"/>
      <c r="AA50" s="118"/>
      <c r="AB50" s="119"/>
      <c r="AC50" s="120"/>
      <c r="AD50" s="117"/>
      <c r="AE50" s="118"/>
      <c r="AF50" s="119"/>
      <c r="AG50" s="120"/>
      <c r="AH50" s="117"/>
      <c r="AI50" s="118"/>
      <c r="AJ50" s="119"/>
      <c r="AK50" s="120"/>
      <c r="AL50" s="117"/>
      <c r="AM50" s="118"/>
      <c r="AN50" s="119"/>
      <c r="AO50" s="120"/>
      <c r="AP50" s="117"/>
      <c r="AQ50" s="118"/>
      <c r="AR50" s="119"/>
      <c r="AS50" s="120"/>
      <c r="AT50" s="117"/>
      <c r="AU50" s="118"/>
      <c r="AV50" s="119"/>
      <c r="AW50" s="120"/>
      <c r="AX50" s="124"/>
      <c r="AY50" s="125"/>
      <c r="AZ50" s="122"/>
      <c r="BA50" s="123"/>
      <c r="BB50" s="124"/>
      <c r="BC50" s="125"/>
      <c r="BD50" s="122"/>
      <c r="BE50" s="123"/>
      <c r="BF50" s="124"/>
      <c r="BG50" s="125"/>
      <c r="BH50" s="122"/>
      <c r="BI50" s="123"/>
      <c r="BJ50" s="124"/>
      <c r="BK50" s="126"/>
      <c r="BL50" s="126"/>
      <c r="BM50" s="125"/>
      <c r="BN50" s="122"/>
      <c r="BO50" s="123"/>
      <c r="BP50" s="124"/>
      <c r="BQ50" s="125"/>
      <c r="BR50" s="122"/>
      <c r="BS50" s="123"/>
      <c r="BT50" s="111"/>
      <c r="BU50" s="115"/>
      <c r="BV50" s="115"/>
      <c r="BW50" s="112"/>
      <c r="BX50" s="122"/>
      <c r="BY50" s="123"/>
      <c r="BZ50" s="124"/>
      <c r="CA50" s="125"/>
      <c r="CB50" s="122"/>
      <c r="CC50" s="123"/>
      <c r="CD50" s="124"/>
      <c r="CE50" s="125"/>
      <c r="CF50" s="162"/>
      <c r="CG50" s="164"/>
      <c r="CH50" s="164"/>
      <c r="CI50" s="164"/>
      <c r="CJ50" s="124"/>
      <c r="CK50" s="125"/>
      <c r="CL50" s="122"/>
      <c r="CM50" s="123"/>
      <c r="CN50" s="124"/>
      <c r="CO50" s="125"/>
      <c r="CP50" s="122"/>
      <c r="CQ50" s="123"/>
    </row>
    <row r="51" spans="1:95" s="116" customFormat="1" ht="25.5" hidden="1" customHeight="1" x14ac:dyDescent="0.6">
      <c r="A51" s="110">
        <v>49</v>
      </c>
      <c r="B51" s="117"/>
      <c r="C51" s="118"/>
      <c r="D51" s="119"/>
      <c r="E51" s="120"/>
      <c r="F51" s="117"/>
      <c r="G51" s="118"/>
      <c r="H51" s="119"/>
      <c r="I51" s="120"/>
      <c r="J51" s="117"/>
      <c r="K51" s="118"/>
      <c r="L51" s="119"/>
      <c r="M51" s="120"/>
      <c r="N51" s="117"/>
      <c r="O51" s="118"/>
      <c r="P51" s="119"/>
      <c r="Q51" s="120"/>
      <c r="R51" s="117"/>
      <c r="S51" s="118"/>
      <c r="T51" s="119"/>
      <c r="U51" s="120"/>
      <c r="V51" s="117"/>
      <c r="W51" s="118"/>
      <c r="X51" s="119"/>
      <c r="Y51" s="120"/>
      <c r="Z51" s="117"/>
      <c r="AA51" s="118"/>
      <c r="AB51" s="119"/>
      <c r="AC51" s="120"/>
      <c r="AD51" s="117"/>
      <c r="AE51" s="118"/>
      <c r="AF51" s="119"/>
      <c r="AG51" s="120"/>
      <c r="AH51" s="117"/>
      <c r="AI51" s="118"/>
      <c r="AJ51" s="119"/>
      <c r="AK51" s="120"/>
      <c r="AL51" s="117"/>
      <c r="AM51" s="118"/>
      <c r="AN51" s="119"/>
      <c r="AO51" s="120"/>
      <c r="AP51" s="117"/>
      <c r="AQ51" s="118"/>
      <c r="AR51" s="119"/>
      <c r="AS51" s="120"/>
      <c r="AT51" s="117"/>
      <c r="AU51" s="118"/>
      <c r="AV51" s="119"/>
      <c r="AW51" s="120"/>
      <c r="AX51" s="124"/>
      <c r="AY51" s="125"/>
      <c r="AZ51" s="122"/>
      <c r="BA51" s="123"/>
      <c r="BB51" s="124"/>
      <c r="BC51" s="125"/>
      <c r="BD51" s="122"/>
      <c r="BE51" s="123"/>
      <c r="BF51" s="124"/>
      <c r="BG51" s="125"/>
      <c r="BH51" s="122"/>
      <c r="BI51" s="123"/>
      <c r="BJ51" s="124"/>
      <c r="BK51" s="126"/>
      <c r="BL51" s="126"/>
      <c r="BM51" s="125"/>
      <c r="BN51" s="122"/>
      <c r="BO51" s="123"/>
      <c r="BP51" s="124"/>
      <c r="BQ51" s="125"/>
      <c r="BR51" s="122"/>
      <c r="BS51" s="123"/>
      <c r="BT51" s="111"/>
      <c r="BU51" s="115"/>
      <c r="BV51" s="115"/>
      <c r="BW51" s="112"/>
      <c r="BX51" s="122"/>
      <c r="BY51" s="123"/>
      <c r="BZ51" s="124"/>
      <c r="CA51" s="125"/>
      <c r="CB51" s="122"/>
      <c r="CC51" s="123"/>
      <c r="CD51" s="124"/>
      <c r="CE51" s="125"/>
      <c r="CF51" s="162"/>
      <c r="CG51" s="164"/>
      <c r="CH51" s="164"/>
      <c r="CI51" s="164"/>
      <c r="CJ51" s="124"/>
      <c r="CK51" s="125"/>
      <c r="CL51" s="122"/>
      <c r="CM51" s="123"/>
      <c r="CN51" s="124"/>
      <c r="CO51" s="125"/>
      <c r="CP51" s="122"/>
      <c r="CQ51" s="123"/>
    </row>
    <row r="52" spans="1:95" s="116" customFormat="1" ht="25.5" hidden="1" customHeight="1" x14ac:dyDescent="0.6">
      <c r="A52" s="110">
        <v>50</v>
      </c>
      <c r="B52" s="117"/>
      <c r="C52" s="118"/>
      <c r="D52" s="119"/>
      <c r="E52" s="120"/>
      <c r="F52" s="117"/>
      <c r="G52" s="118"/>
      <c r="H52" s="119"/>
      <c r="I52" s="120"/>
      <c r="J52" s="117"/>
      <c r="K52" s="118"/>
      <c r="L52" s="119"/>
      <c r="M52" s="120"/>
      <c r="N52" s="117"/>
      <c r="O52" s="118"/>
      <c r="P52" s="119"/>
      <c r="Q52" s="120"/>
      <c r="R52" s="117"/>
      <c r="S52" s="118"/>
      <c r="T52" s="119"/>
      <c r="U52" s="120"/>
      <c r="V52" s="117"/>
      <c r="W52" s="118"/>
      <c r="X52" s="119"/>
      <c r="Y52" s="120"/>
      <c r="Z52" s="117"/>
      <c r="AA52" s="118"/>
      <c r="AB52" s="119"/>
      <c r="AC52" s="120"/>
      <c r="AD52" s="117"/>
      <c r="AE52" s="118"/>
      <c r="AF52" s="119"/>
      <c r="AG52" s="120"/>
      <c r="AH52" s="117"/>
      <c r="AI52" s="118"/>
      <c r="AJ52" s="119"/>
      <c r="AK52" s="120"/>
      <c r="AL52" s="117"/>
      <c r="AM52" s="118"/>
      <c r="AN52" s="119"/>
      <c r="AO52" s="120"/>
      <c r="AP52" s="117"/>
      <c r="AQ52" s="118"/>
      <c r="AR52" s="119"/>
      <c r="AS52" s="120"/>
      <c r="AT52" s="117"/>
      <c r="AU52" s="118"/>
      <c r="AV52" s="119"/>
      <c r="AW52" s="120"/>
      <c r="AX52" s="124"/>
      <c r="AY52" s="125"/>
      <c r="AZ52" s="122"/>
      <c r="BA52" s="123"/>
      <c r="BB52" s="124"/>
      <c r="BC52" s="125"/>
      <c r="BD52" s="122"/>
      <c r="BE52" s="123"/>
      <c r="BF52" s="124"/>
      <c r="BG52" s="125"/>
      <c r="BH52" s="122"/>
      <c r="BI52" s="123"/>
      <c r="BJ52" s="124"/>
      <c r="BK52" s="126"/>
      <c r="BL52" s="126"/>
      <c r="BM52" s="125"/>
      <c r="BN52" s="122"/>
      <c r="BO52" s="123"/>
      <c r="BP52" s="124"/>
      <c r="BQ52" s="125"/>
      <c r="BR52" s="122"/>
      <c r="BS52" s="123"/>
      <c r="BT52" s="111"/>
      <c r="BU52" s="115"/>
      <c r="BV52" s="115"/>
      <c r="BW52" s="112"/>
      <c r="BX52" s="122"/>
      <c r="BY52" s="123"/>
      <c r="BZ52" s="124"/>
      <c r="CA52" s="125"/>
      <c r="CB52" s="122"/>
      <c r="CC52" s="123"/>
      <c r="CD52" s="124"/>
      <c r="CE52" s="125"/>
      <c r="CF52" s="162"/>
      <c r="CG52" s="164"/>
      <c r="CH52" s="164"/>
      <c r="CI52" s="164"/>
      <c r="CJ52" s="124"/>
      <c r="CK52" s="125"/>
      <c r="CL52" s="122"/>
      <c r="CM52" s="123"/>
      <c r="CN52" s="124"/>
      <c r="CO52" s="125"/>
      <c r="CP52" s="122"/>
      <c r="CQ52" s="123"/>
    </row>
    <row r="53" spans="1:95" s="116" customFormat="1" ht="25.5" hidden="1" customHeight="1" x14ac:dyDescent="0.6">
      <c r="A53" s="110">
        <v>51</v>
      </c>
      <c r="B53" s="117"/>
      <c r="C53" s="118"/>
      <c r="D53" s="119"/>
      <c r="E53" s="120"/>
      <c r="F53" s="117"/>
      <c r="G53" s="118"/>
      <c r="H53" s="119"/>
      <c r="I53" s="120"/>
      <c r="J53" s="117"/>
      <c r="K53" s="118"/>
      <c r="L53" s="119"/>
      <c r="M53" s="120"/>
      <c r="N53" s="117"/>
      <c r="O53" s="118"/>
      <c r="P53" s="119"/>
      <c r="Q53" s="120"/>
      <c r="R53" s="117"/>
      <c r="S53" s="118"/>
      <c r="T53" s="119"/>
      <c r="U53" s="120"/>
      <c r="V53" s="117"/>
      <c r="W53" s="118"/>
      <c r="X53" s="119"/>
      <c r="Y53" s="120"/>
      <c r="Z53" s="117"/>
      <c r="AA53" s="118"/>
      <c r="AB53" s="119"/>
      <c r="AC53" s="120"/>
      <c r="AD53" s="117"/>
      <c r="AE53" s="118"/>
      <c r="AF53" s="119"/>
      <c r="AG53" s="120"/>
      <c r="AH53" s="117"/>
      <c r="AI53" s="118"/>
      <c r="AJ53" s="119"/>
      <c r="AK53" s="120"/>
      <c r="AL53" s="117"/>
      <c r="AM53" s="118"/>
      <c r="AN53" s="119"/>
      <c r="AO53" s="120"/>
      <c r="AP53" s="117"/>
      <c r="AQ53" s="118"/>
      <c r="AR53" s="119"/>
      <c r="AS53" s="120"/>
      <c r="AT53" s="117"/>
      <c r="AU53" s="118"/>
      <c r="AV53" s="119"/>
      <c r="AW53" s="120"/>
      <c r="AX53" s="124"/>
      <c r="AY53" s="125"/>
      <c r="AZ53" s="122"/>
      <c r="BA53" s="123"/>
      <c r="BB53" s="124"/>
      <c r="BC53" s="125"/>
      <c r="BD53" s="122"/>
      <c r="BE53" s="123"/>
      <c r="BF53" s="124"/>
      <c r="BG53" s="125"/>
      <c r="BH53" s="122"/>
      <c r="BI53" s="123"/>
      <c r="BJ53" s="124"/>
      <c r="BK53" s="126"/>
      <c r="BL53" s="126"/>
      <c r="BM53" s="125"/>
      <c r="BN53" s="122"/>
      <c r="BO53" s="123"/>
      <c r="BP53" s="124"/>
      <c r="BQ53" s="125"/>
      <c r="BR53" s="122"/>
      <c r="BS53" s="123"/>
      <c r="BT53" s="111"/>
      <c r="BU53" s="115"/>
      <c r="BV53" s="115"/>
      <c r="BW53" s="112"/>
      <c r="BX53" s="122"/>
      <c r="BY53" s="123"/>
      <c r="BZ53" s="124"/>
      <c r="CA53" s="125"/>
      <c r="CB53" s="122"/>
      <c r="CC53" s="123"/>
      <c r="CD53" s="124"/>
      <c r="CE53" s="125"/>
      <c r="CF53" s="162"/>
      <c r="CG53" s="164"/>
      <c r="CH53" s="164"/>
      <c r="CI53" s="164"/>
      <c r="CJ53" s="124"/>
      <c r="CK53" s="125"/>
      <c r="CL53" s="122"/>
      <c r="CM53" s="123"/>
      <c r="CN53" s="124"/>
      <c r="CO53" s="125"/>
      <c r="CP53" s="122"/>
      <c r="CQ53" s="123"/>
    </row>
    <row r="54" spans="1:95" s="116" customFormat="1" ht="25.5" hidden="1" customHeight="1" x14ac:dyDescent="0.6">
      <c r="A54" s="110">
        <v>52</v>
      </c>
      <c r="B54" s="117"/>
      <c r="C54" s="118"/>
      <c r="D54" s="119"/>
      <c r="E54" s="120"/>
      <c r="F54" s="117"/>
      <c r="G54" s="118"/>
      <c r="H54" s="119"/>
      <c r="I54" s="120"/>
      <c r="J54" s="117"/>
      <c r="K54" s="118"/>
      <c r="L54" s="119"/>
      <c r="M54" s="120"/>
      <c r="N54" s="117"/>
      <c r="O54" s="118"/>
      <c r="P54" s="119"/>
      <c r="Q54" s="120"/>
      <c r="R54" s="117"/>
      <c r="S54" s="118"/>
      <c r="T54" s="119"/>
      <c r="U54" s="120"/>
      <c r="V54" s="117"/>
      <c r="W54" s="118"/>
      <c r="X54" s="119"/>
      <c r="Y54" s="120"/>
      <c r="Z54" s="117"/>
      <c r="AA54" s="118"/>
      <c r="AB54" s="119"/>
      <c r="AC54" s="120"/>
      <c r="AD54" s="117"/>
      <c r="AE54" s="118"/>
      <c r="AF54" s="119"/>
      <c r="AG54" s="120"/>
      <c r="AH54" s="117"/>
      <c r="AI54" s="118"/>
      <c r="AJ54" s="119"/>
      <c r="AK54" s="120"/>
      <c r="AL54" s="117"/>
      <c r="AM54" s="118"/>
      <c r="AN54" s="119"/>
      <c r="AO54" s="120"/>
      <c r="AP54" s="117"/>
      <c r="AQ54" s="118"/>
      <c r="AR54" s="119"/>
      <c r="AS54" s="120"/>
      <c r="AT54" s="117"/>
      <c r="AU54" s="118"/>
      <c r="AV54" s="119"/>
      <c r="AW54" s="120"/>
      <c r="AX54" s="124"/>
      <c r="AY54" s="125"/>
      <c r="AZ54" s="122"/>
      <c r="BA54" s="123"/>
      <c r="BB54" s="124"/>
      <c r="BC54" s="125"/>
      <c r="BD54" s="122"/>
      <c r="BE54" s="123"/>
      <c r="BF54" s="124"/>
      <c r="BG54" s="125"/>
      <c r="BH54" s="122"/>
      <c r="BI54" s="123"/>
      <c r="BJ54" s="124"/>
      <c r="BK54" s="126"/>
      <c r="BL54" s="126"/>
      <c r="BM54" s="125"/>
      <c r="BN54" s="122"/>
      <c r="BO54" s="123"/>
      <c r="BP54" s="124"/>
      <c r="BQ54" s="125"/>
      <c r="BR54" s="122"/>
      <c r="BS54" s="123"/>
      <c r="BT54" s="111"/>
      <c r="BU54" s="115"/>
      <c r="BV54" s="115"/>
      <c r="BW54" s="112"/>
      <c r="BX54" s="122"/>
      <c r="BY54" s="123"/>
      <c r="BZ54" s="124"/>
      <c r="CA54" s="125"/>
      <c r="CB54" s="122"/>
      <c r="CC54" s="123"/>
      <c r="CD54" s="124"/>
      <c r="CE54" s="125"/>
      <c r="CF54" s="162"/>
      <c r="CG54" s="164"/>
      <c r="CH54" s="164"/>
      <c r="CI54" s="164"/>
      <c r="CJ54" s="124"/>
      <c r="CK54" s="125"/>
      <c r="CL54" s="122"/>
      <c r="CM54" s="123"/>
      <c r="CN54" s="124"/>
      <c r="CO54" s="125"/>
      <c r="CP54" s="122"/>
      <c r="CQ54" s="123"/>
    </row>
    <row r="55" spans="1:95" s="116" customFormat="1" ht="25.5" hidden="1" customHeight="1" x14ac:dyDescent="0.6">
      <c r="A55" s="110">
        <v>53</v>
      </c>
      <c r="B55" s="117"/>
      <c r="C55" s="118"/>
      <c r="D55" s="119"/>
      <c r="E55" s="120"/>
      <c r="F55" s="117"/>
      <c r="G55" s="118"/>
      <c r="H55" s="119"/>
      <c r="I55" s="120"/>
      <c r="J55" s="117"/>
      <c r="K55" s="118"/>
      <c r="L55" s="119"/>
      <c r="M55" s="120"/>
      <c r="N55" s="117"/>
      <c r="O55" s="118"/>
      <c r="P55" s="119"/>
      <c r="Q55" s="120"/>
      <c r="R55" s="117"/>
      <c r="S55" s="118"/>
      <c r="T55" s="119"/>
      <c r="U55" s="120"/>
      <c r="V55" s="117"/>
      <c r="W55" s="118"/>
      <c r="X55" s="119"/>
      <c r="Y55" s="120"/>
      <c r="Z55" s="117"/>
      <c r="AA55" s="118"/>
      <c r="AB55" s="119"/>
      <c r="AC55" s="120"/>
      <c r="AD55" s="117"/>
      <c r="AE55" s="118"/>
      <c r="AF55" s="119"/>
      <c r="AG55" s="120"/>
      <c r="AH55" s="117"/>
      <c r="AI55" s="118"/>
      <c r="AJ55" s="119"/>
      <c r="AK55" s="120"/>
      <c r="AL55" s="117"/>
      <c r="AM55" s="118"/>
      <c r="AN55" s="119"/>
      <c r="AO55" s="120"/>
      <c r="AP55" s="117"/>
      <c r="AQ55" s="118"/>
      <c r="AR55" s="119"/>
      <c r="AS55" s="120"/>
      <c r="AT55" s="117"/>
      <c r="AU55" s="118"/>
      <c r="AV55" s="119"/>
      <c r="AW55" s="120"/>
      <c r="AX55" s="124"/>
      <c r="AY55" s="125"/>
      <c r="AZ55" s="122"/>
      <c r="BA55" s="123"/>
      <c r="BB55" s="124"/>
      <c r="BC55" s="125"/>
      <c r="BD55" s="122"/>
      <c r="BE55" s="123"/>
      <c r="BF55" s="124"/>
      <c r="BG55" s="125"/>
      <c r="BH55" s="122"/>
      <c r="BI55" s="123"/>
      <c r="BJ55" s="124"/>
      <c r="BK55" s="126"/>
      <c r="BL55" s="126"/>
      <c r="BM55" s="125"/>
      <c r="BN55" s="122"/>
      <c r="BO55" s="123"/>
      <c r="BP55" s="124"/>
      <c r="BQ55" s="125"/>
      <c r="BR55" s="122"/>
      <c r="BS55" s="123"/>
      <c r="BT55" s="111"/>
      <c r="BU55" s="115"/>
      <c r="BV55" s="115"/>
      <c r="BW55" s="112"/>
      <c r="BX55" s="122"/>
      <c r="BY55" s="123"/>
      <c r="BZ55" s="124"/>
      <c r="CA55" s="125"/>
      <c r="CB55" s="122"/>
      <c r="CC55" s="123"/>
      <c r="CD55" s="124"/>
      <c r="CE55" s="125"/>
      <c r="CF55" s="162"/>
      <c r="CG55" s="164"/>
      <c r="CH55" s="164"/>
      <c r="CI55" s="164"/>
      <c r="CJ55" s="124"/>
      <c r="CK55" s="125"/>
      <c r="CL55" s="122"/>
      <c r="CM55" s="123"/>
      <c r="CN55" s="124"/>
      <c r="CO55" s="125"/>
      <c r="CP55" s="122"/>
      <c r="CQ55" s="123"/>
    </row>
    <row r="56" spans="1:95" s="116" customFormat="1" ht="25.5" hidden="1" customHeight="1" x14ac:dyDescent="0.6">
      <c r="A56" s="110">
        <v>54</v>
      </c>
      <c r="B56" s="117"/>
      <c r="C56" s="118"/>
      <c r="D56" s="119"/>
      <c r="E56" s="120"/>
      <c r="F56" s="117"/>
      <c r="G56" s="118"/>
      <c r="H56" s="119"/>
      <c r="I56" s="120"/>
      <c r="J56" s="117"/>
      <c r="K56" s="118"/>
      <c r="L56" s="119"/>
      <c r="M56" s="120"/>
      <c r="N56" s="117"/>
      <c r="O56" s="118"/>
      <c r="P56" s="119"/>
      <c r="Q56" s="120"/>
      <c r="R56" s="117"/>
      <c r="S56" s="118"/>
      <c r="T56" s="119"/>
      <c r="U56" s="120"/>
      <c r="V56" s="117"/>
      <c r="W56" s="118"/>
      <c r="X56" s="119"/>
      <c r="Y56" s="120"/>
      <c r="Z56" s="117"/>
      <c r="AA56" s="118"/>
      <c r="AB56" s="119"/>
      <c r="AC56" s="120"/>
      <c r="AD56" s="117"/>
      <c r="AE56" s="118"/>
      <c r="AF56" s="119"/>
      <c r="AG56" s="120"/>
      <c r="AH56" s="117"/>
      <c r="AI56" s="118"/>
      <c r="AJ56" s="119"/>
      <c r="AK56" s="120"/>
      <c r="AL56" s="117"/>
      <c r="AM56" s="118"/>
      <c r="AN56" s="119"/>
      <c r="AO56" s="120"/>
      <c r="AP56" s="117"/>
      <c r="AQ56" s="118"/>
      <c r="AR56" s="119"/>
      <c r="AS56" s="120"/>
      <c r="AT56" s="117"/>
      <c r="AU56" s="118"/>
      <c r="AV56" s="119"/>
      <c r="AW56" s="120"/>
      <c r="AX56" s="124"/>
      <c r="AY56" s="125"/>
      <c r="AZ56" s="122"/>
      <c r="BA56" s="123"/>
      <c r="BB56" s="124"/>
      <c r="BC56" s="125"/>
      <c r="BD56" s="122"/>
      <c r="BE56" s="123"/>
      <c r="BF56" s="124"/>
      <c r="BG56" s="125"/>
      <c r="BH56" s="122"/>
      <c r="BI56" s="123"/>
      <c r="BJ56" s="124"/>
      <c r="BK56" s="126"/>
      <c r="BL56" s="126"/>
      <c r="BM56" s="125"/>
      <c r="BN56" s="122"/>
      <c r="BO56" s="123"/>
      <c r="BP56" s="124"/>
      <c r="BQ56" s="125"/>
      <c r="BR56" s="122"/>
      <c r="BS56" s="123"/>
      <c r="BT56" s="111"/>
      <c r="BU56" s="115"/>
      <c r="BV56" s="115"/>
      <c r="BW56" s="112"/>
      <c r="BX56" s="122"/>
      <c r="BY56" s="123"/>
      <c r="BZ56" s="124"/>
      <c r="CA56" s="125"/>
      <c r="CB56" s="122"/>
      <c r="CC56" s="123"/>
      <c r="CD56" s="124"/>
      <c r="CE56" s="125"/>
      <c r="CF56" s="162"/>
      <c r="CG56" s="164"/>
      <c r="CH56" s="164"/>
      <c r="CI56" s="164"/>
      <c r="CJ56" s="124"/>
      <c r="CK56" s="125"/>
      <c r="CL56" s="122"/>
      <c r="CM56" s="123"/>
      <c r="CN56" s="124"/>
      <c r="CO56" s="125"/>
      <c r="CP56" s="122"/>
      <c r="CQ56" s="123"/>
    </row>
    <row r="57" spans="1:95" s="116" customFormat="1" ht="25.5" hidden="1" customHeight="1" x14ac:dyDescent="0.6">
      <c r="A57" s="110">
        <v>55</v>
      </c>
      <c r="B57" s="117"/>
      <c r="C57" s="118"/>
      <c r="D57" s="119"/>
      <c r="E57" s="120"/>
      <c r="F57" s="117"/>
      <c r="G57" s="118"/>
      <c r="H57" s="119"/>
      <c r="I57" s="120"/>
      <c r="J57" s="117"/>
      <c r="K57" s="118"/>
      <c r="L57" s="119"/>
      <c r="M57" s="120"/>
      <c r="N57" s="117"/>
      <c r="O57" s="118"/>
      <c r="P57" s="119"/>
      <c r="Q57" s="120"/>
      <c r="R57" s="117"/>
      <c r="S57" s="118"/>
      <c r="T57" s="119"/>
      <c r="U57" s="120"/>
      <c r="V57" s="117"/>
      <c r="W57" s="118"/>
      <c r="X57" s="119"/>
      <c r="Y57" s="120"/>
      <c r="Z57" s="117"/>
      <c r="AA57" s="118"/>
      <c r="AB57" s="119"/>
      <c r="AC57" s="120"/>
      <c r="AD57" s="117"/>
      <c r="AE57" s="118"/>
      <c r="AF57" s="119"/>
      <c r="AG57" s="120"/>
      <c r="AH57" s="117"/>
      <c r="AI57" s="118"/>
      <c r="AJ57" s="119"/>
      <c r="AK57" s="120"/>
      <c r="AL57" s="117"/>
      <c r="AM57" s="118"/>
      <c r="AN57" s="119"/>
      <c r="AO57" s="120"/>
      <c r="AP57" s="117"/>
      <c r="AQ57" s="118"/>
      <c r="AR57" s="119"/>
      <c r="AS57" s="120"/>
      <c r="AT57" s="117"/>
      <c r="AU57" s="118"/>
      <c r="AV57" s="119"/>
      <c r="AW57" s="120"/>
      <c r="AX57" s="124"/>
      <c r="AY57" s="125"/>
      <c r="AZ57" s="122"/>
      <c r="BA57" s="123"/>
      <c r="BB57" s="124"/>
      <c r="BC57" s="125"/>
      <c r="BD57" s="122"/>
      <c r="BE57" s="123"/>
      <c r="BF57" s="124"/>
      <c r="BG57" s="125"/>
      <c r="BH57" s="122"/>
      <c r="BI57" s="123"/>
      <c r="BJ57" s="124"/>
      <c r="BK57" s="126"/>
      <c r="BL57" s="126"/>
      <c r="BM57" s="125"/>
      <c r="BN57" s="122"/>
      <c r="BO57" s="123"/>
      <c r="BP57" s="124"/>
      <c r="BQ57" s="125"/>
      <c r="BR57" s="122"/>
      <c r="BS57" s="123"/>
      <c r="BT57" s="111"/>
      <c r="BU57" s="115"/>
      <c r="BV57" s="115"/>
      <c r="BW57" s="112"/>
      <c r="BX57" s="122"/>
      <c r="BY57" s="123"/>
      <c r="BZ57" s="124"/>
      <c r="CA57" s="125"/>
      <c r="CB57" s="122"/>
      <c r="CC57" s="123"/>
      <c r="CD57" s="124"/>
      <c r="CE57" s="125"/>
      <c r="CF57" s="162"/>
      <c r="CG57" s="164"/>
      <c r="CH57" s="164"/>
      <c r="CI57" s="164"/>
      <c r="CJ57" s="124"/>
      <c r="CK57" s="125"/>
      <c r="CL57" s="122"/>
      <c r="CM57" s="123"/>
      <c r="CN57" s="124"/>
      <c r="CO57" s="125"/>
      <c r="CP57" s="122"/>
      <c r="CQ57" s="123"/>
    </row>
    <row r="58" spans="1:95" s="116" customFormat="1" ht="25.5" hidden="1" customHeight="1" x14ac:dyDescent="0.6">
      <c r="A58" s="110">
        <v>56</v>
      </c>
      <c r="B58" s="117"/>
      <c r="C58" s="118"/>
      <c r="D58" s="119"/>
      <c r="E58" s="120"/>
      <c r="F58" s="117"/>
      <c r="G58" s="118"/>
      <c r="H58" s="119"/>
      <c r="I58" s="120"/>
      <c r="J58" s="117"/>
      <c r="K58" s="118"/>
      <c r="L58" s="119"/>
      <c r="M58" s="120"/>
      <c r="N58" s="117"/>
      <c r="O58" s="118"/>
      <c r="P58" s="119"/>
      <c r="Q58" s="120"/>
      <c r="R58" s="117"/>
      <c r="S58" s="118"/>
      <c r="T58" s="119"/>
      <c r="U58" s="120"/>
      <c r="V58" s="117"/>
      <c r="W58" s="118"/>
      <c r="X58" s="119"/>
      <c r="Y58" s="120"/>
      <c r="Z58" s="117"/>
      <c r="AA58" s="118"/>
      <c r="AB58" s="119"/>
      <c r="AC58" s="120"/>
      <c r="AD58" s="117"/>
      <c r="AE58" s="118"/>
      <c r="AF58" s="119"/>
      <c r="AG58" s="120"/>
      <c r="AH58" s="117"/>
      <c r="AI58" s="118"/>
      <c r="AJ58" s="119"/>
      <c r="AK58" s="120"/>
      <c r="AL58" s="117"/>
      <c r="AM58" s="118"/>
      <c r="AN58" s="119"/>
      <c r="AO58" s="120"/>
      <c r="AP58" s="117"/>
      <c r="AQ58" s="118"/>
      <c r="AR58" s="119"/>
      <c r="AS58" s="120"/>
      <c r="AT58" s="117"/>
      <c r="AU58" s="118"/>
      <c r="AV58" s="119"/>
      <c r="AW58" s="120"/>
      <c r="AX58" s="124"/>
      <c r="AY58" s="125"/>
      <c r="AZ58" s="122"/>
      <c r="BA58" s="123"/>
      <c r="BB58" s="124"/>
      <c r="BC58" s="125"/>
      <c r="BD58" s="122"/>
      <c r="BE58" s="123"/>
      <c r="BF58" s="124"/>
      <c r="BG58" s="125"/>
      <c r="BH58" s="122"/>
      <c r="BI58" s="123"/>
      <c r="BJ58" s="124"/>
      <c r="BK58" s="126"/>
      <c r="BL58" s="126"/>
      <c r="BM58" s="125"/>
      <c r="BN58" s="122"/>
      <c r="BO58" s="123"/>
      <c r="BP58" s="124"/>
      <c r="BQ58" s="125"/>
      <c r="BR58" s="122"/>
      <c r="BS58" s="123"/>
      <c r="BT58" s="111"/>
      <c r="BU58" s="115"/>
      <c r="BV58" s="115"/>
      <c r="BW58" s="112"/>
      <c r="BX58" s="122"/>
      <c r="BY58" s="123"/>
      <c r="BZ58" s="124"/>
      <c r="CA58" s="125"/>
      <c r="CB58" s="122"/>
      <c r="CC58" s="123"/>
      <c r="CD58" s="124"/>
      <c r="CE58" s="125"/>
      <c r="CF58" s="162"/>
      <c r="CG58" s="164"/>
      <c r="CH58" s="164"/>
      <c r="CI58" s="164"/>
      <c r="CJ58" s="124"/>
      <c r="CK58" s="125"/>
      <c r="CL58" s="122"/>
      <c r="CM58" s="123"/>
      <c r="CN58" s="124"/>
      <c r="CO58" s="125"/>
      <c r="CP58" s="122"/>
      <c r="CQ58" s="123"/>
    </row>
    <row r="59" spans="1:95" s="116" customFormat="1" ht="25.5" hidden="1" customHeight="1" x14ac:dyDescent="0.6">
      <c r="A59" s="110">
        <v>57</v>
      </c>
      <c r="B59" s="117"/>
      <c r="C59" s="118"/>
      <c r="D59" s="119"/>
      <c r="E59" s="120"/>
      <c r="F59" s="117"/>
      <c r="G59" s="118"/>
      <c r="H59" s="119"/>
      <c r="I59" s="120"/>
      <c r="J59" s="117"/>
      <c r="K59" s="118"/>
      <c r="L59" s="119"/>
      <c r="M59" s="120"/>
      <c r="N59" s="117"/>
      <c r="O59" s="118"/>
      <c r="P59" s="119"/>
      <c r="Q59" s="120"/>
      <c r="R59" s="117"/>
      <c r="S59" s="118"/>
      <c r="T59" s="119"/>
      <c r="U59" s="120"/>
      <c r="V59" s="117"/>
      <c r="W59" s="118"/>
      <c r="X59" s="119"/>
      <c r="Y59" s="120"/>
      <c r="Z59" s="117"/>
      <c r="AA59" s="118"/>
      <c r="AB59" s="119"/>
      <c r="AC59" s="120"/>
      <c r="AD59" s="117"/>
      <c r="AE59" s="118"/>
      <c r="AF59" s="119"/>
      <c r="AG59" s="120"/>
      <c r="AH59" s="117"/>
      <c r="AI59" s="118"/>
      <c r="AJ59" s="119"/>
      <c r="AK59" s="120"/>
      <c r="AL59" s="117"/>
      <c r="AM59" s="118"/>
      <c r="AN59" s="119"/>
      <c r="AO59" s="120"/>
      <c r="AP59" s="117"/>
      <c r="AQ59" s="118"/>
      <c r="AR59" s="119"/>
      <c r="AS59" s="120"/>
      <c r="AT59" s="117"/>
      <c r="AU59" s="118"/>
      <c r="AV59" s="119"/>
      <c r="AW59" s="120"/>
      <c r="AX59" s="124"/>
      <c r="AY59" s="125"/>
      <c r="AZ59" s="122"/>
      <c r="BA59" s="123"/>
      <c r="BB59" s="124"/>
      <c r="BC59" s="125"/>
      <c r="BD59" s="122"/>
      <c r="BE59" s="123"/>
      <c r="BF59" s="124"/>
      <c r="BG59" s="125"/>
      <c r="BH59" s="122"/>
      <c r="BI59" s="123"/>
      <c r="BJ59" s="124"/>
      <c r="BK59" s="126"/>
      <c r="BL59" s="126"/>
      <c r="BM59" s="125"/>
      <c r="BN59" s="122"/>
      <c r="BO59" s="123"/>
      <c r="BP59" s="124"/>
      <c r="BQ59" s="125"/>
      <c r="BR59" s="122"/>
      <c r="BS59" s="123"/>
      <c r="BT59" s="111"/>
      <c r="BU59" s="115"/>
      <c r="BV59" s="115"/>
      <c r="BW59" s="112"/>
      <c r="BX59" s="122"/>
      <c r="BY59" s="123"/>
      <c r="BZ59" s="124"/>
      <c r="CA59" s="125"/>
      <c r="CB59" s="122"/>
      <c r="CC59" s="123"/>
      <c r="CD59" s="124"/>
      <c r="CE59" s="125"/>
      <c r="CF59" s="162"/>
      <c r="CG59" s="164"/>
      <c r="CH59" s="164"/>
      <c r="CI59" s="164"/>
      <c r="CJ59" s="124"/>
      <c r="CK59" s="125"/>
      <c r="CL59" s="122"/>
      <c r="CM59" s="123"/>
      <c r="CN59" s="124"/>
      <c r="CO59" s="125"/>
      <c r="CP59" s="122"/>
      <c r="CQ59" s="123"/>
    </row>
    <row r="60" spans="1:95" s="116" customFormat="1" ht="25.5" hidden="1" customHeight="1" x14ac:dyDescent="0.6">
      <c r="A60" s="110">
        <v>58</v>
      </c>
      <c r="B60" s="117"/>
      <c r="C60" s="118"/>
      <c r="D60" s="119"/>
      <c r="E60" s="120"/>
      <c r="F60" s="117"/>
      <c r="G60" s="118"/>
      <c r="H60" s="119"/>
      <c r="I60" s="120"/>
      <c r="J60" s="117"/>
      <c r="K60" s="118"/>
      <c r="L60" s="119"/>
      <c r="M60" s="120"/>
      <c r="N60" s="117"/>
      <c r="O60" s="118"/>
      <c r="P60" s="119"/>
      <c r="Q60" s="120"/>
      <c r="R60" s="117"/>
      <c r="S60" s="118"/>
      <c r="T60" s="119"/>
      <c r="U60" s="120"/>
      <c r="V60" s="117"/>
      <c r="W60" s="118"/>
      <c r="X60" s="119"/>
      <c r="Y60" s="120"/>
      <c r="Z60" s="117"/>
      <c r="AA60" s="118"/>
      <c r="AB60" s="119"/>
      <c r="AC60" s="120"/>
      <c r="AD60" s="117"/>
      <c r="AE60" s="118"/>
      <c r="AF60" s="119"/>
      <c r="AG60" s="120"/>
      <c r="AH60" s="117"/>
      <c r="AI60" s="118"/>
      <c r="AJ60" s="119"/>
      <c r="AK60" s="120"/>
      <c r="AL60" s="117"/>
      <c r="AM60" s="118"/>
      <c r="AN60" s="119"/>
      <c r="AO60" s="120"/>
      <c r="AP60" s="117"/>
      <c r="AQ60" s="118"/>
      <c r="AR60" s="119"/>
      <c r="AS60" s="120"/>
      <c r="AT60" s="117"/>
      <c r="AU60" s="118"/>
      <c r="AV60" s="119"/>
      <c r="AW60" s="120"/>
      <c r="AX60" s="124"/>
      <c r="AY60" s="125"/>
      <c r="AZ60" s="122"/>
      <c r="BA60" s="123"/>
      <c r="BB60" s="124"/>
      <c r="BC60" s="125"/>
      <c r="BD60" s="122"/>
      <c r="BE60" s="123"/>
      <c r="BF60" s="124"/>
      <c r="BG60" s="125"/>
      <c r="BH60" s="122"/>
      <c r="BI60" s="123"/>
      <c r="BJ60" s="124"/>
      <c r="BK60" s="126"/>
      <c r="BL60" s="126"/>
      <c r="BM60" s="125"/>
      <c r="BN60" s="122"/>
      <c r="BO60" s="123"/>
      <c r="BP60" s="124"/>
      <c r="BQ60" s="125"/>
      <c r="BR60" s="122"/>
      <c r="BS60" s="123"/>
      <c r="BT60" s="111"/>
      <c r="BU60" s="115"/>
      <c r="BV60" s="115"/>
      <c r="BW60" s="112"/>
      <c r="BX60" s="122"/>
      <c r="BY60" s="123"/>
      <c r="BZ60" s="124"/>
      <c r="CA60" s="125"/>
      <c r="CB60" s="122"/>
      <c r="CC60" s="123"/>
      <c r="CD60" s="124"/>
      <c r="CE60" s="125"/>
      <c r="CF60" s="162"/>
      <c r="CG60" s="164"/>
      <c r="CH60" s="164"/>
      <c r="CI60" s="164"/>
      <c r="CJ60" s="124"/>
      <c r="CK60" s="125"/>
      <c r="CL60" s="122"/>
      <c r="CM60" s="123"/>
      <c r="CN60" s="124"/>
      <c r="CO60" s="125"/>
      <c r="CP60" s="122"/>
      <c r="CQ60" s="123"/>
    </row>
    <row r="61" spans="1:95" s="116" customFormat="1" ht="25.5" hidden="1" customHeight="1" x14ac:dyDescent="0.6">
      <c r="A61" s="110">
        <v>59</v>
      </c>
      <c r="B61" s="117"/>
      <c r="C61" s="118"/>
      <c r="D61" s="119"/>
      <c r="E61" s="120"/>
      <c r="F61" s="117"/>
      <c r="G61" s="118"/>
      <c r="H61" s="119"/>
      <c r="I61" s="120"/>
      <c r="J61" s="117"/>
      <c r="K61" s="118"/>
      <c r="L61" s="119"/>
      <c r="M61" s="120"/>
      <c r="N61" s="117"/>
      <c r="O61" s="118"/>
      <c r="P61" s="119"/>
      <c r="Q61" s="120"/>
      <c r="R61" s="117"/>
      <c r="S61" s="118"/>
      <c r="T61" s="119"/>
      <c r="U61" s="120"/>
      <c r="V61" s="117"/>
      <c r="W61" s="118"/>
      <c r="X61" s="119"/>
      <c r="Y61" s="120"/>
      <c r="Z61" s="117"/>
      <c r="AA61" s="118"/>
      <c r="AB61" s="119"/>
      <c r="AC61" s="120"/>
      <c r="AD61" s="117"/>
      <c r="AE61" s="118"/>
      <c r="AF61" s="119"/>
      <c r="AG61" s="120"/>
      <c r="AH61" s="117"/>
      <c r="AI61" s="118"/>
      <c r="AJ61" s="119"/>
      <c r="AK61" s="120"/>
      <c r="AL61" s="117"/>
      <c r="AM61" s="118"/>
      <c r="AN61" s="119"/>
      <c r="AO61" s="120"/>
      <c r="AP61" s="117"/>
      <c r="AQ61" s="118"/>
      <c r="AR61" s="119"/>
      <c r="AS61" s="120"/>
      <c r="AT61" s="117"/>
      <c r="AU61" s="118"/>
      <c r="AV61" s="119"/>
      <c r="AW61" s="120"/>
      <c r="AX61" s="124"/>
      <c r="AY61" s="125"/>
      <c r="AZ61" s="122"/>
      <c r="BA61" s="123"/>
      <c r="BB61" s="124"/>
      <c r="BC61" s="125"/>
      <c r="BD61" s="122"/>
      <c r="BE61" s="123"/>
      <c r="BF61" s="124"/>
      <c r="BG61" s="125"/>
      <c r="BH61" s="122"/>
      <c r="BI61" s="123"/>
      <c r="BJ61" s="124"/>
      <c r="BK61" s="126"/>
      <c r="BL61" s="126"/>
      <c r="BM61" s="125"/>
      <c r="BN61" s="122"/>
      <c r="BO61" s="123"/>
      <c r="BP61" s="124"/>
      <c r="BQ61" s="125"/>
      <c r="BR61" s="122"/>
      <c r="BS61" s="123"/>
      <c r="BT61" s="111"/>
      <c r="BU61" s="115"/>
      <c r="BV61" s="115"/>
      <c r="BW61" s="112"/>
      <c r="BX61" s="122"/>
      <c r="BY61" s="123"/>
      <c r="BZ61" s="124"/>
      <c r="CA61" s="125"/>
      <c r="CB61" s="122"/>
      <c r="CC61" s="123"/>
      <c r="CD61" s="124"/>
      <c r="CE61" s="125"/>
      <c r="CF61" s="162"/>
      <c r="CG61" s="164"/>
      <c r="CH61" s="164"/>
      <c r="CI61" s="164"/>
      <c r="CJ61" s="124"/>
      <c r="CK61" s="125"/>
      <c r="CL61" s="122"/>
      <c r="CM61" s="123"/>
      <c r="CN61" s="124"/>
      <c r="CO61" s="125"/>
      <c r="CP61" s="122"/>
      <c r="CQ61" s="123"/>
    </row>
    <row r="62" spans="1:95" s="116" customFormat="1" ht="25.5" hidden="1" customHeight="1" x14ac:dyDescent="0.6">
      <c r="A62" s="110">
        <v>60</v>
      </c>
      <c r="B62" s="117"/>
      <c r="C62" s="118"/>
      <c r="D62" s="119"/>
      <c r="E62" s="120"/>
      <c r="F62" s="117"/>
      <c r="G62" s="118"/>
      <c r="H62" s="119"/>
      <c r="I62" s="120"/>
      <c r="J62" s="117"/>
      <c r="K62" s="118"/>
      <c r="L62" s="119"/>
      <c r="M62" s="120"/>
      <c r="N62" s="117"/>
      <c r="O62" s="118"/>
      <c r="P62" s="119"/>
      <c r="Q62" s="120"/>
      <c r="R62" s="117"/>
      <c r="S62" s="118"/>
      <c r="T62" s="119"/>
      <c r="U62" s="120"/>
      <c r="V62" s="117"/>
      <c r="W62" s="118"/>
      <c r="X62" s="119"/>
      <c r="Y62" s="120"/>
      <c r="Z62" s="117"/>
      <c r="AA62" s="118"/>
      <c r="AB62" s="119"/>
      <c r="AC62" s="120"/>
      <c r="AD62" s="117"/>
      <c r="AE62" s="118"/>
      <c r="AF62" s="119"/>
      <c r="AG62" s="120"/>
      <c r="AH62" s="117"/>
      <c r="AI62" s="118"/>
      <c r="AJ62" s="119"/>
      <c r="AK62" s="120"/>
      <c r="AL62" s="117"/>
      <c r="AM62" s="118"/>
      <c r="AN62" s="119"/>
      <c r="AO62" s="120"/>
      <c r="AP62" s="117"/>
      <c r="AQ62" s="118"/>
      <c r="AR62" s="119"/>
      <c r="AS62" s="120"/>
      <c r="AT62" s="117"/>
      <c r="AU62" s="118"/>
      <c r="AV62" s="119"/>
      <c r="AW62" s="120"/>
      <c r="AX62" s="124"/>
      <c r="AY62" s="125"/>
      <c r="AZ62" s="122"/>
      <c r="BA62" s="123"/>
      <c r="BB62" s="124"/>
      <c r="BC62" s="125"/>
      <c r="BD62" s="122"/>
      <c r="BE62" s="123"/>
      <c r="BF62" s="124"/>
      <c r="BG62" s="125"/>
      <c r="BH62" s="122"/>
      <c r="BI62" s="123"/>
      <c r="BJ62" s="124"/>
      <c r="BK62" s="126"/>
      <c r="BL62" s="126"/>
      <c r="BM62" s="125"/>
      <c r="BN62" s="122"/>
      <c r="BO62" s="123"/>
      <c r="BP62" s="124"/>
      <c r="BQ62" s="125"/>
      <c r="BR62" s="122"/>
      <c r="BS62" s="123"/>
      <c r="BT62" s="111"/>
      <c r="BU62" s="115"/>
      <c r="BV62" s="115"/>
      <c r="BW62" s="112"/>
      <c r="BX62" s="122"/>
      <c r="BY62" s="123"/>
      <c r="BZ62" s="124"/>
      <c r="CA62" s="125"/>
      <c r="CB62" s="122"/>
      <c r="CC62" s="123"/>
      <c r="CD62" s="124"/>
      <c r="CE62" s="125"/>
      <c r="CF62" s="162"/>
      <c r="CG62" s="164"/>
      <c r="CH62" s="164"/>
      <c r="CI62" s="164"/>
      <c r="CJ62" s="124"/>
      <c r="CK62" s="125"/>
      <c r="CL62" s="122"/>
      <c r="CM62" s="123"/>
      <c r="CN62" s="124"/>
      <c r="CO62" s="125"/>
      <c r="CP62" s="122"/>
      <c r="CQ62" s="123"/>
    </row>
    <row r="63" spans="1:95" s="116" customFormat="1" ht="25.5" hidden="1" customHeight="1" x14ac:dyDescent="0.6">
      <c r="A63" s="110">
        <v>61</v>
      </c>
      <c r="B63" s="117"/>
      <c r="C63" s="118"/>
      <c r="D63" s="119"/>
      <c r="E63" s="120"/>
      <c r="F63" s="117"/>
      <c r="G63" s="118"/>
      <c r="H63" s="119"/>
      <c r="I63" s="120"/>
      <c r="J63" s="117"/>
      <c r="K63" s="118"/>
      <c r="L63" s="119"/>
      <c r="M63" s="120"/>
      <c r="N63" s="117"/>
      <c r="O63" s="118"/>
      <c r="P63" s="119"/>
      <c r="Q63" s="120"/>
      <c r="R63" s="117"/>
      <c r="S63" s="118"/>
      <c r="T63" s="119"/>
      <c r="U63" s="120"/>
      <c r="V63" s="117"/>
      <c r="W63" s="118"/>
      <c r="X63" s="119"/>
      <c r="Y63" s="120"/>
      <c r="Z63" s="117"/>
      <c r="AA63" s="118"/>
      <c r="AB63" s="119"/>
      <c r="AC63" s="120"/>
      <c r="AD63" s="117"/>
      <c r="AE63" s="118"/>
      <c r="AF63" s="119"/>
      <c r="AG63" s="120"/>
      <c r="AH63" s="117"/>
      <c r="AI63" s="118"/>
      <c r="AJ63" s="119"/>
      <c r="AK63" s="120"/>
      <c r="AL63" s="117"/>
      <c r="AM63" s="118"/>
      <c r="AN63" s="119"/>
      <c r="AO63" s="120"/>
      <c r="AP63" s="117"/>
      <c r="AQ63" s="118"/>
      <c r="AR63" s="119"/>
      <c r="AS63" s="120"/>
      <c r="AT63" s="117"/>
      <c r="AU63" s="118"/>
      <c r="AV63" s="119"/>
      <c r="AW63" s="120"/>
      <c r="AX63" s="124"/>
      <c r="AY63" s="125"/>
      <c r="AZ63" s="122"/>
      <c r="BA63" s="123"/>
      <c r="BB63" s="124"/>
      <c r="BC63" s="125"/>
      <c r="BD63" s="122"/>
      <c r="BE63" s="123"/>
      <c r="BF63" s="124"/>
      <c r="BG63" s="125"/>
      <c r="BH63" s="122"/>
      <c r="BI63" s="123"/>
      <c r="BJ63" s="124"/>
      <c r="BK63" s="126"/>
      <c r="BL63" s="126"/>
      <c r="BM63" s="125"/>
      <c r="BN63" s="122"/>
      <c r="BO63" s="123"/>
      <c r="BP63" s="124"/>
      <c r="BQ63" s="125"/>
      <c r="BR63" s="122"/>
      <c r="BS63" s="123"/>
      <c r="BT63" s="111"/>
      <c r="BU63" s="115"/>
      <c r="BV63" s="115"/>
      <c r="BW63" s="112"/>
      <c r="BX63" s="122"/>
      <c r="BY63" s="123"/>
      <c r="BZ63" s="124"/>
      <c r="CA63" s="125"/>
      <c r="CB63" s="122"/>
      <c r="CC63" s="123"/>
      <c r="CD63" s="124"/>
      <c r="CE63" s="125"/>
      <c r="CF63" s="162"/>
      <c r="CG63" s="164"/>
      <c r="CH63" s="164"/>
      <c r="CI63" s="164"/>
      <c r="CJ63" s="124"/>
      <c r="CK63" s="125"/>
      <c r="CL63" s="122"/>
      <c r="CM63" s="123"/>
      <c r="CN63" s="124"/>
      <c r="CO63" s="125"/>
      <c r="CP63" s="122"/>
      <c r="CQ63" s="123"/>
    </row>
    <row r="64" spans="1:95" s="116" customFormat="1" ht="25.5" hidden="1" customHeight="1" x14ac:dyDescent="0.6">
      <c r="A64" s="110">
        <v>62</v>
      </c>
      <c r="B64" s="117"/>
      <c r="C64" s="118"/>
      <c r="D64" s="119"/>
      <c r="E64" s="120"/>
      <c r="F64" s="117"/>
      <c r="G64" s="118"/>
      <c r="H64" s="119"/>
      <c r="I64" s="120"/>
      <c r="J64" s="117"/>
      <c r="K64" s="118"/>
      <c r="L64" s="119"/>
      <c r="M64" s="120"/>
      <c r="N64" s="117"/>
      <c r="O64" s="118"/>
      <c r="P64" s="119"/>
      <c r="Q64" s="120"/>
      <c r="R64" s="117"/>
      <c r="S64" s="118"/>
      <c r="T64" s="119"/>
      <c r="U64" s="120"/>
      <c r="V64" s="117"/>
      <c r="W64" s="118"/>
      <c r="X64" s="119"/>
      <c r="Y64" s="120"/>
      <c r="Z64" s="117"/>
      <c r="AA64" s="118"/>
      <c r="AB64" s="119"/>
      <c r="AC64" s="120"/>
      <c r="AD64" s="117"/>
      <c r="AE64" s="118"/>
      <c r="AF64" s="119"/>
      <c r="AG64" s="120"/>
      <c r="AH64" s="117"/>
      <c r="AI64" s="118"/>
      <c r="AJ64" s="119"/>
      <c r="AK64" s="120"/>
      <c r="AL64" s="117"/>
      <c r="AM64" s="118"/>
      <c r="AN64" s="119"/>
      <c r="AO64" s="120"/>
      <c r="AP64" s="117"/>
      <c r="AQ64" s="118"/>
      <c r="AR64" s="119"/>
      <c r="AS64" s="120"/>
      <c r="AT64" s="117"/>
      <c r="AU64" s="118"/>
      <c r="AV64" s="119"/>
      <c r="AW64" s="120"/>
      <c r="AX64" s="124"/>
      <c r="AY64" s="125"/>
      <c r="AZ64" s="122"/>
      <c r="BA64" s="123"/>
      <c r="BB64" s="124"/>
      <c r="BC64" s="125"/>
      <c r="BD64" s="122"/>
      <c r="BE64" s="123"/>
      <c r="BF64" s="124"/>
      <c r="BG64" s="125"/>
      <c r="BH64" s="122"/>
      <c r="BI64" s="123"/>
      <c r="BJ64" s="124"/>
      <c r="BK64" s="126"/>
      <c r="BL64" s="126"/>
      <c r="BM64" s="125"/>
      <c r="BN64" s="122"/>
      <c r="BO64" s="123"/>
      <c r="BP64" s="124"/>
      <c r="BQ64" s="125"/>
      <c r="BR64" s="122"/>
      <c r="BS64" s="123"/>
      <c r="BT64" s="111"/>
      <c r="BU64" s="115"/>
      <c r="BV64" s="115"/>
      <c r="BW64" s="112"/>
      <c r="BX64" s="122"/>
      <c r="BY64" s="123"/>
      <c r="BZ64" s="124"/>
      <c r="CA64" s="125"/>
      <c r="CB64" s="122"/>
      <c r="CC64" s="123"/>
      <c r="CD64" s="124"/>
      <c r="CE64" s="125"/>
      <c r="CF64" s="162"/>
      <c r="CG64" s="164"/>
      <c r="CH64" s="164"/>
      <c r="CI64" s="164"/>
      <c r="CJ64" s="124"/>
      <c r="CK64" s="125"/>
      <c r="CL64" s="122"/>
      <c r="CM64" s="123"/>
      <c r="CN64" s="124"/>
      <c r="CO64" s="125"/>
      <c r="CP64" s="122"/>
      <c r="CQ64" s="123"/>
    </row>
    <row r="65" spans="1:95" s="116" customFormat="1" ht="25.5" hidden="1" customHeight="1" x14ac:dyDescent="0.6">
      <c r="A65" s="110">
        <v>63</v>
      </c>
      <c r="B65" s="117"/>
      <c r="C65" s="118"/>
      <c r="D65" s="119"/>
      <c r="E65" s="120"/>
      <c r="F65" s="117"/>
      <c r="G65" s="118"/>
      <c r="H65" s="119"/>
      <c r="I65" s="120"/>
      <c r="J65" s="117"/>
      <c r="K65" s="118"/>
      <c r="L65" s="119"/>
      <c r="M65" s="120"/>
      <c r="N65" s="117"/>
      <c r="O65" s="118"/>
      <c r="P65" s="119"/>
      <c r="Q65" s="120"/>
      <c r="R65" s="117"/>
      <c r="S65" s="118"/>
      <c r="T65" s="119"/>
      <c r="U65" s="120"/>
      <c r="V65" s="117"/>
      <c r="W65" s="118"/>
      <c r="X65" s="119"/>
      <c r="Y65" s="120"/>
      <c r="Z65" s="117"/>
      <c r="AA65" s="118"/>
      <c r="AB65" s="119"/>
      <c r="AC65" s="120"/>
      <c r="AD65" s="117"/>
      <c r="AE65" s="118"/>
      <c r="AF65" s="119"/>
      <c r="AG65" s="120"/>
      <c r="AH65" s="117"/>
      <c r="AI65" s="118"/>
      <c r="AJ65" s="119"/>
      <c r="AK65" s="120"/>
      <c r="AL65" s="117"/>
      <c r="AM65" s="118"/>
      <c r="AN65" s="119"/>
      <c r="AO65" s="120"/>
      <c r="AP65" s="117"/>
      <c r="AQ65" s="118"/>
      <c r="AR65" s="119"/>
      <c r="AS65" s="120"/>
      <c r="AT65" s="117"/>
      <c r="AU65" s="118"/>
      <c r="AV65" s="119"/>
      <c r="AW65" s="120"/>
      <c r="AX65" s="124"/>
      <c r="AY65" s="125"/>
      <c r="AZ65" s="122"/>
      <c r="BA65" s="123"/>
      <c r="BB65" s="124"/>
      <c r="BC65" s="125"/>
      <c r="BD65" s="122"/>
      <c r="BE65" s="123"/>
      <c r="BF65" s="124"/>
      <c r="BG65" s="125"/>
      <c r="BH65" s="122"/>
      <c r="BI65" s="123"/>
      <c r="BJ65" s="124"/>
      <c r="BK65" s="126"/>
      <c r="BL65" s="126"/>
      <c r="BM65" s="125"/>
      <c r="BN65" s="122"/>
      <c r="BO65" s="123"/>
      <c r="BP65" s="124"/>
      <c r="BQ65" s="125"/>
      <c r="BR65" s="122"/>
      <c r="BS65" s="123"/>
      <c r="BT65" s="111"/>
      <c r="BU65" s="115"/>
      <c r="BV65" s="115"/>
      <c r="BW65" s="112"/>
      <c r="BX65" s="122"/>
      <c r="BY65" s="123"/>
      <c r="BZ65" s="124"/>
      <c r="CA65" s="125"/>
      <c r="CB65" s="122"/>
      <c r="CC65" s="123"/>
      <c r="CD65" s="124"/>
      <c r="CE65" s="125"/>
      <c r="CF65" s="162"/>
      <c r="CG65" s="164"/>
      <c r="CH65" s="164"/>
      <c r="CI65" s="164"/>
      <c r="CJ65" s="124"/>
      <c r="CK65" s="125"/>
      <c r="CL65" s="122"/>
      <c r="CM65" s="123"/>
      <c r="CN65" s="124"/>
      <c r="CO65" s="125"/>
      <c r="CP65" s="122"/>
      <c r="CQ65" s="123"/>
    </row>
    <row r="66" spans="1:95" s="116" customFormat="1" ht="25.5" hidden="1" customHeight="1" x14ac:dyDescent="0.6">
      <c r="A66" s="110">
        <v>64</v>
      </c>
      <c r="B66" s="117"/>
      <c r="C66" s="118"/>
      <c r="D66" s="119"/>
      <c r="E66" s="120"/>
      <c r="F66" s="117"/>
      <c r="G66" s="118"/>
      <c r="H66" s="119"/>
      <c r="I66" s="120"/>
      <c r="J66" s="117"/>
      <c r="K66" s="118"/>
      <c r="L66" s="119"/>
      <c r="M66" s="120"/>
      <c r="N66" s="117"/>
      <c r="O66" s="118"/>
      <c r="P66" s="119"/>
      <c r="Q66" s="120"/>
      <c r="R66" s="117"/>
      <c r="S66" s="118"/>
      <c r="T66" s="119"/>
      <c r="U66" s="120"/>
      <c r="V66" s="117"/>
      <c r="W66" s="118"/>
      <c r="X66" s="119"/>
      <c r="Y66" s="120"/>
      <c r="Z66" s="117"/>
      <c r="AA66" s="118"/>
      <c r="AB66" s="119"/>
      <c r="AC66" s="120"/>
      <c r="AD66" s="117"/>
      <c r="AE66" s="118"/>
      <c r="AF66" s="119"/>
      <c r="AG66" s="120"/>
      <c r="AH66" s="117"/>
      <c r="AI66" s="118"/>
      <c r="AJ66" s="119"/>
      <c r="AK66" s="120"/>
      <c r="AL66" s="117"/>
      <c r="AM66" s="118"/>
      <c r="AN66" s="119"/>
      <c r="AO66" s="120"/>
      <c r="AP66" s="117"/>
      <c r="AQ66" s="118"/>
      <c r="AR66" s="119"/>
      <c r="AS66" s="120"/>
      <c r="AT66" s="117"/>
      <c r="AU66" s="118"/>
      <c r="AV66" s="119"/>
      <c r="AW66" s="120"/>
      <c r="AX66" s="124"/>
      <c r="AY66" s="125"/>
      <c r="AZ66" s="122"/>
      <c r="BA66" s="123"/>
      <c r="BB66" s="124"/>
      <c r="BC66" s="125"/>
      <c r="BD66" s="122"/>
      <c r="BE66" s="123"/>
      <c r="BF66" s="124"/>
      <c r="BG66" s="125"/>
      <c r="BH66" s="122"/>
      <c r="BI66" s="123"/>
      <c r="BJ66" s="124"/>
      <c r="BK66" s="126"/>
      <c r="BL66" s="126"/>
      <c r="BM66" s="125"/>
      <c r="BN66" s="122"/>
      <c r="BO66" s="123"/>
      <c r="BP66" s="124"/>
      <c r="BQ66" s="125"/>
      <c r="BR66" s="122"/>
      <c r="BS66" s="123"/>
      <c r="BT66" s="111"/>
      <c r="BU66" s="115"/>
      <c r="BV66" s="115"/>
      <c r="BW66" s="112"/>
      <c r="BX66" s="122"/>
      <c r="BY66" s="123"/>
      <c r="BZ66" s="124"/>
      <c r="CA66" s="125"/>
      <c r="CB66" s="122"/>
      <c r="CC66" s="123"/>
      <c r="CD66" s="124"/>
      <c r="CE66" s="125"/>
      <c r="CF66" s="162"/>
      <c r="CG66" s="164"/>
      <c r="CH66" s="164"/>
      <c r="CI66" s="164"/>
      <c r="CJ66" s="124"/>
      <c r="CK66" s="125"/>
      <c r="CL66" s="122"/>
      <c r="CM66" s="123"/>
      <c r="CN66" s="124"/>
      <c r="CO66" s="125"/>
      <c r="CP66" s="122"/>
      <c r="CQ66" s="123"/>
    </row>
    <row r="67" spans="1:95" s="116" customFormat="1" ht="25.5" hidden="1" customHeight="1" x14ac:dyDescent="0.6">
      <c r="A67" s="110">
        <v>65</v>
      </c>
      <c r="B67" s="117"/>
      <c r="C67" s="118"/>
      <c r="D67" s="119"/>
      <c r="E67" s="120"/>
      <c r="F67" s="117"/>
      <c r="G67" s="118"/>
      <c r="H67" s="119"/>
      <c r="I67" s="120"/>
      <c r="J67" s="117"/>
      <c r="K67" s="118"/>
      <c r="L67" s="119"/>
      <c r="M67" s="120"/>
      <c r="N67" s="117"/>
      <c r="O67" s="118"/>
      <c r="P67" s="119"/>
      <c r="Q67" s="120"/>
      <c r="R67" s="117"/>
      <c r="S67" s="118"/>
      <c r="T67" s="119"/>
      <c r="U67" s="120"/>
      <c r="V67" s="117"/>
      <c r="W67" s="118"/>
      <c r="X67" s="119"/>
      <c r="Y67" s="120"/>
      <c r="Z67" s="117"/>
      <c r="AA67" s="118"/>
      <c r="AB67" s="119"/>
      <c r="AC67" s="120"/>
      <c r="AD67" s="117"/>
      <c r="AE67" s="118"/>
      <c r="AF67" s="119"/>
      <c r="AG67" s="120"/>
      <c r="AH67" s="117"/>
      <c r="AI67" s="118"/>
      <c r="AJ67" s="119"/>
      <c r="AK67" s="120"/>
      <c r="AL67" s="117"/>
      <c r="AM67" s="118"/>
      <c r="AN67" s="119"/>
      <c r="AO67" s="120"/>
      <c r="AP67" s="117"/>
      <c r="AQ67" s="118"/>
      <c r="AR67" s="119"/>
      <c r="AS67" s="120"/>
      <c r="AT67" s="117"/>
      <c r="AU67" s="118"/>
      <c r="AV67" s="119"/>
      <c r="AW67" s="120"/>
      <c r="AX67" s="124"/>
      <c r="AY67" s="125"/>
      <c r="AZ67" s="122"/>
      <c r="BA67" s="123"/>
      <c r="BB67" s="124"/>
      <c r="BC67" s="125"/>
      <c r="BD67" s="122"/>
      <c r="BE67" s="123"/>
      <c r="BF67" s="124"/>
      <c r="BG67" s="125"/>
      <c r="BH67" s="122"/>
      <c r="BI67" s="123"/>
      <c r="BJ67" s="124"/>
      <c r="BK67" s="126"/>
      <c r="BL67" s="126"/>
      <c r="BM67" s="125"/>
      <c r="BN67" s="122"/>
      <c r="BO67" s="123"/>
      <c r="BP67" s="124"/>
      <c r="BQ67" s="125"/>
      <c r="BR67" s="122"/>
      <c r="BS67" s="123"/>
      <c r="BT67" s="111"/>
      <c r="BU67" s="115"/>
      <c r="BV67" s="115"/>
      <c r="BW67" s="112"/>
      <c r="BX67" s="122"/>
      <c r="BY67" s="123"/>
      <c r="BZ67" s="124"/>
      <c r="CA67" s="125"/>
      <c r="CB67" s="122"/>
      <c r="CC67" s="123"/>
      <c r="CD67" s="124"/>
      <c r="CE67" s="125"/>
      <c r="CF67" s="162"/>
      <c r="CG67" s="164"/>
      <c r="CH67" s="164"/>
      <c r="CI67" s="164"/>
      <c r="CJ67" s="124"/>
      <c r="CK67" s="125"/>
      <c r="CL67" s="122"/>
      <c r="CM67" s="123"/>
      <c r="CN67" s="124"/>
      <c r="CO67" s="125"/>
      <c r="CP67" s="122"/>
      <c r="CQ67" s="123"/>
    </row>
    <row r="68" spans="1:95" s="116" customFormat="1" ht="25.5" hidden="1" customHeight="1" x14ac:dyDescent="0.6">
      <c r="A68" s="110">
        <v>66</v>
      </c>
      <c r="B68" s="117"/>
      <c r="C68" s="118"/>
      <c r="D68" s="119"/>
      <c r="E68" s="120"/>
      <c r="F68" s="117"/>
      <c r="G68" s="118"/>
      <c r="H68" s="119"/>
      <c r="I68" s="120"/>
      <c r="J68" s="117"/>
      <c r="K68" s="118"/>
      <c r="L68" s="119"/>
      <c r="M68" s="120"/>
      <c r="N68" s="117"/>
      <c r="O68" s="118"/>
      <c r="P68" s="119"/>
      <c r="Q68" s="120"/>
      <c r="R68" s="117"/>
      <c r="S68" s="118"/>
      <c r="T68" s="119"/>
      <c r="U68" s="120"/>
      <c r="V68" s="117"/>
      <c r="W68" s="118"/>
      <c r="X68" s="119"/>
      <c r="Y68" s="120"/>
      <c r="Z68" s="117"/>
      <c r="AA68" s="118"/>
      <c r="AB68" s="119"/>
      <c r="AC68" s="120"/>
      <c r="AD68" s="117"/>
      <c r="AE68" s="118"/>
      <c r="AF68" s="119"/>
      <c r="AG68" s="120"/>
      <c r="AH68" s="117"/>
      <c r="AI68" s="118"/>
      <c r="AJ68" s="119"/>
      <c r="AK68" s="120"/>
      <c r="AL68" s="117"/>
      <c r="AM68" s="118"/>
      <c r="AN68" s="119"/>
      <c r="AO68" s="120"/>
      <c r="AP68" s="117"/>
      <c r="AQ68" s="118"/>
      <c r="AR68" s="119"/>
      <c r="AS68" s="120"/>
      <c r="AT68" s="117"/>
      <c r="AU68" s="118"/>
      <c r="AV68" s="119"/>
      <c r="AW68" s="120"/>
      <c r="AX68" s="124"/>
      <c r="AY68" s="125"/>
      <c r="AZ68" s="122"/>
      <c r="BA68" s="123"/>
      <c r="BB68" s="124"/>
      <c r="BC68" s="125"/>
      <c r="BD68" s="122"/>
      <c r="BE68" s="123"/>
      <c r="BF68" s="124"/>
      <c r="BG68" s="125"/>
      <c r="BH68" s="122"/>
      <c r="BI68" s="123"/>
      <c r="BJ68" s="124"/>
      <c r="BK68" s="126"/>
      <c r="BL68" s="126"/>
      <c r="BM68" s="125"/>
      <c r="BN68" s="122"/>
      <c r="BO68" s="123"/>
      <c r="BP68" s="124"/>
      <c r="BQ68" s="125"/>
      <c r="BR68" s="122"/>
      <c r="BS68" s="123"/>
      <c r="BT68" s="111"/>
      <c r="BU68" s="115"/>
      <c r="BV68" s="115"/>
      <c r="BW68" s="112"/>
      <c r="BX68" s="122"/>
      <c r="BY68" s="123"/>
      <c r="BZ68" s="124"/>
      <c r="CA68" s="125"/>
      <c r="CB68" s="122"/>
      <c r="CC68" s="123"/>
      <c r="CD68" s="124"/>
      <c r="CE68" s="125"/>
      <c r="CF68" s="162"/>
      <c r="CG68" s="164"/>
      <c r="CH68" s="164"/>
      <c r="CI68" s="164"/>
      <c r="CJ68" s="124"/>
      <c r="CK68" s="125"/>
      <c r="CL68" s="122"/>
      <c r="CM68" s="123"/>
      <c r="CN68" s="124"/>
      <c r="CO68" s="125"/>
      <c r="CP68" s="122"/>
      <c r="CQ68" s="123"/>
    </row>
    <row r="69" spans="1:95" s="116" customFormat="1" ht="25.5" hidden="1" customHeight="1" x14ac:dyDescent="0.6">
      <c r="A69" s="110">
        <v>67</v>
      </c>
      <c r="B69" s="117"/>
      <c r="C69" s="118"/>
      <c r="D69" s="119"/>
      <c r="E69" s="120"/>
      <c r="F69" s="117"/>
      <c r="G69" s="118"/>
      <c r="H69" s="119"/>
      <c r="I69" s="120"/>
      <c r="J69" s="117"/>
      <c r="K69" s="118"/>
      <c r="L69" s="119"/>
      <c r="M69" s="120"/>
      <c r="N69" s="117"/>
      <c r="O69" s="118"/>
      <c r="P69" s="119"/>
      <c r="Q69" s="120"/>
      <c r="R69" s="117"/>
      <c r="S69" s="118"/>
      <c r="T69" s="119"/>
      <c r="U69" s="120"/>
      <c r="V69" s="117"/>
      <c r="W69" s="118"/>
      <c r="X69" s="119"/>
      <c r="Y69" s="120"/>
      <c r="Z69" s="117"/>
      <c r="AA69" s="118"/>
      <c r="AB69" s="119"/>
      <c r="AC69" s="120"/>
      <c r="AD69" s="117"/>
      <c r="AE69" s="118"/>
      <c r="AF69" s="119"/>
      <c r="AG69" s="120"/>
      <c r="AH69" s="117"/>
      <c r="AI69" s="118"/>
      <c r="AJ69" s="119"/>
      <c r="AK69" s="120"/>
      <c r="AL69" s="117"/>
      <c r="AM69" s="118"/>
      <c r="AN69" s="119"/>
      <c r="AO69" s="120"/>
      <c r="AP69" s="117"/>
      <c r="AQ69" s="118"/>
      <c r="AR69" s="119"/>
      <c r="AS69" s="120"/>
      <c r="AT69" s="117"/>
      <c r="AU69" s="118"/>
      <c r="AV69" s="119"/>
      <c r="AW69" s="120"/>
      <c r="AX69" s="124"/>
      <c r="AY69" s="125"/>
      <c r="AZ69" s="122"/>
      <c r="BA69" s="123"/>
      <c r="BB69" s="124"/>
      <c r="BC69" s="125"/>
      <c r="BD69" s="122"/>
      <c r="BE69" s="123"/>
      <c r="BF69" s="124"/>
      <c r="BG69" s="125"/>
      <c r="BH69" s="122"/>
      <c r="BI69" s="123"/>
      <c r="BJ69" s="124"/>
      <c r="BK69" s="126"/>
      <c r="BL69" s="126"/>
      <c r="BM69" s="125"/>
      <c r="BN69" s="122"/>
      <c r="BO69" s="123"/>
      <c r="BP69" s="124"/>
      <c r="BQ69" s="125"/>
      <c r="BR69" s="122"/>
      <c r="BS69" s="123"/>
      <c r="BT69" s="111"/>
      <c r="BU69" s="115"/>
      <c r="BV69" s="115"/>
      <c r="BW69" s="112"/>
      <c r="BX69" s="122"/>
      <c r="BY69" s="123"/>
      <c r="BZ69" s="124"/>
      <c r="CA69" s="125"/>
      <c r="CB69" s="122"/>
      <c r="CC69" s="123"/>
      <c r="CD69" s="124"/>
      <c r="CE69" s="125"/>
      <c r="CF69" s="162"/>
      <c r="CG69" s="164"/>
      <c r="CH69" s="164"/>
      <c r="CI69" s="164"/>
      <c r="CJ69" s="124"/>
      <c r="CK69" s="125"/>
      <c r="CL69" s="122"/>
      <c r="CM69" s="123"/>
      <c r="CN69" s="124"/>
      <c r="CO69" s="125"/>
      <c r="CP69" s="122"/>
      <c r="CQ69" s="123"/>
    </row>
    <row r="70" spans="1:95" s="116" customFormat="1" ht="25.5" hidden="1" customHeight="1" x14ac:dyDescent="0.6">
      <c r="A70" s="110">
        <v>68</v>
      </c>
      <c r="B70" s="117"/>
      <c r="C70" s="118"/>
      <c r="D70" s="119"/>
      <c r="E70" s="120"/>
      <c r="F70" s="117"/>
      <c r="G70" s="118"/>
      <c r="H70" s="119"/>
      <c r="I70" s="120"/>
      <c r="J70" s="117"/>
      <c r="K70" s="118"/>
      <c r="L70" s="119"/>
      <c r="M70" s="120"/>
      <c r="N70" s="117"/>
      <c r="O70" s="118"/>
      <c r="P70" s="119"/>
      <c r="Q70" s="120"/>
      <c r="R70" s="117"/>
      <c r="S70" s="118"/>
      <c r="T70" s="119"/>
      <c r="U70" s="120"/>
      <c r="V70" s="117"/>
      <c r="W70" s="118"/>
      <c r="X70" s="119"/>
      <c r="Y70" s="120"/>
      <c r="Z70" s="117"/>
      <c r="AA70" s="118"/>
      <c r="AB70" s="119"/>
      <c r="AC70" s="120"/>
      <c r="AD70" s="117"/>
      <c r="AE70" s="118"/>
      <c r="AF70" s="119"/>
      <c r="AG70" s="120"/>
      <c r="AH70" s="117"/>
      <c r="AI70" s="118"/>
      <c r="AJ70" s="119"/>
      <c r="AK70" s="120"/>
      <c r="AL70" s="117"/>
      <c r="AM70" s="118"/>
      <c r="AN70" s="119"/>
      <c r="AO70" s="120"/>
      <c r="AP70" s="117"/>
      <c r="AQ70" s="118"/>
      <c r="AR70" s="119"/>
      <c r="AS70" s="120"/>
      <c r="AT70" s="117"/>
      <c r="AU70" s="118"/>
      <c r="AV70" s="119"/>
      <c r="AW70" s="120"/>
      <c r="AX70" s="124"/>
      <c r="AY70" s="125"/>
      <c r="AZ70" s="122"/>
      <c r="BA70" s="123"/>
      <c r="BB70" s="124"/>
      <c r="BC70" s="125"/>
      <c r="BD70" s="122"/>
      <c r="BE70" s="123"/>
      <c r="BF70" s="124"/>
      <c r="BG70" s="125"/>
      <c r="BH70" s="122"/>
      <c r="BI70" s="123"/>
      <c r="BJ70" s="124"/>
      <c r="BK70" s="126"/>
      <c r="BL70" s="126"/>
      <c r="BM70" s="125"/>
      <c r="BN70" s="122"/>
      <c r="BO70" s="123"/>
      <c r="BP70" s="124"/>
      <c r="BQ70" s="125"/>
      <c r="BR70" s="122"/>
      <c r="BS70" s="123"/>
      <c r="BT70" s="111"/>
      <c r="BU70" s="115"/>
      <c r="BV70" s="115"/>
      <c r="BW70" s="112"/>
      <c r="BX70" s="122"/>
      <c r="BY70" s="123"/>
      <c r="BZ70" s="124"/>
      <c r="CA70" s="125"/>
      <c r="CB70" s="122"/>
      <c r="CC70" s="123"/>
      <c r="CD70" s="124"/>
      <c r="CE70" s="125"/>
      <c r="CF70" s="162"/>
      <c r="CG70" s="164"/>
      <c r="CH70" s="164"/>
      <c r="CI70" s="164"/>
      <c r="CJ70" s="124"/>
      <c r="CK70" s="125"/>
      <c r="CL70" s="122"/>
      <c r="CM70" s="123"/>
      <c r="CN70" s="124"/>
      <c r="CO70" s="125"/>
      <c r="CP70" s="122"/>
      <c r="CQ70" s="123"/>
    </row>
    <row r="71" spans="1:95" s="116" customFormat="1" ht="25.5" hidden="1" customHeight="1" x14ac:dyDescent="0.6">
      <c r="A71" s="110">
        <v>69</v>
      </c>
      <c r="B71" s="117"/>
      <c r="C71" s="118"/>
      <c r="D71" s="119"/>
      <c r="E71" s="120"/>
      <c r="F71" s="117"/>
      <c r="G71" s="118"/>
      <c r="H71" s="119"/>
      <c r="I71" s="120"/>
      <c r="J71" s="117"/>
      <c r="K71" s="118"/>
      <c r="L71" s="119"/>
      <c r="M71" s="120"/>
      <c r="N71" s="117"/>
      <c r="O71" s="118"/>
      <c r="P71" s="119"/>
      <c r="Q71" s="120"/>
      <c r="R71" s="117"/>
      <c r="S71" s="118"/>
      <c r="T71" s="119"/>
      <c r="U71" s="120"/>
      <c r="V71" s="117"/>
      <c r="W71" s="118"/>
      <c r="X71" s="119"/>
      <c r="Y71" s="120"/>
      <c r="Z71" s="117"/>
      <c r="AA71" s="118"/>
      <c r="AB71" s="119"/>
      <c r="AC71" s="120"/>
      <c r="AD71" s="117"/>
      <c r="AE71" s="118"/>
      <c r="AF71" s="119"/>
      <c r="AG71" s="120"/>
      <c r="AH71" s="117"/>
      <c r="AI71" s="118"/>
      <c r="AJ71" s="119"/>
      <c r="AK71" s="120"/>
      <c r="AL71" s="117"/>
      <c r="AM71" s="118"/>
      <c r="AN71" s="119"/>
      <c r="AO71" s="120"/>
      <c r="AP71" s="117"/>
      <c r="AQ71" s="118"/>
      <c r="AR71" s="119"/>
      <c r="AS71" s="120"/>
      <c r="AT71" s="117"/>
      <c r="AU71" s="118"/>
      <c r="AV71" s="119"/>
      <c r="AW71" s="120"/>
      <c r="AX71" s="124"/>
      <c r="AY71" s="125"/>
      <c r="AZ71" s="122"/>
      <c r="BA71" s="123"/>
      <c r="BB71" s="124"/>
      <c r="BC71" s="125"/>
      <c r="BD71" s="122"/>
      <c r="BE71" s="123"/>
      <c r="BF71" s="124"/>
      <c r="BG71" s="125"/>
      <c r="BH71" s="122"/>
      <c r="BI71" s="123"/>
      <c r="BJ71" s="124"/>
      <c r="BK71" s="126"/>
      <c r="BL71" s="126"/>
      <c r="BM71" s="125"/>
      <c r="BN71" s="122"/>
      <c r="BO71" s="123"/>
      <c r="BP71" s="124"/>
      <c r="BQ71" s="125"/>
      <c r="BR71" s="122"/>
      <c r="BS71" s="123"/>
      <c r="BT71" s="111"/>
      <c r="BU71" s="115"/>
      <c r="BV71" s="115"/>
      <c r="BW71" s="112"/>
      <c r="BX71" s="122"/>
      <c r="BY71" s="123"/>
      <c r="BZ71" s="124"/>
      <c r="CA71" s="125"/>
      <c r="CB71" s="122"/>
      <c r="CC71" s="123"/>
      <c r="CD71" s="124"/>
      <c r="CE71" s="125"/>
      <c r="CF71" s="162"/>
      <c r="CG71" s="164"/>
      <c r="CH71" s="164"/>
      <c r="CI71" s="164"/>
      <c r="CJ71" s="124"/>
      <c r="CK71" s="125"/>
      <c r="CL71" s="122"/>
      <c r="CM71" s="123"/>
      <c r="CN71" s="124"/>
      <c r="CO71" s="125"/>
      <c r="CP71" s="122"/>
      <c r="CQ71" s="123"/>
    </row>
    <row r="72" spans="1:95" s="116" customFormat="1" ht="25.5" hidden="1" customHeight="1" x14ac:dyDescent="0.6">
      <c r="A72" s="110">
        <v>70</v>
      </c>
      <c r="B72" s="117"/>
      <c r="C72" s="118"/>
      <c r="D72" s="119"/>
      <c r="E72" s="120"/>
      <c r="F72" s="117"/>
      <c r="G72" s="118"/>
      <c r="H72" s="119"/>
      <c r="I72" s="120"/>
      <c r="J72" s="117"/>
      <c r="K72" s="118"/>
      <c r="L72" s="119"/>
      <c r="M72" s="120"/>
      <c r="N72" s="117"/>
      <c r="O72" s="118"/>
      <c r="P72" s="119"/>
      <c r="Q72" s="120"/>
      <c r="R72" s="117"/>
      <c r="S72" s="118"/>
      <c r="T72" s="119"/>
      <c r="U72" s="120"/>
      <c r="V72" s="117"/>
      <c r="W72" s="118"/>
      <c r="X72" s="119"/>
      <c r="Y72" s="120"/>
      <c r="Z72" s="117"/>
      <c r="AA72" s="118"/>
      <c r="AB72" s="119"/>
      <c r="AC72" s="120"/>
      <c r="AD72" s="117"/>
      <c r="AE72" s="118"/>
      <c r="AF72" s="119"/>
      <c r="AG72" s="120"/>
      <c r="AH72" s="117"/>
      <c r="AI72" s="118"/>
      <c r="AJ72" s="119"/>
      <c r="AK72" s="120"/>
      <c r="AL72" s="117"/>
      <c r="AM72" s="118"/>
      <c r="AN72" s="119"/>
      <c r="AO72" s="120"/>
      <c r="AP72" s="117"/>
      <c r="AQ72" s="118"/>
      <c r="AR72" s="119"/>
      <c r="AS72" s="120"/>
      <c r="AT72" s="117"/>
      <c r="AU72" s="118"/>
      <c r="AV72" s="119"/>
      <c r="AW72" s="120"/>
      <c r="AX72" s="124"/>
      <c r="AY72" s="125"/>
      <c r="AZ72" s="122"/>
      <c r="BA72" s="123"/>
      <c r="BB72" s="124"/>
      <c r="BC72" s="125"/>
      <c r="BD72" s="122"/>
      <c r="BE72" s="123"/>
      <c r="BF72" s="124"/>
      <c r="BG72" s="125"/>
      <c r="BH72" s="122"/>
      <c r="BI72" s="123"/>
      <c r="BJ72" s="124"/>
      <c r="BK72" s="126"/>
      <c r="BL72" s="126"/>
      <c r="BM72" s="125"/>
      <c r="BN72" s="122"/>
      <c r="BO72" s="123"/>
      <c r="BP72" s="124"/>
      <c r="BQ72" s="125"/>
      <c r="BR72" s="122"/>
      <c r="BS72" s="123"/>
      <c r="BT72" s="111"/>
      <c r="BU72" s="115"/>
      <c r="BV72" s="115"/>
      <c r="BW72" s="112"/>
      <c r="BX72" s="122"/>
      <c r="BY72" s="123"/>
      <c r="BZ72" s="124"/>
      <c r="CA72" s="125"/>
      <c r="CB72" s="122"/>
      <c r="CC72" s="123"/>
      <c r="CD72" s="124"/>
      <c r="CE72" s="125"/>
      <c r="CF72" s="162"/>
      <c r="CG72" s="164"/>
      <c r="CH72" s="164"/>
      <c r="CI72" s="164"/>
      <c r="CJ72" s="124"/>
      <c r="CK72" s="125"/>
      <c r="CL72" s="122"/>
      <c r="CM72" s="123"/>
      <c r="CN72" s="124"/>
      <c r="CO72" s="125"/>
      <c r="CP72" s="122"/>
      <c r="CQ72" s="123"/>
    </row>
    <row r="73" spans="1:95" s="116" customFormat="1" ht="25.5" hidden="1" customHeight="1" x14ac:dyDescent="0.6">
      <c r="A73" s="110">
        <v>71</v>
      </c>
      <c r="B73" s="117"/>
      <c r="C73" s="118"/>
      <c r="D73" s="119"/>
      <c r="E73" s="120"/>
      <c r="F73" s="117"/>
      <c r="G73" s="118"/>
      <c r="H73" s="119"/>
      <c r="I73" s="120"/>
      <c r="J73" s="117"/>
      <c r="K73" s="118"/>
      <c r="L73" s="119"/>
      <c r="M73" s="120"/>
      <c r="N73" s="117"/>
      <c r="O73" s="118"/>
      <c r="P73" s="119"/>
      <c r="Q73" s="120"/>
      <c r="R73" s="117"/>
      <c r="S73" s="118"/>
      <c r="T73" s="119"/>
      <c r="U73" s="120"/>
      <c r="V73" s="117"/>
      <c r="W73" s="118"/>
      <c r="X73" s="119"/>
      <c r="Y73" s="120"/>
      <c r="Z73" s="117"/>
      <c r="AA73" s="118"/>
      <c r="AB73" s="119"/>
      <c r="AC73" s="120"/>
      <c r="AD73" s="117"/>
      <c r="AE73" s="118"/>
      <c r="AF73" s="119"/>
      <c r="AG73" s="120"/>
      <c r="AH73" s="117"/>
      <c r="AI73" s="118"/>
      <c r="AJ73" s="119"/>
      <c r="AK73" s="120"/>
      <c r="AL73" s="117"/>
      <c r="AM73" s="118"/>
      <c r="AN73" s="119"/>
      <c r="AO73" s="120"/>
      <c r="AP73" s="117"/>
      <c r="AQ73" s="118"/>
      <c r="AR73" s="119"/>
      <c r="AS73" s="120"/>
      <c r="AT73" s="117"/>
      <c r="AU73" s="118"/>
      <c r="AV73" s="119"/>
      <c r="AW73" s="120"/>
      <c r="AX73" s="124"/>
      <c r="AY73" s="125"/>
      <c r="AZ73" s="122"/>
      <c r="BA73" s="123"/>
      <c r="BB73" s="124"/>
      <c r="BC73" s="125"/>
      <c r="BD73" s="122"/>
      <c r="BE73" s="123"/>
      <c r="BF73" s="124"/>
      <c r="BG73" s="125"/>
      <c r="BH73" s="122"/>
      <c r="BI73" s="123"/>
      <c r="BJ73" s="124"/>
      <c r="BK73" s="126"/>
      <c r="BL73" s="126"/>
      <c r="BM73" s="125"/>
      <c r="BN73" s="122"/>
      <c r="BO73" s="123"/>
      <c r="BP73" s="124"/>
      <c r="BQ73" s="125"/>
      <c r="BR73" s="122"/>
      <c r="BS73" s="123"/>
      <c r="BT73" s="111"/>
      <c r="BU73" s="115"/>
      <c r="BV73" s="115"/>
      <c r="BW73" s="112"/>
      <c r="BX73" s="122"/>
      <c r="BY73" s="123"/>
      <c r="BZ73" s="124"/>
      <c r="CA73" s="125"/>
      <c r="CB73" s="122"/>
      <c r="CC73" s="123"/>
      <c r="CD73" s="124"/>
      <c r="CE73" s="125"/>
      <c r="CF73" s="162"/>
      <c r="CG73" s="164"/>
      <c r="CH73" s="164"/>
      <c r="CI73" s="164"/>
      <c r="CJ73" s="124"/>
      <c r="CK73" s="125"/>
      <c r="CL73" s="122"/>
      <c r="CM73" s="123"/>
      <c r="CN73" s="124"/>
      <c r="CO73" s="125"/>
      <c r="CP73" s="122"/>
      <c r="CQ73" s="123"/>
    </row>
    <row r="74" spans="1:95" s="116" customFormat="1" ht="25.5" hidden="1" customHeight="1" x14ac:dyDescent="0.6">
      <c r="A74" s="110">
        <v>72</v>
      </c>
      <c r="B74" s="117"/>
      <c r="C74" s="118"/>
      <c r="D74" s="119"/>
      <c r="E74" s="120"/>
      <c r="F74" s="117"/>
      <c r="G74" s="118"/>
      <c r="H74" s="119"/>
      <c r="I74" s="120"/>
      <c r="J74" s="117"/>
      <c r="K74" s="118"/>
      <c r="L74" s="119"/>
      <c r="M74" s="120"/>
      <c r="N74" s="117"/>
      <c r="O74" s="118"/>
      <c r="P74" s="119"/>
      <c r="Q74" s="120"/>
      <c r="R74" s="117"/>
      <c r="S74" s="118"/>
      <c r="T74" s="119"/>
      <c r="U74" s="120"/>
      <c r="V74" s="117"/>
      <c r="W74" s="118"/>
      <c r="X74" s="119"/>
      <c r="Y74" s="120"/>
      <c r="Z74" s="117"/>
      <c r="AA74" s="118"/>
      <c r="AB74" s="119"/>
      <c r="AC74" s="120"/>
      <c r="AD74" s="117"/>
      <c r="AE74" s="118"/>
      <c r="AF74" s="119"/>
      <c r="AG74" s="120"/>
      <c r="AH74" s="117"/>
      <c r="AI74" s="118"/>
      <c r="AJ74" s="119"/>
      <c r="AK74" s="120"/>
      <c r="AL74" s="117"/>
      <c r="AM74" s="118"/>
      <c r="AN74" s="119"/>
      <c r="AO74" s="120"/>
      <c r="AP74" s="117"/>
      <c r="AQ74" s="118"/>
      <c r="AR74" s="119"/>
      <c r="AS74" s="120"/>
      <c r="AT74" s="117"/>
      <c r="AU74" s="118"/>
      <c r="AV74" s="119"/>
      <c r="AW74" s="120"/>
      <c r="AX74" s="124"/>
      <c r="AY74" s="125"/>
      <c r="AZ74" s="122"/>
      <c r="BA74" s="123"/>
      <c r="BB74" s="124"/>
      <c r="BC74" s="125"/>
      <c r="BD74" s="122"/>
      <c r="BE74" s="123"/>
      <c r="BF74" s="124"/>
      <c r="BG74" s="125"/>
      <c r="BH74" s="122"/>
      <c r="BI74" s="123"/>
      <c r="BJ74" s="124"/>
      <c r="BK74" s="126"/>
      <c r="BL74" s="126"/>
      <c r="BM74" s="125"/>
      <c r="BN74" s="122"/>
      <c r="BO74" s="123"/>
      <c r="BP74" s="124"/>
      <c r="BQ74" s="125"/>
      <c r="BR74" s="122"/>
      <c r="BS74" s="123"/>
      <c r="BT74" s="111"/>
      <c r="BU74" s="115"/>
      <c r="BV74" s="115"/>
      <c r="BW74" s="112"/>
      <c r="BX74" s="122"/>
      <c r="BY74" s="123"/>
      <c r="BZ74" s="124"/>
      <c r="CA74" s="125"/>
      <c r="CB74" s="122"/>
      <c r="CC74" s="123"/>
      <c r="CD74" s="124"/>
      <c r="CE74" s="125"/>
      <c r="CF74" s="162"/>
      <c r="CG74" s="164"/>
      <c r="CH74" s="164"/>
      <c r="CI74" s="164"/>
      <c r="CJ74" s="124"/>
      <c r="CK74" s="125"/>
      <c r="CL74" s="122"/>
      <c r="CM74" s="123"/>
      <c r="CN74" s="124"/>
      <c r="CO74" s="125"/>
      <c r="CP74" s="122"/>
      <c r="CQ74" s="123"/>
    </row>
    <row r="75" spans="1:95" s="116" customFormat="1" ht="25.5" hidden="1" customHeight="1" x14ac:dyDescent="0.6">
      <c r="A75" s="110">
        <v>73</v>
      </c>
      <c r="B75" s="117"/>
      <c r="C75" s="118"/>
      <c r="D75" s="119"/>
      <c r="E75" s="120"/>
      <c r="F75" s="117"/>
      <c r="G75" s="118"/>
      <c r="H75" s="119"/>
      <c r="I75" s="120"/>
      <c r="J75" s="117"/>
      <c r="K75" s="118"/>
      <c r="L75" s="119"/>
      <c r="M75" s="120"/>
      <c r="N75" s="117"/>
      <c r="O75" s="118"/>
      <c r="P75" s="119"/>
      <c r="Q75" s="120"/>
      <c r="R75" s="117"/>
      <c r="S75" s="118"/>
      <c r="T75" s="119"/>
      <c r="U75" s="120"/>
      <c r="V75" s="117"/>
      <c r="W75" s="118"/>
      <c r="X75" s="119"/>
      <c r="Y75" s="120"/>
      <c r="Z75" s="117"/>
      <c r="AA75" s="118"/>
      <c r="AB75" s="119"/>
      <c r="AC75" s="120"/>
      <c r="AD75" s="117"/>
      <c r="AE75" s="118"/>
      <c r="AF75" s="119"/>
      <c r="AG75" s="120"/>
      <c r="AH75" s="117"/>
      <c r="AI75" s="118"/>
      <c r="AJ75" s="119"/>
      <c r="AK75" s="120"/>
      <c r="AL75" s="117"/>
      <c r="AM75" s="118"/>
      <c r="AN75" s="119"/>
      <c r="AO75" s="120"/>
      <c r="AP75" s="117"/>
      <c r="AQ75" s="118"/>
      <c r="AR75" s="119"/>
      <c r="AS75" s="120"/>
      <c r="AT75" s="117"/>
      <c r="AU75" s="118"/>
      <c r="AV75" s="119"/>
      <c r="AW75" s="120"/>
      <c r="AX75" s="124"/>
      <c r="AY75" s="125"/>
      <c r="AZ75" s="122"/>
      <c r="BA75" s="123"/>
      <c r="BB75" s="124"/>
      <c r="BC75" s="125"/>
      <c r="BD75" s="122"/>
      <c r="BE75" s="123"/>
      <c r="BF75" s="124"/>
      <c r="BG75" s="125"/>
      <c r="BH75" s="122"/>
      <c r="BI75" s="123"/>
      <c r="BJ75" s="124"/>
      <c r="BK75" s="126"/>
      <c r="BL75" s="126"/>
      <c r="BM75" s="125"/>
      <c r="BN75" s="122"/>
      <c r="BO75" s="123"/>
      <c r="BP75" s="124"/>
      <c r="BQ75" s="125"/>
      <c r="BR75" s="122"/>
      <c r="BS75" s="123"/>
      <c r="BT75" s="111"/>
      <c r="BU75" s="115"/>
      <c r="BV75" s="115"/>
      <c r="BW75" s="112"/>
      <c r="BX75" s="122"/>
      <c r="BY75" s="123"/>
      <c r="BZ75" s="124"/>
      <c r="CA75" s="125"/>
      <c r="CB75" s="122"/>
      <c r="CC75" s="123"/>
      <c r="CD75" s="124"/>
      <c r="CE75" s="125"/>
      <c r="CF75" s="162"/>
      <c r="CG75" s="164"/>
      <c r="CH75" s="164"/>
      <c r="CI75" s="164"/>
      <c r="CJ75" s="124"/>
      <c r="CK75" s="125"/>
      <c r="CL75" s="122"/>
      <c r="CM75" s="123"/>
      <c r="CN75" s="124"/>
      <c r="CO75" s="125"/>
      <c r="CP75" s="122"/>
      <c r="CQ75" s="123"/>
    </row>
    <row r="76" spans="1:95" s="116" customFormat="1" ht="25.5" hidden="1" customHeight="1" x14ac:dyDescent="0.6">
      <c r="A76" s="110">
        <v>74</v>
      </c>
      <c r="B76" s="117"/>
      <c r="C76" s="118"/>
      <c r="D76" s="119"/>
      <c r="E76" s="120"/>
      <c r="F76" s="117"/>
      <c r="G76" s="118"/>
      <c r="H76" s="119"/>
      <c r="I76" s="120"/>
      <c r="J76" s="117"/>
      <c r="K76" s="118"/>
      <c r="L76" s="119"/>
      <c r="M76" s="120"/>
      <c r="N76" s="117"/>
      <c r="O76" s="118"/>
      <c r="P76" s="119"/>
      <c r="Q76" s="120"/>
      <c r="R76" s="117"/>
      <c r="S76" s="118"/>
      <c r="T76" s="119"/>
      <c r="U76" s="120"/>
      <c r="V76" s="117"/>
      <c r="W76" s="118"/>
      <c r="X76" s="119"/>
      <c r="Y76" s="120"/>
      <c r="Z76" s="117"/>
      <c r="AA76" s="118"/>
      <c r="AB76" s="119"/>
      <c r="AC76" s="120"/>
      <c r="AD76" s="117"/>
      <c r="AE76" s="118"/>
      <c r="AF76" s="119"/>
      <c r="AG76" s="120"/>
      <c r="AH76" s="117"/>
      <c r="AI76" s="118"/>
      <c r="AJ76" s="119"/>
      <c r="AK76" s="120"/>
      <c r="AL76" s="117"/>
      <c r="AM76" s="118"/>
      <c r="AN76" s="119"/>
      <c r="AO76" s="120"/>
      <c r="AP76" s="117"/>
      <c r="AQ76" s="118"/>
      <c r="AR76" s="119"/>
      <c r="AS76" s="120"/>
      <c r="AT76" s="117"/>
      <c r="AU76" s="118"/>
      <c r="AV76" s="119"/>
      <c r="AW76" s="120"/>
      <c r="AX76" s="124"/>
      <c r="AY76" s="125"/>
      <c r="AZ76" s="122"/>
      <c r="BA76" s="123"/>
      <c r="BB76" s="124"/>
      <c r="BC76" s="125"/>
      <c r="BD76" s="122"/>
      <c r="BE76" s="123"/>
      <c r="BF76" s="124"/>
      <c r="BG76" s="125"/>
      <c r="BH76" s="122"/>
      <c r="BI76" s="123"/>
      <c r="BJ76" s="124"/>
      <c r="BK76" s="126"/>
      <c r="BL76" s="126"/>
      <c r="BM76" s="125"/>
      <c r="BN76" s="122"/>
      <c r="BO76" s="123"/>
      <c r="BP76" s="124"/>
      <c r="BQ76" s="125"/>
      <c r="BR76" s="122"/>
      <c r="BS76" s="123"/>
      <c r="BT76" s="111"/>
      <c r="BU76" s="115"/>
      <c r="BV76" s="115"/>
      <c r="BW76" s="112"/>
      <c r="BX76" s="122"/>
      <c r="BY76" s="123"/>
      <c r="BZ76" s="124"/>
      <c r="CA76" s="125"/>
      <c r="CB76" s="122"/>
      <c r="CC76" s="123"/>
      <c r="CD76" s="124"/>
      <c r="CE76" s="125"/>
      <c r="CF76" s="162"/>
      <c r="CG76" s="164"/>
      <c r="CH76" s="164"/>
      <c r="CI76" s="164"/>
      <c r="CJ76" s="124"/>
      <c r="CK76" s="125"/>
      <c r="CL76" s="122"/>
      <c r="CM76" s="123"/>
      <c r="CN76" s="124"/>
      <c r="CO76" s="125"/>
      <c r="CP76" s="122"/>
      <c r="CQ76" s="123"/>
    </row>
    <row r="77" spans="1:95" s="116" customFormat="1" ht="25.5" hidden="1" customHeight="1" x14ac:dyDescent="0.6">
      <c r="A77" s="110">
        <v>75</v>
      </c>
      <c r="B77" s="117"/>
      <c r="C77" s="118"/>
      <c r="D77" s="119"/>
      <c r="E77" s="120"/>
      <c r="F77" s="117"/>
      <c r="G77" s="118"/>
      <c r="H77" s="119"/>
      <c r="I77" s="120"/>
      <c r="J77" s="117"/>
      <c r="K77" s="118"/>
      <c r="L77" s="119"/>
      <c r="M77" s="120"/>
      <c r="N77" s="117"/>
      <c r="O77" s="118"/>
      <c r="P77" s="119"/>
      <c r="Q77" s="120"/>
      <c r="R77" s="117"/>
      <c r="S77" s="118"/>
      <c r="T77" s="119"/>
      <c r="U77" s="120"/>
      <c r="V77" s="117"/>
      <c r="W77" s="118"/>
      <c r="X77" s="119"/>
      <c r="Y77" s="120"/>
      <c r="Z77" s="117"/>
      <c r="AA77" s="118"/>
      <c r="AB77" s="119"/>
      <c r="AC77" s="120"/>
      <c r="AD77" s="117"/>
      <c r="AE77" s="118"/>
      <c r="AF77" s="119"/>
      <c r="AG77" s="120"/>
      <c r="AH77" s="117"/>
      <c r="AI77" s="118"/>
      <c r="AJ77" s="119"/>
      <c r="AK77" s="120"/>
      <c r="AL77" s="117"/>
      <c r="AM77" s="118"/>
      <c r="AN77" s="119"/>
      <c r="AO77" s="120"/>
      <c r="AP77" s="117"/>
      <c r="AQ77" s="118"/>
      <c r="AR77" s="119"/>
      <c r="AS77" s="120"/>
      <c r="AT77" s="117"/>
      <c r="AU77" s="118"/>
      <c r="AV77" s="119"/>
      <c r="AW77" s="120"/>
      <c r="AX77" s="124"/>
      <c r="AY77" s="125"/>
      <c r="AZ77" s="122"/>
      <c r="BA77" s="123"/>
      <c r="BB77" s="124"/>
      <c r="BC77" s="125"/>
      <c r="BD77" s="122"/>
      <c r="BE77" s="123"/>
      <c r="BF77" s="124"/>
      <c r="BG77" s="125"/>
      <c r="BH77" s="122"/>
      <c r="BI77" s="123"/>
      <c r="BJ77" s="124"/>
      <c r="BK77" s="126"/>
      <c r="BL77" s="126"/>
      <c r="BM77" s="125"/>
      <c r="BN77" s="122"/>
      <c r="BO77" s="123"/>
      <c r="BP77" s="124"/>
      <c r="BQ77" s="125"/>
      <c r="BR77" s="122"/>
      <c r="BS77" s="123"/>
      <c r="BT77" s="111"/>
      <c r="BU77" s="115"/>
      <c r="BV77" s="115"/>
      <c r="BW77" s="112"/>
      <c r="BX77" s="122"/>
      <c r="BY77" s="123"/>
      <c r="BZ77" s="124"/>
      <c r="CA77" s="125"/>
      <c r="CB77" s="122"/>
      <c r="CC77" s="123"/>
      <c r="CD77" s="124"/>
      <c r="CE77" s="125"/>
      <c r="CF77" s="162"/>
      <c r="CG77" s="164"/>
      <c r="CH77" s="164"/>
      <c r="CI77" s="164"/>
      <c r="CJ77" s="124"/>
      <c r="CK77" s="125"/>
      <c r="CL77" s="122"/>
      <c r="CM77" s="123"/>
      <c r="CN77" s="124"/>
      <c r="CO77" s="125"/>
      <c r="CP77" s="122"/>
      <c r="CQ77" s="123"/>
    </row>
    <row r="78" spans="1:95" s="116" customFormat="1" ht="25.5" hidden="1" customHeight="1" x14ac:dyDescent="0.6">
      <c r="A78" s="110">
        <v>76</v>
      </c>
      <c r="B78" s="117"/>
      <c r="C78" s="118"/>
      <c r="D78" s="119"/>
      <c r="E78" s="120"/>
      <c r="F78" s="117"/>
      <c r="G78" s="118"/>
      <c r="H78" s="119"/>
      <c r="I78" s="120"/>
      <c r="J78" s="117"/>
      <c r="K78" s="118"/>
      <c r="L78" s="119"/>
      <c r="M78" s="120"/>
      <c r="N78" s="117"/>
      <c r="O78" s="118"/>
      <c r="P78" s="119"/>
      <c r="Q78" s="120"/>
      <c r="R78" s="117"/>
      <c r="S78" s="118"/>
      <c r="T78" s="119"/>
      <c r="U78" s="120"/>
      <c r="V78" s="117"/>
      <c r="W78" s="118"/>
      <c r="X78" s="119"/>
      <c r="Y78" s="120"/>
      <c r="Z78" s="117"/>
      <c r="AA78" s="118"/>
      <c r="AB78" s="119"/>
      <c r="AC78" s="120"/>
      <c r="AD78" s="117"/>
      <c r="AE78" s="118"/>
      <c r="AF78" s="119"/>
      <c r="AG78" s="120"/>
      <c r="AH78" s="117"/>
      <c r="AI78" s="118"/>
      <c r="AJ78" s="119"/>
      <c r="AK78" s="120"/>
      <c r="AL78" s="117"/>
      <c r="AM78" s="118"/>
      <c r="AN78" s="119"/>
      <c r="AO78" s="120"/>
      <c r="AP78" s="117"/>
      <c r="AQ78" s="118"/>
      <c r="AR78" s="119"/>
      <c r="AS78" s="120"/>
      <c r="AT78" s="117"/>
      <c r="AU78" s="118"/>
      <c r="AV78" s="119"/>
      <c r="AW78" s="120"/>
      <c r="AX78" s="124"/>
      <c r="AY78" s="125"/>
      <c r="AZ78" s="122"/>
      <c r="BA78" s="123"/>
      <c r="BB78" s="124"/>
      <c r="BC78" s="125"/>
      <c r="BD78" s="122"/>
      <c r="BE78" s="123"/>
      <c r="BF78" s="124"/>
      <c r="BG78" s="125"/>
      <c r="BH78" s="122"/>
      <c r="BI78" s="123"/>
      <c r="BJ78" s="124"/>
      <c r="BK78" s="126"/>
      <c r="BL78" s="126"/>
      <c r="BM78" s="125"/>
      <c r="BN78" s="122"/>
      <c r="BO78" s="123"/>
      <c r="BP78" s="124"/>
      <c r="BQ78" s="125"/>
      <c r="BR78" s="122"/>
      <c r="BS78" s="123"/>
      <c r="BT78" s="111"/>
      <c r="BU78" s="115"/>
      <c r="BV78" s="115"/>
      <c r="BW78" s="112"/>
      <c r="BX78" s="122"/>
      <c r="BY78" s="123"/>
      <c r="BZ78" s="124"/>
      <c r="CA78" s="125"/>
      <c r="CB78" s="122"/>
      <c r="CC78" s="123"/>
      <c r="CD78" s="124"/>
      <c r="CE78" s="125"/>
      <c r="CF78" s="162"/>
      <c r="CG78" s="164"/>
      <c r="CH78" s="164"/>
      <c r="CI78" s="164"/>
      <c r="CJ78" s="124"/>
      <c r="CK78" s="125"/>
      <c r="CL78" s="122"/>
      <c r="CM78" s="123"/>
      <c r="CN78" s="124"/>
      <c r="CO78" s="125"/>
      <c r="CP78" s="122"/>
      <c r="CQ78" s="123"/>
    </row>
    <row r="79" spans="1:95" s="116" customFormat="1" ht="25.5" hidden="1" customHeight="1" x14ac:dyDescent="0.6">
      <c r="A79" s="110">
        <v>77</v>
      </c>
      <c r="B79" s="117"/>
      <c r="C79" s="118"/>
      <c r="D79" s="119"/>
      <c r="E79" s="120"/>
      <c r="F79" s="117"/>
      <c r="G79" s="118"/>
      <c r="H79" s="119"/>
      <c r="I79" s="120"/>
      <c r="J79" s="117"/>
      <c r="K79" s="118"/>
      <c r="L79" s="119"/>
      <c r="M79" s="120"/>
      <c r="N79" s="117"/>
      <c r="O79" s="118"/>
      <c r="P79" s="119"/>
      <c r="Q79" s="120"/>
      <c r="R79" s="117"/>
      <c r="S79" s="118"/>
      <c r="T79" s="119"/>
      <c r="U79" s="120"/>
      <c r="V79" s="117"/>
      <c r="W79" s="118"/>
      <c r="X79" s="119"/>
      <c r="Y79" s="120"/>
      <c r="Z79" s="117"/>
      <c r="AA79" s="118"/>
      <c r="AB79" s="119"/>
      <c r="AC79" s="120"/>
      <c r="AD79" s="117"/>
      <c r="AE79" s="118"/>
      <c r="AF79" s="119"/>
      <c r="AG79" s="120"/>
      <c r="AH79" s="117"/>
      <c r="AI79" s="118"/>
      <c r="AJ79" s="119"/>
      <c r="AK79" s="120"/>
      <c r="AL79" s="117"/>
      <c r="AM79" s="118"/>
      <c r="AN79" s="119"/>
      <c r="AO79" s="120"/>
      <c r="AP79" s="117"/>
      <c r="AQ79" s="118"/>
      <c r="AR79" s="119"/>
      <c r="AS79" s="120"/>
      <c r="AT79" s="117"/>
      <c r="AU79" s="118"/>
      <c r="AV79" s="119"/>
      <c r="AW79" s="120"/>
      <c r="AX79" s="124"/>
      <c r="AY79" s="125"/>
      <c r="AZ79" s="122"/>
      <c r="BA79" s="123"/>
      <c r="BB79" s="124"/>
      <c r="BC79" s="125"/>
      <c r="BD79" s="122"/>
      <c r="BE79" s="123"/>
      <c r="BF79" s="124"/>
      <c r="BG79" s="125"/>
      <c r="BH79" s="122"/>
      <c r="BI79" s="123"/>
      <c r="BJ79" s="124"/>
      <c r="BK79" s="126"/>
      <c r="BL79" s="126"/>
      <c r="BM79" s="125"/>
      <c r="BN79" s="122"/>
      <c r="BO79" s="123"/>
      <c r="BP79" s="124"/>
      <c r="BQ79" s="125"/>
      <c r="BR79" s="122"/>
      <c r="BS79" s="123"/>
      <c r="BT79" s="111"/>
      <c r="BU79" s="115"/>
      <c r="BV79" s="115"/>
      <c r="BW79" s="112"/>
      <c r="BX79" s="122"/>
      <c r="BY79" s="123"/>
      <c r="BZ79" s="124"/>
      <c r="CA79" s="125"/>
      <c r="CB79" s="122"/>
      <c r="CC79" s="123"/>
      <c r="CD79" s="124"/>
      <c r="CE79" s="125"/>
      <c r="CF79" s="162"/>
      <c r="CG79" s="164"/>
      <c r="CH79" s="164"/>
      <c r="CI79" s="164"/>
      <c r="CJ79" s="124"/>
      <c r="CK79" s="125"/>
      <c r="CL79" s="122"/>
      <c r="CM79" s="123"/>
      <c r="CN79" s="124"/>
      <c r="CO79" s="125"/>
      <c r="CP79" s="122"/>
      <c r="CQ79" s="123"/>
    </row>
    <row r="80" spans="1:95" s="116" customFormat="1" ht="25.5" hidden="1" customHeight="1" x14ac:dyDescent="0.6">
      <c r="A80" s="110">
        <v>78</v>
      </c>
      <c r="B80" s="117"/>
      <c r="C80" s="118"/>
      <c r="D80" s="119"/>
      <c r="E80" s="120"/>
      <c r="F80" s="117"/>
      <c r="G80" s="118"/>
      <c r="H80" s="119"/>
      <c r="I80" s="120"/>
      <c r="J80" s="117"/>
      <c r="K80" s="118"/>
      <c r="L80" s="119"/>
      <c r="M80" s="120"/>
      <c r="N80" s="117"/>
      <c r="O80" s="118"/>
      <c r="P80" s="119"/>
      <c r="Q80" s="120"/>
      <c r="R80" s="117"/>
      <c r="S80" s="118"/>
      <c r="T80" s="119"/>
      <c r="U80" s="120"/>
      <c r="V80" s="117"/>
      <c r="W80" s="118"/>
      <c r="X80" s="119"/>
      <c r="Y80" s="120"/>
      <c r="Z80" s="117"/>
      <c r="AA80" s="118"/>
      <c r="AB80" s="119"/>
      <c r="AC80" s="120"/>
      <c r="AD80" s="117"/>
      <c r="AE80" s="118"/>
      <c r="AF80" s="119"/>
      <c r="AG80" s="120"/>
      <c r="AH80" s="117"/>
      <c r="AI80" s="118"/>
      <c r="AJ80" s="119"/>
      <c r="AK80" s="120"/>
      <c r="AL80" s="117"/>
      <c r="AM80" s="118"/>
      <c r="AN80" s="119"/>
      <c r="AO80" s="120"/>
      <c r="AP80" s="117"/>
      <c r="AQ80" s="118"/>
      <c r="AR80" s="119"/>
      <c r="AS80" s="120"/>
      <c r="AT80" s="117"/>
      <c r="AU80" s="118"/>
      <c r="AV80" s="119"/>
      <c r="AW80" s="120"/>
      <c r="AX80" s="124"/>
      <c r="AY80" s="125"/>
      <c r="AZ80" s="122"/>
      <c r="BA80" s="123"/>
      <c r="BB80" s="124"/>
      <c r="BC80" s="125"/>
      <c r="BD80" s="122"/>
      <c r="BE80" s="123"/>
      <c r="BF80" s="124"/>
      <c r="BG80" s="125"/>
      <c r="BH80" s="122"/>
      <c r="BI80" s="123"/>
      <c r="BJ80" s="124"/>
      <c r="BK80" s="126"/>
      <c r="BL80" s="126"/>
      <c r="BM80" s="125"/>
      <c r="BN80" s="122"/>
      <c r="BO80" s="123"/>
      <c r="BP80" s="124"/>
      <c r="BQ80" s="125"/>
      <c r="BR80" s="122"/>
      <c r="BS80" s="123"/>
      <c r="BT80" s="111"/>
      <c r="BU80" s="115"/>
      <c r="BV80" s="115"/>
      <c r="BW80" s="112"/>
      <c r="BX80" s="122"/>
      <c r="BY80" s="123"/>
      <c r="BZ80" s="124"/>
      <c r="CA80" s="125"/>
      <c r="CB80" s="122"/>
      <c r="CC80" s="123"/>
      <c r="CD80" s="124"/>
      <c r="CE80" s="125"/>
      <c r="CF80" s="162"/>
      <c r="CG80" s="164"/>
      <c r="CH80" s="164"/>
      <c r="CI80" s="164"/>
      <c r="CJ80" s="124"/>
      <c r="CK80" s="125"/>
      <c r="CL80" s="122"/>
      <c r="CM80" s="123"/>
      <c r="CN80" s="124"/>
      <c r="CO80" s="125"/>
      <c r="CP80" s="122"/>
      <c r="CQ80" s="123"/>
    </row>
    <row r="81" spans="1:95" s="116" customFormat="1" ht="25.5" hidden="1" customHeight="1" x14ac:dyDescent="0.6">
      <c r="A81" s="110">
        <v>79</v>
      </c>
      <c r="B81" s="117"/>
      <c r="C81" s="118"/>
      <c r="D81" s="119"/>
      <c r="E81" s="120"/>
      <c r="F81" s="117"/>
      <c r="G81" s="118"/>
      <c r="H81" s="119"/>
      <c r="I81" s="120"/>
      <c r="J81" s="117"/>
      <c r="K81" s="118"/>
      <c r="L81" s="119"/>
      <c r="M81" s="120"/>
      <c r="N81" s="117"/>
      <c r="O81" s="118"/>
      <c r="P81" s="119"/>
      <c r="Q81" s="120"/>
      <c r="R81" s="117"/>
      <c r="S81" s="118"/>
      <c r="T81" s="119"/>
      <c r="U81" s="120"/>
      <c r="V81" s="117"/>
      <c r="W81" s="118"/>
      <c r="X81" s="119"/>
      <c r="Y81" s="120"/>
      <c r="Z81" s="117"/>
      <c r="AA81" s="118"/>
      <c r="AB81" s="119"/>
      <c r="AC81" s="120"/>
      <c r="AD81" s="117"/>
      <c r="AE81" s="118"/>
      <c r="AF81" s="119"/>
      <c r="AG81" s="120"/>
      <c r="AH81" s="117"/>
      <c r="AI81" s="118"/>
      <c r="AJ81" s="119"/>
      <c r="AK81" s="120"/>
      <c r="AL81" s="117"/>
      <c r="AM81" s="118"/>
      <c r="AN81" s="119"/>
      <c r="AO81" s="120"/>
      <c r="AP81" s="117"/>
      <c r="AQ81" s="118"/>
      <c r="AR81" s="119"/>
      <c r="AS81" s="120"/>
      <c r="AT81" s="117"/>
      <c r="AU81" s="118"/>
      <c r="AV81" s="119"/>
      <c r="AW81" s="120"/>
      <c r="AX81" s="124"/>
      <c r="AY81" s="125"/>
      <c r="AZ81" s="122"/>
      <c r="BA81" s="123"/>
      <c r="BB81" s="124"/>
      <c r="BC81" s="125"/>
      <c r="BD81" s="122"/>
      <c r="BE81" s="123"/>
      <c r="BF81" s="124"/>
      <c r="BG81" s="125"/>
      <c r="BH81" s="122"/>
      <c r="BI81" s="123"/>
      <c r="BJ81" s="124"/>
      <c r="BK81" s="126"/>
      <c r="BL81" s="126"/>
      <c r="BM81" s="125"/>
      <c r="BN81" s="122"/>
      <c r="BO81" s="123"/>
      <c r="BP81" s="124"/>
      <c r="BQ81" s="125"/>
      <c r="BR81" s="122"/>
      <c r="BS81" s="123"/>
      <c r="BT81" s="111"/>
      <c r="BU81" s="115"/>
      <c r="BV81" s="115"/>
      <c r="BW81" s="112"/>
      <c r="BX81" s="122"/>
      <c r="BY81" s="123"/>
      <c r="BZ81" s="124"/>
      <c r="CA81" s="125"/>
      <c r="CB81" s="122"/>
      <c r="CC81" s="123"/>
      <c r="CD81" s="124"/>
      <c r="CE81" s="125"/>
      <c r="CF81" s="162"/>
      <c r="CG81" s="164"/>
      <c r="CH81" s="164"/>
      <c r="CI81" s="164"/>
      <c r="CJ81" s="124"/>
      <c r="CK81" s="125"/>
      <c r="CL81" s="122"/>
      <c r="CM81" s="123"/>
      <c r="CN81" s="124"/>
      <c r="CO81" s="125"/>
      <c r="CP81" s="122"/>
      <c r="CQ81" s="123"/>
    </row>
    <row r="82" spans="1:95" s="116" customFormat="1" ht="25.5" hidden="1" customHeight="1" x14ac:dyDescent="0.6">
      <c r="A82" s="110">
        <v>80</v>
      </c>
      <c r="B82" s="117"/>
      <c r="C82" s="118"/>
      <c r="D82" s="119"/>
      <c r="E82" s="120"/>
      <c r="F82" s="117"/>
      <c r="G82" s="118"/>
      <c r="H82" s="119"/>
      <c r="I82" s="120"/>
      <c r="J82" s="117"/>
      <c r="K82" s="118"/>
      <c r="L82" s="119"/>
      <c r="M82" s="120"/>
      <c r="N82" s="117"/>
      <c r="O82" s="118"/>
      <c r="P82" s="119"/>
      <c r="Q82" s="120"/>
      <c r="R82" s="117"/>
      <c r="S82" s="118"/>
      <c r="T82" s="119"/>
      <c r="U82" s="120"/>
      <c r="V82" s="117"/>
      <c r="W82" s="118"/>
      <c r="X82" s="119"/>
      <c r="Y82" s="120"/>
      <c r="Z82" s="117"/>
      <c r="AA82" s="118"/>
      <c r="AB82" s="119"/>
      <c r="AC82" s="120"/>
      <c r="AD82" s="117"/>
      <c r="AE82" s="118"/>
      <c r="AF82" s="119"/>
      <c r="AG82" s="120"/>
      <c r="AH82" s="117"/>
      <c r="AI82" s="118"/>
      <c r="AJ82" s="119"/>
      <c r="AK82" s="120"/>
      <c r="AL82" s="117"/>
      <c r="AM82" s="118"/>
      <c r="AN82" s="119"/>
      <c r="AO82" s="120"/>
      <c r="AP82" s="117"/>
      <c r="AQ82" s="118"/>
      <c r="AR82" s="119"/>
      <c r="AS82" s="120"/>
      <c r="AT82" s="117"/>
      <c r="AU82" s="118"/>
      <c r="AV82" s="119"/>
      <c r="AW82" s="120"/>
      <c r="AX82" s="124"/>
      <c r="AY82" s="125"/>
      <c r="AZ82" s="122"/>
      <c r="BA82" s="123"/>
      <c r="BB82" s="124"/>
      <c r="BC82" s="125"/>
      <c r="BD82" s="122"/>
      <c r="BE82" s="123"/>
      <c r="BF82" s="124"/>
      <c r="BG82" s="125"/>
      <c r="BH82" s="122"/>
      <c r="BI82" s="123"/>
      <c r="BJ82" s="124"/>
      <c r="BK82" s="126"/>
      <c r="BL82" s="126"/>
      <c r="BM82" s="125"/>
      <c r="BN82" s="122"/>
      <c r="BO82" s="123"/>
      <c r="BP82" s="124"/>
      <c r="BQ82" s="125"/>
      <c r="BR82" s="122"/>
      <c r="BS82" s="123"/>
      <c r="BT82" s="111"/>
      <c r="BU82" s="115"/>
      <c r="BV82" s="115"/>
      <c r="BW82" s="112"/>
      <c r="BX82" s="122"/>
      <c r="BY82" s="123"/>
      <c r="BZ82" s="124"/>
      <c r="CA82" s="125"/>
      <c r="CB82" s="122"/>
      <c r="CC82" s="123"/>
      <c r="CD82" s="124"/>
      <c r="CE82" s="125"/>
      <c r="CF82" s="162"/>
      <c r="CG82" s="164"/>
      <c r="CH82" s="164"/>
      <c r="CI82" s="164"/>
      <c r="CJ82" s="124"/>
      <c r="CK82" s="125"/>
      <c r="CL82" s="122"/>
      <c r="CM82" s="123"/>
      <c r="CN82" s="124"/>
      <c r="CO82" s="125"/>
      <c r="CP82" s="122"/>
      <c r="CQ82" s="123"/>
    </row>
    <row r="83" spans="1:95" s="116" customFormat="1" ht="25.5" hidden="1" customHeight="1" x14ac:dyDescent="0.6">
      <c r="A83" s="110">
        <v>81</v>
      </c>
      <c r="B83" s="117"/>
      <c r="C83" s="118"/>
      <c r="D83" s="119"/>
      <c r="E83" s="120"/>
      <c r="F83" s="117"/>
      <c r="G83" s="118"/>
      <c r="H83" s="119"/>
      <c r="I83" s="120"/>
      <c r="J83" s="117"/>
      <c r="K83" s="118"/>
      <c r="L83" s="119"/>
      <c r="M83" s="120"/>
      <c r="N83" s="117"/>
      <c r="O83" s="118"/>
      <c r="P83" s="119"/>
      <c r="Q83" s="120"/>
      <c r="R83" s="117"/>
      <c r="S83" s="118"/>
      <c r="T83" s="119"/>
      <c r="U83" s="120"/>
      <c r="V83" s="117"/>
      <c r="W83" s="118"/>
      <c r="X83" s="119"/>
      <c r="Y83" s="120"/>
      <c r="Z83" s="117"/>
      <c r="AA83" s="118"/>
      <c r="AB83" s="119"/>
      <c r="AC83" s="120"/>
      <c r="AD83" s="117"/>
      <c r="AE83" s="118"/>
      <c r="AF83" s="119"/>
      <c r="AG83" s="120"/>
      <c r="AH83" s="117"/>
      <c r="AI83" s="118"/>
      <c r="AJ83" s="119"/>
      <c r="AK83" s="120"/>
      <c r="AL83" s="117"/>
      <c r="AM83" s="118"/>
      <c r="AN83" s="119"/>
      <c r="AO83" s="120"/>
      <c r="AP83" s="117"/>
      <c r="AQ83" s="118"/>
      <c r="AR83" s="119"/>
      <c r="AS83" s="120"/>
      <c r="AT83" s="117"/>
      <c r="AU83" s="118"/>
      <c r="AV83" s="119"/>
      <c r="AW83" s="120"/>
      <c r="AX83" s="124"/>
      <c r="AY83" s="125"/>
      <c r="AZ83" s="122"/>
      <c r="BA83" s="123"/>
      <c r="BB83" s="124"/>
      <c r="BC83" s="125"/>
      <c r="BD83" s="122"/>
      <c r="BE83" s="123"/>
      <c r="BF83" s="124"/>
      <c r="BG83" s="125"/>
      <c r="BH83" s="122"/>
      <c r="BI83" s="123"/>
      <c r="BJ83" s="124"/>
      <c r="BK83" s="126"/>
      <c r="BL83" s="126"/>
      <c r="BM83" s="125"/>
      <c r="BN83" s="122"/>
      <c r="BO83" s="123"/>
      <c r="BP83" s="124"/>
      <c r="BQ83" s="125"/>
      <c r="BR83" s="122"/>
      <c r="BS83" s="123"/>
      <c r="BT83" s="111"/>
      <c r="BU83" s="115"/>
      <c r="BV83" s="115"/>
      <c r="BW83" s="112"/>
      <c r="BX83" s="122"/>
      <c r="BY83" s="123"/>
      <c r="BZ83" s="124"/>
      <c r="CA83" s="125"/>
      <c r="CB83" s="122"/>
      <c r="CC83" s="123"/>
      <c r="CD83" s="124"/>
      <c r="CE83" s="125"/>
      <c r="CF83" s="162"/>
      <c r="CG83" s="164"/>
      <c r="CH83" s="164"/>
      <c r="CI83" s="164"/>
      <c r="CJ83" s="124"/>
      <c r="CK83" s="125"/>
      <c r="CL83" s="122"/>
      <c r="CM83" s="123"/>
      <c r="CN83" s="124"/>
      <c r="CO83" s="125"/>
      <c r="CP83" s="122"/>
      <c r="CQ83" s="123"/>
    </row>
    <row r="84" spans="1:95" s="116" customFormat="1" ht="25.5" hidden="1" customHeight="1" x14ac:dyDescent="0.6">
      <c r="A84" s="110">
        <v>82</v>
      </c>
      <c r="B84" s="117"/>
      <c r="C84" s="118"/>
      <c r="D84" s="119"/>
      <c r="E84" s="120"/>
      <c r="F84" s="117"/>
      <c r="G84" s="118"/>
      <c r="H84" s="119"/>
      <c r="I84" s="120"/>
      <c r="J84" s="117"/>
      <c r="K84" s="118"/>
      <c r="L84" s="119"/>
      <c r="M84" s="120"/>
      <c r="N84" s="117"/>
      <c r="O84" s="118"/>
      <c r="P84" s="119"/>
      <c r="Q84" s="120"/>
      <c r="R84" s="117"/>
      <c r="S84" s="118"/>
      <c r="T84" s="119"/>
      <c r="U84" s="120"/>
      <c r="V84" s="117"/>
      <c r="W84" s="118"/>
      <c r="X84" s="119"/>
      <c r="Y84" s="120"/>
      <c r="Z84" s="117"/>
      <c r="AA84" s="118"/>
      <c r="AB84" s="119"/>
      <c r="AC84" s="120"/>
      <c r="AD84" s="117"/>
      <c r="AE84" s="118"/>
      <c r="AF84" s="119"/>
      <c r="AG84" s="120"/>
      <c r="AH84" s="117"/>
      <c r="AI84" s="118"/>
      <c r="AJ84" s="119"/>
      <c r="AK84" s="120"/>
      <c r="AL84" s="117"/>
      <c r="AM84" s="118"/>
      <c r="AN84" s="119"/>
      <c r="AO84" s="120"/>
      <c r="AP84" s="117"/>
      <c r="AQ84" s="118"/>
      <c r="AR84" s="119"/>
      <c r="AS84" s="120"/>
      <c r="AT84" s="117"/>
      <c r="AU84" s="118"/>
      <c r="AV84" s="119"/>
      <c r="AW84" s="120"/>
      <c r="AX84" s="124"/>
      <c r="AY84" s="125"/>
      <c r="AZ84" s="122"/>
      <c r="BA84" s="123"/>
      <c r="BB84" s="124"/>
      <c r="BC84" s="125"/>
      <c r="BD84" s="122"/>
      <c r="BE84" s="123"/>
      <c r="BF84" s="124"/>
      <c r="BG84" s="125"/>
      <c r="BH84" s="122"/>
      <c r="BI84" s="123"/>
      <c r="BJ84" s="124"/>
      <c r="BK84" s="126"/>
      <c r="BL84" s="126"/>
      <c r="BM84" s="125"/>
      <c r="BN84" s="122"/>
      <c r="BO84" s="123"/>
      <c r="BP84" s="124"/>
      <c r="BQ84" s="125"/>
      <c r="BR84" s="122"/>
      <c r="BS84" s="123"/>
      <c r="BT84" s="111"/>
      <c r="BU84" s="115"/>
      <c r="BV84" s="115"/>
      <c r="BW84" s="112"/>
      <c r="BX84" s="122"/>
      <c r="BY84" s="123"/>
      <c r="BZ84" s="124"/>
      <c r="CA84" s="125"/>
      <c r="CB84" s="122"/>
      <c r="CC84" s="123"/>
      <c r="CD84" s="124"/>
      <c r="CE84" s="125"/>
      <c r="CF84" s="162"/>
      <c r="CG84" s="164"/>
      <c r="CH84" s="164"/>
      <c r="CI84" s="164"/>
      <c r="CJ84" s="124"/>
      <c r="CK84" s="125"/>
      <c r="CL84" s="122"/>
      <c r="CM84" s="123"/>
      <c r="CN84" s="124"/>
      <c r="CO84" s="125"/>
      <c r="CP84" s="122"/>
      <c r="CQ84" s="123"/>
    </row>
    <row r="85" spans="1:95" s="116" customFormat="1" ht="25.5" hidden="1" customHeight="1" x14ac:dyDescent="0.6">
      <c r="A85" s="110">
        <v>83</v>
      </c>
      <c r="B85" s="117"/>
      <c r="C85" s="118"/>
      <c r="D85" s="119"/>
      <c r="E85" s="120"/>
      <c r="F85" s="117"/>
      <c r="G85" s="118"/>
      <c r="H85" s="119"/>
      <c r="I85" s="120"/>
      <c r="J85" s="117"/>
      <c r="K85" s="118"/>
      <c r="L85" s="119"/>
      <c r="M85" s="120"/>
      <c r="N85" s="117"/>
      <c r="O85" s="118"/>
      <c r="P85" s="119"/>
      <c r="Q85" s="120"/>
      <c r="R85" s="117"/>
      <c r="S85" s="118"/>
      <c r="T85" s="119"/>
      <c r="U85" s="120"/>
      <c r="V85" s="117"/>
      <c r="W85" s="118"/>
      <c r="X85" s="119"/>
      <c r="Y85" s="120"/>
      <c r="Z85" s="117"/>
      <c r="AA85" s="118"/>
      <c r="AB85" s="119"/>
      <c r="AC85" s="120"/>
      <c r="AD85" s="117"/>
      <c r="AE85" s="118"/>
      <c r="AF85" s="119"/>
      <c r="AG85" s="120"/>
      <c r="AH85" s="117"/>
      <c r="AI85" s="118"/>
      <c r="AJ85" s="119"/>
      <c r="AK85" s="120"/>
      <c r="AL85" s="117"/>
      <c r="AM85" s="118"/>
      <c r="AN85" s="119"/>
      <c r="AO85" s="120"/>
      <c r="AP85" s="117"/>
      <c r="AQ85" s="118"/>
      <c r="AR85" s="119"/>
      <c r="AS85" s="120"/>
      <c r="AT85" s="117"/>
      <c r="AU85" s="118"/>
      <c r="AV85" s="119"/>
      <c r="AW85" s="120"/>
      <c r="AX85" s="124"/>
      <c r="AY85" s="125"/>
      <c r="AZ85" s="122"/>
      <c r="BA85" s="123"/>
      <c r="BB85" s="124"/>
      <c r="BC85" s="125"/>
      <c r="BD85" s="122"/>
      <c r="BE85" s="123"/>
      <c r="BF85" s="124"/>
      <c r="BG85" s="125"/>
      <c r="BH85" s="122"/>
      <c r="BI85" s="123"/>
      <c r="BJ85" s="124"/>
      <c r="BK85" s="126"/>
      <c r="BL85" s="126"/>
      <c r="BM85" s="125"/>
      <c r="BN85" s="122"/>
      <c r="BO85" s="123"/>
      <c r="BP85" s="124"/>
      <c r="BQ85" s="125"/>
      <c r="BR85" s="122"/>
      <c r="BS85" s="123"/>
      <c r="BT85" s="111"/>
      <c r="BU85" s="115"/>
      <c r="BV85" s="115"/>
      <c r="BW85" s="112"/>
      <c r="BX85" s="122"/>
      <c r="BY85" s="123"/>
      <c r="BZ85" s="124"/>
      <c r="CA85" s="125"/>
      <c r="CB85" s="122"/>
      <c r="CC85" s="123"/>
      <c r="CD85" s="124"/>
      <c r="CE85" s="125"/>
      <c r="CF85" s="162"/>
      <c r="CG85" s="164"/>
      <c r="CH85" s="164"/>
      <c r="CI85" s="164"/>
      <c r="CJ85" s="124"/>
      <c r="CK85" s="125"/>
      <c r="CL85" s="122"/>
      <c r="CM85" s="123"/>
      <c r="CN85" s="124"/>
      <c r="CO85" s="125"/>
      <c r="CP85" s="122"/>
      <c r="CQ85" s="123"/>
    </row>
    <row r="86" spans="1:95" s="116" customFormat="1" ht="25.5" hidden="1" customHeight="1" x14ac:dyDescent="0.6">
      <c r="A86" s="110">
        <v>84</v>
      </c>
      <c r="B86" s="117"/>
      <c r="C86" s="118"/>
      <c r="D86" s="119"/>
      <c r="E86" s="120"/>
      <c r="F86" s="117"/>
      <c r="G86" s="118"/>
      <c r="H86" s="119"/>
      <c r="I86" s="120"/>
      <c r="J86" s="117"/>
      <c r="K86" s="118"/>
      <c r="L86" s="119"/>
      <c r="M86" s="120"/>
      <c r="N86" s="117"/>
      <c r="O86" s="118"/>
      <c r="P86" s="119"/>
      <c r="Q86" s="120"/>
      <c r="R86" s="117"/>
      <c r="S86" s="118"/>
      <c r="T86" s="119"/>
      <c r="U86" s="120"/>
      <c r="V86" s="117"/>
      <c r="W86" s="118"/>
      <c r="X86" s="119"/>
      <c r="Y86" s="120"/>
      <c r="Z86" s="117"/>
      <c r="AA86" s="118"/>
      <c r="AB86" s="119"/>
      <c r="AC86" s="120"/>
      <c r="AD86" s="117"/>
      <c r="AE86" s="118"/>
      <c r="AF86" s="119"/>
      <c r="AG86" s="120"/>
      <c r="AH86" s="117"/>
      <c r="AI86" s="118"/>
      <c r="AJ86" s="119"/>
      <c r="AK86" s="120"/>
      <c r="AL86" s="117"/>
      <c r="AM86" s="118"/>
      <c r="AN86" s="119"/>
      <c r="AO86" s="120"/>
      <c r="AP86" s="117"/>
      <c r="AQ86" s="118"/>
      <c r="AR86" s="119"/>
      <c r="AS86" s="120"/>
      <c r="AT86" s="117"/>
      <c r="AU86" s="118"/>
      <c r="AV86" s="119"/>
      <c r="AW86" s="120"/>
      <c r="AX86" s="124"/>
      <c r="AY86" s="125"/>
      <c r="AZ86" s="122"/>
      <c r="BA86" s="123"/>
      <c r="BB86" s="124"/>
      <c r="BC86" s="125"/>
      <c r="BD86" s="122"/>
      <c r="BE86" s="123"/>
      <c r="BF86" s="124"/>
      <c r="BG86" s="125"/>
      <c r="BH86" s="122"/>
      <c r="BI86" s="123"/>
      <c r="BJ86" s="124"/>
      <c r="BK86" s="126"/>
      <c r="BL86" s="126"/>
      <c r="BM86" s="125"/>
      <c r="BN86" s="122"/>
      <c r="BO86" s="123"/>
      <c r="BP86" s="124"/>
      <c r="BQ86" s="125"/>
      <c r="BR86" s="122"/>
      <c r="BS86" s="123"/>
      <c r="BT86" s="111"/>
      <c r="BU86" s="115"/>
      <c r="BV86" s="115"/>
      <c r="BW86" s="112"/>
      <c r="BX86" s="122"/>
      <c r="BY86" s="123"/>
      <c r="BZ86" s="124"/>
      <c r="CA86" s="125"/>
      <c r="CB86" s="122"/>
      <c r="CC86" s="123"/>
      <c r="CD86" s="124"/>
      <c r="CE86" s="125"/>
      <c r="CF86" s="162"/>
      <c r="CG86" s="164"/>
      <c r="CH86" s="164"/>
      <c r="CI86" s="164"/>
      <c r="CJ86" s="124"/>
      <c r="CK86" s="125"/>
      <c r="CL86" s="122"/>
      <c r="CM86" s="123"/>
      <c r="CN86" s="124"/>
      <c r="CO86" s="125"/>
      <c r="CP86" s="122"/>
      <c r="CQ86" s="123"/>
    </row>
    <row r="87" spans="1:95" s="116" customFormat="1" ht="25.5" hidden="1" customHeight="1" x14ac:dyDescent="0.6">
      <c r="A87" s="110">
        <v>85</v>
      </c>
      <c r="B87" s="117"/>
      <c r="C87" s="118"/>
      <c r="D87" s="119"/>
      <c r="E87" s="120"/>
      <c r="F87" s="117"/>
      <c r="G87" s="118"/>
      <c r="H87" s="119"/>
      <c r="I87" s="120"/>
      <c r="J87" s="117"/>
      <c r="K87" s="118"/>
      <c r="L87" s="119"/>
      <c r="M87" s="120"/>
      <c r="N87" s="117"/>
      <c r="O87" s="118"/>
      <c r="P87" s="119"/>
      <c r="Q87" s="120"/>
      <c r="R87" s="117"/>
      <c r="S87" s="118"/>
      <c r="T87" s="119"/>
      <c r="U87" s="120"/>
      <c r="V87" s="117"/>
      <c r="W87" s="118"/>
      <c r="X87" s="119"/>
      <c r="Y87" s="120"/>
      <c r="Z87" s="117"/>
      <c r="AA87" s="118"/>
      <c r="AB87" s="119"/>
      <c r="AC87" s="120"/>
      <c r="AD87" s="117"/>
      <c r="AE87" s="118"/>
      <c r="AF87" s="119"/>
      <c r="AG87" s="120"/>
      <c r="AH87" s="117"/>
      <c r="AI87" s="118"/>
      <c r="AJ87" s="119"/>
      <c r="AK87" s="120"/>
      <c r="AL87" s="117"/>
      <c r="AM87" s="118"/>
      <c r="AN87" s="119"/>
      <c r="AO87" s="120"/>
      <c r="AP87" s="117"/>
      <c r="AQ87" s="118"/>
      <c r="AR87" s="119"/>
      <c r="AS87" s="120"/>
      <c r="AT87" s="117"/>
      <c r="AU87" s="118"/>
      <c r="AV87" s="119"/>
      <c r="AW87" s="120"/>
      <c r="AX87" s="124"/>
      <c r="AY87" s="125"/>
      <c r="AZ87" s="122"/>
      <c r="BA87" s="123"/>
      <c r="BB87" s="124"/>
      <c r="BC87" s="125"/>
      <c r="BD87" s="122"/>
      <c r="BE87" s="123"/>
      <c r="BF87" s="124"/>
      <c r="BG87" s="125"/>
      <c r="BH87" s="122"/>
      <c r="BI87" s="123"/>
      <c r="BJ87" s="124"/>
      <c r="BK87" s="126"/>
      <c r="BL87" s="126"/>
      <c r="BM87" s="125"/>
      <c r="BN87" s="122"/>
      <c r="BO87" s="123"/>
      <c r="BP87" s="124"/>
      <c r="BQ87" s="125"/>
      <c r="BR87" s="122"/>
      <c r="BS87" s="123"/>
      <c r="BT87" s="111"/>
      <c r="BU87" s="115"/>
      <c r="BV87" s="115"/>
      <c r="BW87" s="112"/>
      <c r="BX87" s="122"/>
      <c r="BY87" s="123"/>
      <c r="BZ87" s="124"/>
      <c r="CA87" s="125"/>
      <c r="CB87" s="122"/>
      <c r="CC87" s="123"/>
      <c r="CD87" s="124"/>
      <c r="CE87" s="125"/>
      <c r="CF87" s="162"/>
      <c r="CG87" s="164"/>
      <c r="CH87" s="164"/>
      <c r="CI87" s="164"/>
      <c r="CJ87" s="124"/>
      <c r="CK87" s="125"/>
      <c r="CL87" s="122"/>
      <c r="CM87" s="123"/>
      <c r="CN87" s="124"/>
      <c r="CO87" s="125"/>
      <c r="CP87" s="122"/>
      <c r="CQ87" s="123"/>
    </row>
    <row r="88" spans="1:95" s="116" customFormat="1" ht="25.5" hidden="1" customHeight="1" x14ac:dyDescent="0.6">
      <c r="A88" s="110">
        <v>86</v>
      </c>
      <c r="B88" s="117"/>
      <c r="C88" s="118"/>
      <c r="D88" s="119"/>
      <c r="E88" s="120"/>
      <c r="F88" s="117"/>
      <c r="G88" s="118"/>
      <c r="H88" s="119"/>
      <c r="I88" s="120"/>
      <c r="J88" s="117"/>
      <c r="K88" s="118"/>
      <c r="L88" s="119"/>
      <c r="M88" s="120"/>
      <c r="N88" s="117"/>
      <c r="O88" s="118"/>
      <c r="P88" s="119"/>
      <c r="Q88" s="120"/>
      <c r="R88" s="117"/>
      <c r="S88" s="118"/>
      <c r="T88" s="119"/>
      <c r="U88" s="120"/>
      <c r="V88" s="117"/>
      <c r="W88" s="118"/>
      <c r="X88" s="119"/>
      <c r="Y88" s="120"/>
      <c r="Z88" s="117"/>
      <c r="AA88" s="118"/>
      <c r="AB88" s="119"/>
      <c r="AC88" s="120"/>
      <c r="AD88" s="117"/>
      <c r="AE88" s="118"/>
      <c r="AF88" s="119"/>
      <c r="AG88" s="120"/>
      <c r="AH88" s="117"/>
      <c r="AI88" s="118"/>
      <c r="AJ88" s="119"/>
      <c r="AK88" s="120"/>
      <c r="AL88" s="117"/>
      <c r="AM88" s="118"/>
      <c r="AN88" s="119"/>
      <c r="AO88" s="120"/>
      <c r="AP88" s="117"/>
      <c r="AQ88" s="118"/>
      <c r="AR88" s="119"/>
      <c r="AS88" s="120"/>
      <c r="AT88" s="117"/>
      <c r="AU88" s="118"/>
      <c r="AV88" s="119"/>
      <c r="AW88" s="120"/>
      <c r="AX88" s="124"/>
      <c r="AY88" s="125"/>
      <c r="AZ88" s="122"/>
      <c r="BA88" s="123"/>
      <c r="BB88" s="124"/>
      <c r="BC88" s="125"/>
      <c r="BD88" s="122"/>
      <c r="BE88" s="123"/>
      <c r="BF88" s="124"/>
      <c r="BG88" s="125"/>
      <c r="BH88" s="122"/>
      <c r="BI88" s="123"/>
      <c r="BJ88" s="124"/>
      <c r="BK88" s="126"/>
      <c r="BL88" s="126"/>
      <c r="BM88" s="125"/>
      <c r="BN88" s="122"/>
      <c r="BO88" s="123"/>
      <c r="BP88" s="124"/>
      <c r="BQ88" s="125"/>
      <c r="BR88" s="122"/>
      <c r="BS88" s="123"/>
      <c r="BT88" s="111"/>
      <c r="BU88" s="115"/>
      <c r="BV88" s="115"/>
      <c r="BW88" s="112"/>
      <c r="BX88" s="122"/>
      <c r="BY88" s="123"/>
      <c r="BZ88" s="124"/>
      <c r="CA88" s="125"/>
      <c r="CB88" s="122"/>
      <c r="CC88" s="123"/>
      <c r="CD88" s="124"/>
      <c r="CE88" s="125"/>
      <c r="CF88" s="162"/>
      <c r="CG88" s="164"/>
      <c r="CH88" s="164"/>
      <c r="CI88" s="164"/>
      <c r="CJ88" s="124"/>
      <c r="CK88" s="125"/>
      <c r="CL88" s="122"/>
      <c r="CM88" s="123"/>
      <c r="CN88" s="124"/>
      <c r="CO88" s="125"/>
      <c r="CP88" s="122"/>
      <c r="CQ88" s="123"/>
    </row>
    <row r="89" spans="1:95" s="116" customFormat="1" ht="25.5" hidden="1" customHeight="1" x14ac:dyDescent="0.6">
      <c r="A89" s="110">
        <v>87</v>
      </c>
      <c r="B89" s="117"/>
      <c r="C89" s="118"/>
      <c r="D89" s="119"/>
      <c r="E89" s="120"/>
      <c r="F89" s="117"/>
      <c r="G89" s="118"/>
      <c r="H89" s="119"/>
      <c r="I89" s="120"/>
      <c r="J89" s="117"/>
      <c r="K89" s="118"/>
      <c r="L89" s="119"/>
      <c r="M89" s="120"/>
      <c r="N89" s="117"/>
      <c r="O89" s="118"/>
      <c r="P89" s="119"/>
      <c r="Q89" s="120"/>
      <c r="R89" s="117"/>
      <c r="S89" s="118"/>
      <c r="T89" s="119"/>
      <c r="U89" s="120"/>
      <c r="V89" s="117"/>
      <c r="W89" s="118"/>
      <c r="X89" s="119"/>
      <c r="Y89" s="120"/>
      <c r="Z89" s="117"/>
      <c r="AA89" s="118"/>
      <c r="AB89" s="119"/>
      <c r="AC89" s="120"/>
      <c r="AD89" s="117"/>
      <c r="AE89" s="118"/>
      <c r="AF89" s="119"/>
      <c r="AG89" s="120"/>
      <c r="AH89" s="117"/>
      <c r="AI89" s="118"/>
      <c r="AJ89" s="119"/>
      <c r="AK89" s="120"/>
      <c r="AL89" s="117"/>
      <c r="AM89" s="118"/>
      <c r="AN89" s="119"/>
      <c r="AO89" s="120"/>
      <c r="AP89" s="117"/>
      <c r="AQ89" s="118"/>
      <c r="AR89" s="119"/>
      <c r="AS89" s="120"/>
      <c r="AT89" s="117"/>
      <c r="AU89" s="118"/>
      <c r="AV89" s="119"/>
      <c r="AW89" s="120"/>
      <c r="AX89" s="124"/>
      <c r="AY89" s="125"/>
      <c r="AZ89" s="122"/>
      <c r="BA89" s="123"/>
      <c r="BB89" s="124"/>
      <c r="BC89" s="125"/>
      <c r="BD89" s="122"/>
      <c r="BE89" s="123"/>
      <c r="BF89" s="124"/>
      <c r="BG89" s="125"/>
      <c r="BH89" s="122"/>
      <c r="BI89" s="123"/>
      <c r="BJ89" s="124"/>
      <c r="BK89" s="126"/>
      <c r="BL89" s="126"/>
      <c r="BM89" s="125"/>
      <c r="BN89" s="122"/>
      <c r="BO89" s="123"/>
      <c r="BP89" s="124"/>
      <c r="BQ89" s="125"/>
      <c r="BR89" s="122"/>
      <c r="BS89" s="123"/>
      <c r="BT89" s="111"/>
      <c r="BU89" s="115"/>
      <c r="BV89" s="115"/>
      <c r="BW89" s="112"/>
      <c r="BX89" s="122"/>
      <c r="BY89" s="123"/>
      <c r="BZ89" s="124"/>
      <c r="CA89" s="125"/>
      <c r="CB89" s="122"/>
      <c r="CC89" s="123"/>
      <c r="CD89" s="124"/>
      <c r="CE89" s="125"/>
      <c r="CF89" s="162"/>
      <c r="CG89" s="164"/>
      <c r="CH89" s="164"/>
      <c r="CI89" s="164"/>
      <c r="CJ89" s="124"/>
      <c r="CK89" s="125"/>
      <c r="CL89" s="122"/>
      <c r="CM89" s="123"/>
      <c r="CN89" s="124"/>
      <c r="CO89" s="125"/>
      <c r="CP89" s="122"/>
      <c r="CQ89" s="123"/>
    </row>
    <row r="90" spans="1:95" s="116" customFormat="1" ht="25.5" hidden="1" customHeight="1" x14ac:dyDescent="0.6">
      <c r="A90" s="110">
        <v>88</v>
      </c>
      <c r="B90" s="117"/>
      <c r="C90" s="118"/>
      <c r="D90" s="119"/>
      <c r="E90" s="120"/>
      <c r="F90" s="117"/>
      <c r="G90" s="118"/>
      <c r="H90" s="119"/>
      <c r="I90" s="120"/>
      <c r="J90" s="117"/>
      <c r="K90" s="118"/>
      <c r="L90" s="119"/>
      <c r="M90" s="120"/>
      <c r="N90" s="117"/>
      <c r="O90" s="118"/>
      <c r="P90" s="119"/>
      <c r="Q90" s="120"/>
      <c r="R90" s="117"/>
      <c r="S90" s="118"/>
      <c r="T90" s="119"/>
      <c r="U90" s="120"/>
      <c r="V90" s="117"/>
      <c r="W90" s="118"/>
      <c r="X90" s="119"/>
      <c r="Y90" s="120"/>
      <c r="Z90" s="117"/>
      <c r="AA90" s="118"/>
      <c r="AB90" s="119"/>
      <c r="AC90" s="120"/>
      <c r="AD90" s="117"/>
      <c r="AE90" s="118"/>
      <c r="AF90" s="119"/>
      <c r="AG90" s="120"/>
      <c r="AH90" s="117"/>
      <c r="AI90" s="118"/>
      <c r="AJ90" s="119"/>
      <c r="AK90" s="120"/>
      <c r="AL90" s="117"/>
      <c r="AM90" s="118"/>
      <c r="AN90" s="119"/>
      <c r="AO90" s="120"/>
      <c r="AP90" s="117"/>
      <c r="AQ90" s="118"/>
      <c r="AR90" s="119"/>
      <c r="AS90" s="120"/>
      <c r="AT90" s="117"/>
      <c r="AU90" s="118"/>
      <c r="AV90" s="119"/>
      <c r="AW90" s="120"/>
      <c r="AX90" s="124"/>
      <c r="AY90" s="125"/>
      <c r="AZ90" s="122"/>
      <c r="BA90" s="123"/>
      <c r="BB90" s="124"/>
      <c r="BC90" s="125"/>
      <c r="BD90" s="122"/>
      <c r="BE90" s="123"/>
      <c r="BF90" s="124"/>
      <c r="BG90" s="125"/>
      <c r="BH90" s="122"/>
      <c r="BI90" s="123"/>
      <c r="BJ90" s="124"/>
      <c r="BK90" s="126"/>
      <c r="BL90" s="126"/>
      <c r="BM90" s="125"/>
      <c r="BN90" s="122"/>
      <c r="BO90" s="123"/>
      <c r="BP90" s="124"/>
      <c r="BQ90" s="125"/>
      <c r="BR90" s="122"/>
      <c r="BS90" s="123"/>
      <c r="BT90" s="111"/>
      <c r="BU90" s="115"/>
      <c r="BV90" s="115"/>
      <c r="BW90" s="112"/>
      <c r="BX90" s="122"/>
      <c r="BY90" s="123"/>
      <c r="BZ90" s="124"/>
      <c r="CA90" s="125"/>
      <c r="CB90" s="122"/>
      <c r="CC90" s="123"/>
      <c r="CD90" s="124"/>
      <c r="CE90" s="125"/>
      <c r="CF90" s="162"/>
      <c r="CG90" s="164"/>
      <c r="CH90" s="164"/>
      <c r="CI90" s="164"/>
      <c r="CJ90" s="124"/>
      <c r="CK90" s="125"/>
      <c r="CL90" s="122"/>
      <c r="CM90" s="123"/>
      <c r="CN90" s="124"/>
      <c r="CO90" s="125"/>
      <c r="CP90" s="122"/>
      <c r="CQ90" s="123"/>
    </row>
    <row r="91" spans="1:95" s="116" customFormat="1" ht="25.5" hidden="1" customHeight="1" x14ac:dyDescent="0.6">
      <c r="A91" s="110">
        <v>89</v>
      </c>
      <c r="B91" s="117"/>
      <c r="C91" s="118"/>
      <c r="D91" s="119"/>
      <c r="E91" s="120"/>
      <c r="F91" s="117"/>
      <c r="G91" s="118"/>
      <c r="H91" s="119"/>
      <c r="I91" s="120"/>
      <c r="J91" s="117"/>
      <c r="K91" s="118"/>
      <c r="L91" s="119"/>
      <c r="M91" s="120"/>
      <c r="N91" s="117"/>
      <c r="O91" s="118"/>
      <c r="P91" s="119"/>
      <c r="Q91" s="120"/>
      <c r="R91" s="117"/>
      <c r="S91" s="118"/>
      <c r="T91" s="119"/>
      <c r="U91" s="120"/>
      <c r="V91" s="117"/>
      <c r="W91" s="118"/>
      <c r="X91" s="119"/>
      <c r="Y91" s="120"/>
      <c r="Z91" s="117"/>
      <c r="AA91" s="118"/>
      <c r="AB91" s="119"/>
      <c r="AC91" s="120"/>
      <c r="AD91" s="117"/>
      <c r="AE91" s="118"/>
      <c r="AF91" s="119"/>
      <c r="AG91" s="120"/>
      <c r="AH91" s="117"/>
      <c r="AI91" s="118"/>
      <c r="AJ91" s="119"/>
      <c r="AK91" s="120"/>
      <c r="AL91" s="117"/>
      <c r="AM91" s="118"/>
      <c r="AN91" s="119"/>
      <c r="AO91" s="120"/>
      <c r="AP91" s="117"/>
      <c r="AQ91" s="118"/>
      <c r="AR91" s="119"/>
      <c r="AS91" s="120"/>
      <c r="AT91" s="117"/>
      <c r="AU91" s="118"/>
      <c r="AV91" s="119"/>
      <c r="AW91" s="120"/>
      <c r="AX91" s="124"/>
      <c r="AY91" s="125"/>
      <c r="AZ91" s="122"/>
      <c r="BA91" s="123"/>
      <c r="BB91" s="124"/>
      <c r="BC91" s="125"/>
      <c r="BD91" s="122"/>
      <c r="BE91" s="123"/>
      <c r="BF91" s="124"/>
      <c r="BG91" s="125"/>
      <c r="BH91" s="122"/>
      <c r="BI91" s="123"/>
      <c r="BJ91" s="124"/>
      <c r="BK91" s="126"/>
      <c r="BL91" s="126"/>
      <c r="BM91" s="125"/>
      <c r="BN91" s="122"/>
      <c r="BO91" s="123"/>
      <c r="BP91" s="124"/>
      <c r="BQ91" s="125"/>
      <c r="BR91" s="122"/>
      <c r="BS91" s="123"/>
      <c r="BT91" s="111"/>
      <c r="BU91" s="115"/>
      <c r="BV91" s="115"/>
      <c r="BW91" s="112"/>
      <c r="BX91" s="122"/>
      <c r="BY91" s="123"/>
      <c r="BZ91" s="124"/>
      <c r="CA91" s="125"/>
      <c r="CB91" s="122"/>
      <c r="CC91" s="123"/>
      <c r="CD91" s="124"/>
      <c r="CE91" s="125"/>
      <c r="CF91" s="162"/>
      <c r="CG91" s="164"/>
      <c r="CH91" s="164"/>
      <c r="CI91" s="164"/>
      <c r="CJ91" s="124"/>
      <c r="CK91" s="125"/>
      <c r="CL91" s="122"/>
      <c r="CM91" s="123"/>
      <c r="CN91" s="124"/>
      <c r="CO91" s="125"/>
      <c r="CP91" s="122"/>
      <c r="CQ91" s="123"/>
    </row>
    <row r="92" spans="1:95" s="116" customFormat="1" ht="25.5" hidden="1" customHeight="1" x14ac:dyDescent="0.6">
      <c r="A92" s="110">
        <v>90</v>
      </c>
      <c r="B92" s="117"/>
      <c r="C92" s="118"/>
      <c r="D92" s="119"/>
      <c r="E92" s="120"/>
      <c r="F92" s="117"/>
      <c r="G92" s="118"/>
      <c r="H92" s="119"/>
      <c r="I92" s="120"/>
      <c r="J92" s="117"/>
      <c r="K92" s="118"/>
      <c r="L92" s="119"/>
      <c r="M92" s="120"/>
      <c r="N92" s="117"/>
      <c r="O92" s="118"/>
      <c r="P92" s="119"/>
      <c r="Q92" s="120"/>
      <c r="R92" s="117"/>
      <c r="S92" s="118"/>
      <c r="T92" s="119"/>
      <c r="U92" s="120"/>
      <c r="V92" s="117"/>
      <c r="W92" s="118"/>
      <c r="X92" s="119"/>
      <c r="Y92" s="120"/>
      <c r="Z92" s="117"/>
      <c r="AA92" s="118"/>
      <c r="AB92" s="119"/>
      <c r="AC92" s="120"/>
      <c r="AD92" s="117"/>
      <c r="AE92" s="118"/>
      <c r="AF92" s="119"/>
      <c r="AG92" s="120"/>
      <c r="AH92" s="117"/>
      <c r="AI92" s="118"/>
      <c r="AJ92" s="119"/>
      <c r="AK92" s="120"/>
      <c r="AL92" s="117"/>
      <c r="AM92" s="118"/>
      <c r="AN92" s="119"/>
      <c r="AO92" s="120"/>
      <c r="AP92" s="117"/>
      <c r="AQ92" s="118"/>
      <c r="AR92" s="119"/>
      <c r="AS92" s="120"/>
      <c r="AT92" s="117"/>
      <c r="AU92" s="118"/>
      <c r="AV92" s="119"/>
      <c r="AW92" s="120"/>
      <c r="AX92" s="124"/>
      <c r="AY92" s="125"/>
      <c r="AZ92" s="122"/>
      <c r="BA92" s="123"/>
      <c r="BB92" s="124"/>
      <c r="BC92" s="125"/>
      <c r="BD92" s="122"/>
      <c r="BE92" s="123"/>
      <c r="BF92" s="124"/>
      <c r="BG92" s="125"/>
      <c r="BH92" s="122"/>
      <c r="BI92" s="123"/>
      <c r="BJ92" s="124"/>
      <c r="BK92" s="126"/>
      <c r="BL92" s="126"/>
      <c r="BM92" s="125"/>
      <c r="BN92" s="122"/>
      <c r="BO92" s="123"/>
      <c r="BP92" s="124"/>
      <c r="BQ92" s="125"/>
      <c r="BR92" s="122"/>
      <c r="BS92" s="123"/>
      <c r="BT92" s="111"/>
      <c r="BU92" s="115"/>
      <c r="BV92" s="115"/>
      <c r="BW92" s="112"/>
      <c r="BX92" s="122"/>
      <c r="BY92" s="123"/>
      <c r="BZ92" s="124"/>
      <c r="CA92" s="125"/>
      <c r="CB92" s="122"/>
      <c r="CC92" s="123"/>
      <c r="CD92" s="124"/>
      <c r="CE92" s="125"/>
      <c r="CF92" s="162"/>
      <c r="CG92" s="164"/>
      <c r="CH92" s="164"/>
      <c r="CI92" s="164"/>
      <c r="CJ92" s="124"/>
      <c r="CK92" s="125"/>
      <c r="CL92" s="122"/>
      <c r="CM92" s="123"/>
      <c r="CN92" s="124"/>
      <c r="CO92" s="125"/>
      <c r="CP92" s="122"/>
      <c r="CQ92" s="123"/>
    </row>
    <row r="93" spans="1:95" s="116" customFormat="1" ht="25.5" hidden="1" customHeight="1" x14ac:dyDescent="0.6">
      <c r="A93" s="110">
        <v>91</v>
      </c>
      <c r="B93" s="117"/>
      <c r="C93" s="118"/>
      <c r="D93" s="119"/>
      <c r="E93" s="120"/>
      <c r="F93" s="117"/>
      <c r="G93" s="118"/>
      <c r="H93" s="119"/>
      <c r="I93" s="120"/>
      <c r="J93" s="117"/>
      <c r="K93" s="118"/>
      <c r="L93" s="119"/>
      <c r="M93" s="120"/>
      <c r="N93" s="117"/>
      <c r="O93" s="118"/>
      <c r="P93" s="119"/>
      <c r="Q93" s="120"/>
      <c r="R93" s="117"/>
      <c r="S93" s="118"/>
      <c r="T93" s="119"/>
      <c r="U93" s="120"/>
      <c r="V93" s="117"/>
      <c r="W93" s="118"/>
      <c r="X93" s="119"/>
      <c r="Y93" s="120"/>
      <c r="Z93" s="117"/>
      <c r="AA93" s="118"/>
      <c r="AB93" s="119"/>
      <c r="AC93" s="120"/>
      <c r="AD93" s="117"/>
      <c r="AE93" s="118"/>
      <c r="AF93" s="119"/>
      <c r="AG93" s="120"/>
      <c r="AH93" s="117"/>
      <c r="AI93" s="118"/>
      <c r="AJ93" s="119"/>
      <c r="AK93" s="120"/>
      <c r="AL93" s="117"/>
      <c r="AM93" s="118"/>
      <c r="AN93" s="119"/>
      <c r="AO93" s="120"/>
      <c r="AP93" s="117"/>
      <c r="AQ93" s="118"/>
      <c r="AR93" s="119"/>
      <c r="AS93" s="120"/>
      <c r="AT93" s="117"/>
      <c r="AU93" s="118"/>
      <c r="AV93" s="119"/>
      <c r="AW93" s="120"/>
      <c r="AX93" s="124"/>
      <c r="AY93" s="125"/>
      <c r="AZ93" s="122"/>
      <c r="BA93" s="123"/>
      <c r="BB93" s="124"/>
      <c r="BC93" s="125"/>
      <c r="BD93" s="122"/>
      <c r="BE93" s="123"/>
      <c r="BF93" s="124"/>
      <c r="BG93" s="125"/>
      <c r="BH93" s="122"/>
      <c r="BI93" s="123"/>
      <c r="BJ93" s="124"/>
      <c r="BK93" s="126"/>
      <c r="BL93" s="126"/>
      <c r="BM93" s="125"/>
      <c r="BN93" s="122"/>
      <c r="BO93" s="123"/>
      <c r="BP93" s="124"/>
      <c r="BQ93" s="125"/>
      <c r="BR93" s="122"/>
      <c r="BS93" s="123"/>
      <c r="BT93" s="111"/>
      <c r="BU93" s="115"/>
      <c r="BV93" s="115"/>
      <c r="BW93" s="112"/>
      <c r="BX93" s="122"/>
      <c r="BY93" s="123"/>
      <c r="BZ93" s="124"/>
      <c r="CA93" s="125"/>
      <c r="CB93" s="122"/>
      <c r="CC93" s="123"/>
      <c r="CD93" s="124"/>
      <c r="CE93" s="125"/>
      <c r="CF93" s="162"/>
      <c r="CG93" s="164"/>
      <c r="CH93" s="164"/>
      <c r="CI93" s="164"/>
      <c r="CJ93" s="124"/>
      <c r="CK93" s="125"/>
      <c r="CL93" s="122"/>
      <c r="CM93" s="123"/>
      <c r="CN93" s="124"/>
      <c r="CO93" s="125"/>
      <c r="CP93" s="122"/>
      <c r="CQ93" s="123"/>
    </row>
    <row r="94" spans="1:95" s="116" customFormat="1" ht="25.5" hidden="1" customHeight="1" x14ac:dyDescent="0.6">
      <c r="A94" s="110">
        <v>92</v>
      </c>
      <c r="B94" s="117"/>
      <c r="C94" s="118"/>
      <c r="D94" s="119"/>
      <c r="E94" s="120"/>
      <c r="F94" s="117"/>
      <c r="G94" s="118"/>
      <c r="H94" s="119"/>
      <c r="I94" s="120"/>
      <c r="J94" s="117"/>
      <c r="K94" s="118"/>
      <c r="L94" s="119"/>
      <c r="M94" s="120"/>
      <c r="N94" s="117"/>
      <c r="O94" s="118"/>
      <c r="P94" s="119"/>
      <c r="Q94" s="120"/>
      <c r="R94" s="117"/>
      <c r="S94" s="118"/>
      <c r="T94" s="119"/>
      <c r="U94" s="120"/>
      <c r="V94" s="117"/>
      <c r="W94" s="118"/>
      <c r="X94" s="119"/>
      <c r="Y94" s="120"/>
      <c r="Z94" s="117"/>
      <c r="AA94" s="118"/>
      <c r="AB94" s="119"/>
      <c r="AC94" s="120"/>
      <c r="AD94" s="117"/>
      <c r="AE94" s="118"/>
      <c r="AF94" s="119"/>
      <c r="AG94" s="120"/>
      <c r="AH94" s="117"/>
      <c r="AI94" s="118"/>
      <c r="AJ94" s="119"/>
      <c r="AK94" s="120"/>
      <c r="AL94" s="117"/>
      <c r="AM94" s="118"/>
      <c r="AN94" s="119"/>
      <c r="AO94" s="120"/>
      <c r="AP94" s="117"/>
      <c r="AQ94" s="118"/>
      <c r="AR94" s="119"/>
      <c r="AS94" s="120"/>
      <c r="AT94" s="117"/>
      <c r="AU94" s="118"/>
      <c r="AV94" s="119"/>
      <c r="AW94" s="120"/>
      <c r="AX94" s="124"/>
      <c r="AY94" s="125"/>
      <c r="AZ94" s="122"/>
      <c r="BA94" s="123"/>
      <c r="BB94" s="124"/>
      <c r="BC94" s="125"/>
      <c r="BD94" s="122"/>
      <c r="BE94" s="123"/>
      <c r="BF94" s="124"/>
      <c r="BG94" s="125"/>
      <c r="BH94" s="122"/>
      <c r="BI94" s="123"/>
      <c r="BJ94" s="124"/>
      <c r="BK94" s="126"/>
      <c r="BL94" s="126"/>
      <c r="BM94" s="125"/>
      <c r="BN94" s="122"/>
      <c r="BO94" s="123"/>
      <c r="BP94" s="124"/>
      <c r="BQ94" s="125"/>
      <c r="BR94" s="122"/>
      <c r="BS94" s="123"/>
      <c r="BT94" s="111"/>
      <c r="BU94" s="115"/>
      <c r="BV94" s="115"/>
      <c r="BW94" s="112"/>
      <c r="BX94" s="122"/>
      <c r="BY94" s="123"/>
      <c r="BZ94" s="124"/>
      <c r="CA94" s="125"/>
      <c r="CB94" s="122"/>
      <c r="CC94" s="123"/>
      <c r="CD94" s="124"/>
      <c r="CE94" s="125"/>
      <c r="CF94" s="162"/>
      <c r="CG94" s="164"/>
      <c r="CH94" s="164"/>
      <c r="CI94" s="164"/>
      <c r="CJ94" s="124"/>
      <c r="CK94" s="125"/>
      <c r="CL94" s="122"/>
      <c r="CM94" s="123"/>
      <c r="CN94" s="124"/>
      <c r="CO94" s="125"/>
      <c r="CP94" s="122"/>
      <c r="CQ94" s="123"/>
    </row>
    <row r="95" spans="1:95" s="116" customFormat="1" ht="25.5" hidden="1" customHeight="1" x14ac:dyDescent="0.6">
      <c r="A95" s="110">
        <v>93</v>
      </c>
      <c r="B95" s="117"/>
      <c r="C95" s="118"/>
      <c r="D95" s="119"/>
      <c r="E95" s="120"/>
      <c r="F95" s="117"/>
      <c r="G95" s="118"/>
      <c r="H95" s="119"/>
      <c r="I95" s="120"/>
      <c r="J95" s="117"/>
      <c r="K95" s="118"/>
      <c r="L95" s="119"/>
      <c r="M95" s="120"/>
      <c r="N95" s="117"/>
      <c r="O95" s="118"/>
      <c r="P95" s="119"/>
      <c r="Q95" s="120"/>
      <c r="R95" s="117"/>
      <c r="S95" s="118"/>
      <c r="T95" s="119"/>
      <c r="U95" s="120"/>
      <c r="V95" s="117"/>
      <c r="W95" s="118"/>
      <c r="X95" s="119"/>
      <c r="Y95" s="120"/>
      <c r="Z95" s="117"/>
      <c r="AA95" s="118"/>
      <c r="AB95" s="119"/>
      <c r="AC95" s="120"/>
      <c r="AD95" s="117"/>
      <c r="AE95" s="118"/>
      <c r="AF95" s="119"/>
      <c r="AG95" s="120"/>
      <c r="AH95" s="117"/>
      <c r="AI95" s="118"/>
      <c r="AJ95" s="119"/>
      <c r="AK95" s="120"/>
      <c r="AL95" s="117"/>
      <c r="AM95" s="118"/>
      <c r="AN95" s="119"/>
      <c r="AO95" s="120"/>
      <c r="AP95" s="117"/>
      <c r="AQ95" s="118"/>
      <c r="AR95" s="119"/>
      <c r="AS95" s="120"/>
      <c r="AT95" s="117"/>
      <c r="AU95" s="118"/>
      <c r="AV95" s="119"/>
      <c r="AW95" s="120"/>
      <c r="AX95" s="124"/>
      <c r="AY95" s="125"/>
      <c r="AZ95" s="122"/>
      <c r="BA95" s="123"/>
      <c r="BB95" s="124"/>
      <c r="BC95" s="125"/>
      <c r="BD95" s="122"/>
      <c r="BE95" s="123"/>
      <c r="BF95" s="124"/>
      <c r="BG95" s="125"/>
      <c r="BH95" s="122"/>
      <c r="BI95" s="123"/>
      <c r="BJ95" s="124"/>
      <c r="BK95" s="126"/>
      <c r="BL95" s="126"/>
      <c r="BM95" s="125"/>
      <c r="BN95" s="122"/>
      <c r="BO95" s="123"/>
      <c r="BP95" s="124"/>
      <c r="BQ95" s="125"/>
      <c r="BR95" s="122"/>
      <c r="BS95" s="123"/>
      <c r="BT95" s="111"/>
      <c r="BU95" s="115"/>
      <c r="BV95" s="115"/>
      <c r="BW95" s="112"/>
      <c r="BX95" s="122"/>
      <c r="BY95" s="123"/>
      <c r="BZ95" s="124"/>
      <c r="CA95" s="125"/>
      <c r="CB95" s="122"/>
      <c r="CC95" s="123"/>
      <c r="CD95" s="124"/>
      <c r="CE95" s="125"/>
      <c r="CF95" s="162"/>
      <c r="CG95" s="164"/>
      <c r="CH95" s="164"/>
      <c r="CI95" s="164"/>
      <c r="CJ95" s="124"/>
      <c r="CK95" s="125"/>
      <c r="CL95" s="122"/>
      <c r="CM95" s="123"/>
      <c r="CN95" s="124"/>
      <c r="CO95" s="125"/>
      <c r="CP95" s="122"/>
      <c r="CQ95" s="123"/>
    </row>
    <row r="96" spans="1:95" s="116" customFormat="1" ht="25.5" hidden="1" customHeight="1" x14ac:dyDescent="0.6">
      <c r="A96" s="110">
        <v>94</v>
      </c>
      <c r="B96" s="117"/>
      <c r="C96" s="118"/>
      <c r="D96" s="119"/>
      <c r="E96" s="120"/>
      <c r="F96" s="117"/>
      <c r="G96" s="118"/>
      <c r="H96" s="119"/>
      <c r="I96" s="120"/>
      <c r="J96" s="117"/>
      <c r="K96" s="118"/>
      <c r="L96" s="119"/>
      <c r="M96" s="120"/>
      <c r="N96" s="117"/>
      <c r="O96" s="118"/>
      <c r="P96" s="119"/>
      <c r="Q96" s="120"/>
      <c r="R96" s="117"/>
      <c r="S96" s="118"/>
      <c r="T96" s="119"/>
      <c r="U96" s="120"/>
      <c r="V96" s="117"/>
      <c r="W96" s="118"/>
      <c r="X96" s="119"/>
      <c r="Y96" s="120"/>
      <c r="Z96" s="117"/>
      <c r="AA96" s="118"/>
      <c r="AB96" s="119"/>
      <c r="AC96" s="120"/>
      <c r="AD96" s="117"/>
      <c r="AE96" s="118"/>
      <c r="AF96" s="119"/>
      <c r="AG96" s="120"/>
      <c r="AH96" s="117"/>
      <c r="AI96" s="118"/>
      <c r="AJ96" s="119"/>
      <c r="AK96" s="120"/>
      <c r="AL96" s="117"/>
      <c r="AM96" s="118"/>
      <c r="AN96" s="119"/>
      <c r="AO96" s="120"/>
      <c r="AP96" s="117"/>
      <c r="AQ96" s="118"/>
      <c r="AR96" s="119"/>
      <c r="AS96" s="120"/>
      <c r="AT96" s="117"/>
      <c r="AU96" s="118"/>
      <c r="AV96" s="119"/>
      <c r="AW96" s="120"/>
      <c r="AX96" s="124"/>
      <c r="AY96" s="125"/>
      <c r="AZ96" s="122"/>
      <c r="BA96" s="123"/>
      <c r="BB96" s="124"/>
      <c r="BC96" s="125"/>
      <c r="BD96" s="122"/>
      <c r="BE96" s="123"/>
      <c r="BF96" s="124"/>
      <c r="BG96" s="125"/>
      <c r="BH96" s="122"/>
      <c r="BI96" s="123"/>
      <c r="BJ96" s="124"/>
      <c r="BK96" s="126"/>
      <c r="BL96" s="126"/>
      <c r="BM96" s="125"/>
      <c r="BN96" s="122"/>
      <c r="BO96" s="123"/>
      <c r="BP96" s="124"/>
      <c r="BQ96" s="125"/>
      <c r="BR96" s="122"/>
      <c r="BS96" s="123"/>
      <c r="BT96" s="111"/>
      <c r="BU96" s="115"/>
      <c r="BV96" s="115"/>
      <c r="BW96" s="112"/>
      <c r="BX96" s="122"/>
      <c r="BY96" s="123"/>
      <c r="BZ96" s="124"/>
      <c r="CA96" s="125"/>
      <c r="CB96" s="122"/>
      <c r="CC96" s="123"/>
      <c r="CD96" s="124"/>
      <c r="CE96" s="125"/>
      <c r="CF96" s="162"/>
      <c r="CG96" s="164"/>
      <c r="CH96" s="164"/>
      <c r="CI96" s="164"/>
      <c r="CJ96" s="124"/>
      <c r="CK96" s="125"/>
      <c r="CL96" s="122"/>
      <c r="CM96" s="123"/>
      <c r="CN96" s="124"/>
      <c r="CO96" s="125"/>
      <c r="CP96" s="122"/>
      <c r="CQ96" s="123"/>
    </row>
    <row r="97" spans="1:95" s="116" customFormat="1" ht="25.5" hidden="1" customHeight="1" x14ac:dyDescent="0.6">
      <c r="A97" s="110">
        <v>95</v>
      </c>
      <c r="B97" s="117"/>
      <c r="C97" s="118"/>
      <c r="D97" s="119"/>
      <c r="E97" s="120"/>
      <c r="F97" s="117"/>
      <c r="G97" s="118"/>
      <c r="H97" s="119"/>
      <c r="I97" s="120"/>
      <c r="J97" s="117"/>
      <c r="K97" s="118"/>
      <c r="L97" s="119"/>
      <c r="M97" s="120"/>
      <c r="N97" s="117"/>
      <c r="O97" s="118"/>
      <c r="P97" s="119"/>
      <c r="Q97" s="120"/>
      <c r="R97" s="117"/>
      <c r="S97" s="118"/>
      <c r="T97" s="119"/>
      <c r="U97" s="120"/>
      <c r="V97" s="117"/>
      <c r="W97" s="118"/>
      <c r="X97" s="119"/>
      <c r="Y97" s="120"/>
      <c r="Z97" s="117"/>
      <c r="AA97" s="118"/>
      <c r="AB97" s="119"/>
      <c r="AC97" s="120"/>
      <c r="AD97" s="117"/>
      <c r="AE97" s="118"/>
      <c r="AF97" s="119"/>
      <c r="AG97" s="120"/>
      <c r="AH97" s="117"/>
      <c r="AI97" s="118"/>
      <c r="AJ97" s="119"/>
      <c r="AK97" s="120"/>
      <c r="AL97" s="117"/>
      <c r="AM97" s="118"/>
      <c r="AN97" s="119"/>
      <c r="AO97" s="120"/>
      <c r="AP97" s="117"/>
      <c r="AQ97" s="118"/>
      <c r="AR97" s="119"/>
      <c r="AS97" s="120"/>
      <c r="AT97" s="117"/>
      <c r="AU97" s="118"/>
      <c r="AV97" s="119"/>
      <c r="AW97" s="120"/>
      <c r="AX97" s="124"/>
      <c r="AY97" s="125"/>
      <c r="AZ97" s="122"/>
      <c r="BA97" s="123"/>
      <c r="BB97" s="124"/>
      <c r="BC97" s="125"/>
      <c r="BD97" s="122"/>
      <c r="BE97" s="123"/>
      <c r="BF97" s="124"/>
      <c r="BG97" s="125"/>
      <c r="BH97" s="122"/>
      <c r="BI97" s="123"/>
      <c r="BJ97" s="124"/>
      <c r="BK97" s="126"/>
      <c r="BL97" s="126"/>
      <c r="BM97" s="125"/>
      <c r="BN97" s="122"/>
      <c r="BO97" s="123"/>
      <c r="BP97" s="124"/>
      <c r="BQ97" s="125"/>
      <c r="BR97" s="122"/>
      <c r="BS97" s="123"/>
      <c r="BT97" s="111"/>
      <c r="BU97" s="115"/>
      <c r="BV97" s="115"/>
      <c r="BW97" s="112"/>
      <c r="BX97" s="122"/>
      <c r="BY97" s="123"/>
      <c r="BZ97" s="124"/>
      <c r="CA97" s="125"/>
      <c r="CB97" s="122"/>
      <c r="CC97" s="123"/>
      <c r="CD97" s="124"/>
      <c r="CE97" s="125"/>
      <c r="CF97" s="162"/>
      <c r="CG97" s="164"/>
      <c r="CH97" s="164"/>
      <c r="CI97" s="164"/>
      <c r="CJ97" s="124"/>
      <c r="CK97" s="125"/>
      <c r="CL97" s="122"/>
      <c r="CM97" s="123"/>
      <c r="CN97" s="124"/>
      <c r="CO97" s="125"/>
      <c r="CP97" s="122"/>
      <c r="CQ97" s="123"/>
    </row>
    <row r="98" spans="1:95" s="116" customFormat="1" ht="25.5" hidden="1" customHeight="1" x14ac:dyDescent="0.6">
      <c r="A98" s="110">
        <v>96</v>
      </c>
      <c r="B98" s="117"/>
      <c r="C98" s="118"/>
      <c r="D98" s="119"/>
      <c r="E98" s="120"/>
      <c r="F98" s="117"/>
      <c r="G98" s="118"/>
      <c r="H98" s="119"/>
      <c r="I98" s="120"/>
      <c r="J98" s="117"/>
      <c r="K98" s="118"/>
      <c r="L98" s="119"/>
      <c r="M98" s="120"/>
      <c r="N98" s="117"/>
      <c r="O98" s="118"/>
      <c r="P98" s="119"/>
      <c r="Q98" s="120"/>
      <c r="R98" s="117"/>
      <c r="S98" s="118"/>
      <c r="T98" s="119"/>
      <c r="U98" s="120"/>
      <c r="V98" s="117"/>
      <c r="W98" s="118"/>
      <c r="X98" s="119"/>
      <c r="Y98" s="120"/>
      <c r="Z98" s="117"/>
      <c r="AA98" s="118"/>
      <c r="AB98" s="119"/>
      <c r="AC98" s="120"/>
      <c r="AD98" s="117"/>
      <c r="AE98" s="118"/>
      <c r="AF98" s="119"/>
      <c r="AG98" s="120"/>
      <c r="AH98" s="117"/>
      <c r="AI98" s="118"/>
      <c r="AJ98" s="119"/>
      <c r="AK98" s="120"/>
      <c r="AL98" s="117"/>
      <c r="AM98" s="118"/>
      <c r="AN98" s="119"/>
      <c r="AO98" s="120"/>
      <c r="AP98" s="117"/>
      <c r="AQ98" s="118"/>
      <c r="AR98" s="119"/>
      <c r="AS98" s="120"/>
      <c r="AT98" s="117"/>
      <c r="AU98" s="118"/>
      <c r="AV98" s="119"/>
      <c r="AW98" s="120"/>
      <c r="AX98" s="124"/>
      <c r="AY98" s="125"/>
      <c r="AZ98" s="122"/>
      <c r="BA98" s="123"/>
      <c r="BB98" s="124"/>
      <c r="BC98" s="125"/>
      <c r="BD98" s="122"/>
      <c r="BE98" s="123"/>
      <c r="BF98" s="124"/>
      <c r="BG98" s="125"/>
      <c r="BH98" s="122"/>
      <c r="BI98" s="123"/>
      <c r="BJ98" s="124"/>
      <c r="BK98" s="126"/>
      <c r="BL98" s="126"/>
      <c r="BM98" s="125"/>
      <c r="BN98" s="122"/>
      <c r="BO98" s="123"/>
      <c r="BP98" s="124"/>
      <c r="BQ98" s="125"/>
      <c r="BR98" s="122"/>
      <c r="BS98" s="123"/>
      <c r="BT98" s="111"/>
      <c r="BU98" s="115"/>
      <c r="BV98" s="115"/>
      <c r="BW98" s="112"/>
      <c r="BX98" s="122"/>
      <c r="BY98" s="123"/>
      <c r="BZ98" s="124"/>
      <c r="CA98" s="125"/>
      <c r="CB98" s="122"/>
      <c r="CC98" s="123"/>
      <c r="CD98" s="124"/>
      <c r="CE98" s="125"/>
      <c r="CF98" s="162"/>
      <c r="CG98" s="164"/>
      <c r="CH98" s="164"/>
      <c r="CI98" s="164"/>
      <c r="CJ98" s="124"/>
      <c r="CK98" s="125"/>
      <c r="CL98" s="122"/>
      <c r="CM98" s="123"/>
      <c r="CN98" s="124"/>
      <c r="CO98" s="125"/>
      <c r="CP98" s="122"/>
      <c r="CQ98" s="123"/>
    </row>
    <row r="99" spans="1:95" s="116" customFormat="1" ht="25.5" hidden="1" customHeight="1" x14ac:dyDescent="0.6">
      <c r="A99" s="110">
        <v>97</v>
      </c>
      <c r="B99" s="124"/>
      <c r="C99" s="125"/>
      <c r="D99" s="122"/>
      <c r="E99" s="123"/>
      <c r="F99" s="124"/>
      <c r="G99" s="125"/>
      <c r="H99" s="122"/>
      <c r="I99" s="123"/>
      <c r="J99" s="124"/>
      <c r="K99" s="125"/>
      <c r="L99" s="122"/>
      <c r="M99" s="123"/>
      <c r="N99" s="124"/>
      <c r="O99" s="125"/>
      <c r="P99" s="122"/>
      <c r="Q99" s="123"/>
      <c r="R99" s="124"/>
      <c r="S99" s="125"/>
      <c r="T99" s="122"/>
      <c r="U99" s="123"/>
      <c r="V99" s="124"/>
      <c r="W99" s="125"/>
      <c r="X99" s="122"/>
      <c r="Y99" s="123"/>
      <c r="Z99" s="124"/>
      <c r="AA99" s="125"/>
      <c r="AB99" s="122"/>
      <c r="AC99" s="123"/>
      <c r="AD99" s="124"/>
      <c r="AE99" s="125"/>
      <c r="AF99" s="122"/>
      <c r="AG99" s="123"/>
      <c r="AH99" s="124"/>
      <c r="AI99" s="125"/>
      <c r="AJ99" s="122"/>
      <c r="AK99" s="123"/>
      <c r="AL99" s="124"/>
      <c r="AM99" s="125"/>
      <c r="AN99" s="122"/>
      <c r="AO99" s="123"/>
      <c r="AP99" s="124"/>
      <c r="AQ99" s="125"/>
      <c r="AR99" s="122"/>
      <c r="AS99" s="123"/>
      <c r="AT99" s="124"/>
      <c r="AU99" s="125"/>
      <c r="AV99" s="122"/>
      <c r="AW99" s="123"/>
      <c r="AX99" s="124"/>
      <c r="AY99" s="125"/>
      <c r="AZ99" s="122"/>
      <c r="BA99" s="123"/>
      <c r="BB99" s="124"/>
      <c r="BC99" s="125"/>
      <c r="BD99" s="122"/>
      <c r="BE99" s="123"/>
      <c r="BF99" s="124"/>
      <c r="BG99" s="125"/>
      <c r="BH99" s="122"/>
      <c r="BI99" s="123"/>
      <c r="BJ99" s="124"/>
      <c r="BK99" s="126"/>
      <c r="BL99" s="126"/>
      <c r="BM99" s="125"/>
      <c r="BN99" s="122"/>
      <c r="BO99" s="123"/>
      <c r="BP99" s="124"/>
      <c r="BQ99" s="125"/>
      <c r="BR99" s="122"/>
      <c r="BS99" s="123"/>
      <c r="BT99" s="111"/>
      <c r="BU99" s="115"/>
      <c r="BV99" s="115"/>
      <c r="BW99" s="112"/>
      <c r="BX99" s="122"/>
      <c r="BY99" s="123"/>
      <c r="BZ99" s="124"/>
      <c r="CA99" s="125"/>
      <c r="CB99" s="122"/>
      <c r="CC99" s="123"/>
      <c r="CD99" s="124"/>
      <c r="CE99" s="125"/>
      <c r="CF99" s="162"/>
      <c r="CG99" s="164"/>
      <c r="CH99" s="164"/>
      <c r="CI99" s="164"/>
      <c r="CJ99" s="124"/>
      <c r="CK99" s="125"/>
      <c r="CL99" s="122"/>
      <c r="CM99" s="123"/>
      <c r="CN99" s="124"/>
      <c r="CO99" s="125"/>
      <c r="CP99" s="122"/>
      <c r="CQ99" s="123"/>
    </row>
    <row r="100" spans="1:95" s="116" customFormat="1" ht="25.5" x14ac:dyDescent="0.25">
      <c r="A100" s="110">
        <v>98</v>
      </c>
      <c r="B100" s="127"/>
      <c r="C100" s="128"/>
      <c r="D100" s="129"/>
      <c r="E100" s="130"/>
      <c r="F100" s="127"/>
      <c r="G100" s="128"/>
      <c r="H100" s="129"/>
      <c r="I100" s="130"/>
      <c r="J100" s="127"/>
      <c r="K100" s="128"/>
      <c r="L100" s="129"/>
      <c r="M100" s="130"/>
      <c r="N100" s="127"/>
      <c r="O100" s="128"/>
      <c r="P100" s="129"/>
      <c r="Q100" s="130"/>
      <c r="R100" s="127"/>
      <c r="S100" s="128"/>
      <c r="T100" s="129"/>
      <c r="U100" s="130"/>
      <c r="V100" s="127"/>
      <c r="W100" s="128"/>
      <c r="X100" s="129"/>
      <c r="Y100" s="130"/>
      <c r="Z100" s="127"/>
      <c r="AA100" s="128"/>
      <c r="AB100" s="129"/>
      <c r="AC100" s="130"/>
      <c r="AD100" s="127"/>
      <c r="AE100" s="128"/>
      <c r="AF100" s="129"/>
      <c r="AG100" s="130"/>
      <c r="AH100" s="127"/>
      <c r="AI100" s="128"/>
      <c r="AJ100" s="129"/>
      <c r="AK100" s="130"/>
      <c r="AL100" s="127"/>
      <c r="AM100" s="128"/>
      <c r="AN100" s="129"/>
      <c r="AO100" s="130"/>
      <c r="AP100" s="127"/>
      <c r="AQ100" s="128"/>
      <c r="AR100" s="129"/>
      <c r="AS100" s="130"/>
      <c r="AT100" s="127"/>
      <c r="AU100" s="128"/>
      <c r="AV100" s="129"/>
      <c r="AW100" s="130"/>
      <c r="AX100" s="127"/>
      <c r="AY100" s="128"/>
      <c r="AZ100" s="129"/>
      <c r="BA100" s="130"/>
      <c r="BB100" s="127"/>
      <c r="BC100" s="128"/>
      <c r="BD100" s="129"/>
      <c r="BE100" s="130"/>
      <c r="BF100" s="127">
        <f>783.8</f>
        <v>783.8</v>
      </c>
      <c r="BG100" s="128">
        <f>798.3</f>
        <v>798.3</v>
      </c>
      <c r="BH100" s="129">
        <f>818.1</f>
        <v>818.1</v>
      </c>
      <c r="BI100" s="130">
        <f>829</f>
        <v>829</v>
      </c>
      <c r="BJ100" s="127">
        <v>937</v>
      </c>
      <c r="BK100" s="131">
        <v>1053.5</v>
      </c>
      <c r="BL100" s="131">
        <v>1124.5999999999999</v>
      </c>
      <c r="BM100" s="128">
        <v>1176.4000000000001</v>
      </c>
      <c r="BN100" s="129">
        <f>1186.9</f>
        <v>1186.9000000000001</v>
      </c>
      <c r="BO100" s="130">
        <f>1245.1</f>
        <v>1245.0999999999999</v>
      </c>
      <c r="BP100" s="127">
        <v>1448.6</v>
      </c>
      <c r="BQ100" s="128">
        <v>1526.6</v>
      </c>
      <c r="BR100" s="129">
        <v>1611.1</v>
      </c>
      <c r="BS100" s="130">
        <v>1709.2</v>
      </c>
      <c r="BT100" s="127">
        <v>2066.3000000000002</v>
      </c>
      <c r="BU100" s="128">
        <f>2422.6</f>
        <v>2422.6</v>
      </c>
      <c r="BV100" s="128">
        <f>2526.7</f>
        <v>2526.6999999999998</v>
      </c>
      <c r="BW100" s="128">
        <f>2724.8</f>
        <v>2724.8</v>
      </c>
      <c r="BX100" s="129">
        <v>2928.2</v>
      </c>
      <c r="BY100" s="129">
        <v>3074.3</v>
      </c>
      <c r="BZ100" s="127">
        <v>3926.6</v>
      </c>
      <c r="CA100" s="128">
        <v>4227.3</v>
      </c>
      <c r="CB100" s="129">
        <v>4278.1000000000004</v>
      </c>
      <c r="CC100" s="130">
        <v>4389.8999999999996</v>
      </c>
      <c r="CD100" s="127">
        <v>5416.9</v>
      </c>
      <c r="CE100" s="128">
        <v>5539.1</v>
      </c>
      <c r="CF100" s="165">
        <v>5906.9</v>
      </c>
      <c r="CG100" s="166">
        <v>6309.4</v>
      </c>
      <c r="CH100" s="166">
        <v>6399.1</v>
      </c>
      <c r="CI100" s="166">
        <v>6592.1</v>
      </c>
      <c r="CJ100" s="127"/>
      <c r="CK100" s="128"/>
      <c r="CL100" s="129"/>
      <c r="CM100" s="130"/>
      <c r="CN100" s="127"/>
      <c r="CO100" s="128"/>
      <c r="CP100" s="129"/>
      <c r="CQ100" s="130"/>
    </row>
  </sheetData>
  <mergeCells count="22">
    <mergeCell ref="V1:Y1"/>
    <mergeCell ref="B1:E1"/>
    <mergeCell ref="F1:I1"/>
    <mergeCell ref="J1:M1"/>
    <mergeCell ref="N1:Q1"/>
    <mergeCell ref="R1:U1"/>
    <mergeCell ref="CN1:CQ1"/>
    <mergeCell ref="AT1:AW1"/>
    <mergeCell ref="AX1:BA1"/>
    <mergeCell ref="Z1:AC1"/>
    <mergeCell ref="AD1:AG1"/>
    <mergeCell ref="AH1:AK1"/>
    <mergeCell ref="AL1:AO1"/>
    <mergeCell ref="AP1:AS1"/>
    <mergeCell ref="CJ1:CM1"/>
    <mergeCell ref="BB1:BE1"/>
    <mergeCell ref="BF1:BI1"/>
    <mergeCell ref="BJ1:BO1"/>
    <mergeCell ref="BP1:BS1"/>
    <mergeCell ref="CD1:CI1"/>
    <mergeCell ref="BZ1:CC1"/>
    <mergeCell ref="BT1:BY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Q100"/>
  <sheetViews>
    <sheetView rightToLeft="1" view="pageBreakPreview" topLeftCell="BC1" zoomScale="60" zoomScaleNormal="100" workbookViewId="0">
      <selection activeCell="CE107" sqref="CE107"/>
    </sheetView>
  </sheetViews>
  <sheetFormatPr defaultRowHeight="15" x14ac:dyDescent="0.25"/>
  <sheetData>
    <row r="1" spans="1:95" ht="22.5" x14ac:dyDescent="0.25">
      <c r="A1" s="7" t="s">
        <v>1</v>
      </c>
      <c r="B1" s="235">
        <v>1382</v>
      </c>
      <c r="C1" s="235"/>
      <c r="D1" s="235"/>
      <c r="E1" s="235"/>
      <c r="F1" s="235">
        <v>1383</v>
      </c>
      <c r="G1" s="235"/>
      <c r="H1" s="235"/>
      <c r="I1" s="235"/>
      <c r="J1" s="235">
        <v>1384</v>
      </c>
      <c r="K1" s="235"/>
      <c r="L1" s="235"/>
      <c r="M1" s="235"/>
      <c r="N1" s="235">
        <v>1385</v>
      </c>
      <c r="O1" s="235"/>
      <c r="P1" s="235"/>
      <c r="Q1" s="235"/>
      <c r="R1" s="235">
        <v>1386</v>
      </c>
      <c r="S1" s="235"/>
      <c r="T1" s="235"/>
      <c r="U1" s="235"/>
      <c r="V1" s="235">
        <v>1387</v>
      </c>
      <c r="W1" s="235"/>
      <c r="X1" s="235"/>
      <c r="Y1" s="235"/>
      <c r="Z1" s="235">
        <v>1388</v>
      </c>
      <c r="AA1" s="235"/>
      <c r="AB1" s="235"/>
      <c r="AC1" s="235"/>
      <c r="AD1" s="235">
        <v>1389</v>
      </c>
      <c r="AE1" s="235"/>
      <c r="AF1" s="235"/>
      <c r="AG1" s="235"/>
      <c r="AH1" s="235">
        <v>1390</v>
      </c>
      <c r="AI1" s="235"/>
      <c r="AJ1" s="235"/>
      <c r="AK1" s="235"/>
      <c r="AL1" s="235">
        <v>1391</v>
      </c>
      <c r="AM1" s="235"/>
      <c r="AN1" s="235"/>
      <c r="AO1" s="235"/>
      <c r="AP1" s="235">
        <v>1392</v>
      </c>
      <c r="AQ1" s="235"/>
      <c r="AR1" s="235"/>
      <c r="AS1" s="235"/>
      <c r="AT1" s="235">
        <v>1393</v>
      </c>
      <c r="AU1" s="235"/>
      <c r="AV1" s="235"/>
      <c r="AW1" s="235"/>
      <c r="AX1" s="235">
        <v>1394</v>
      </c>
      <c r="AY1" s="235"/>
      <c r="AZ1" s="235"/>
      <c r="BA1" s="235"/>
      <c r="BB1" s="235">
        <v>1395</v>
      </c>
      <c r="BC1" s="235"/>
      <c r="BD1" s="235"/>
      <c r="BE1" s="235"/>
      <c r="BF1" s="235">
        <v>1396</v>
      </c>
      <c r="BG1" s="235"/>
      <c r="BH1" s="235"/>
      <c r="BI1" s="235"/>
      <c r="BJ1" s="235">
        <v>1397</v>
      </c>
      <c r="BK1" s="235"/>
      <c r="BL1" s="235"/>
      <c r="BM1" s="235"/>
      <c r="BN1" s="235"/>
      <c r="BO1" s="235"/>
      <c r="BP1" s="235">
        <v>1398</v>
      </c>
      <c r="BQ1" s="235"/>
      <c r="BR1" s="235"/>
      <c r="BS1" s="235"/>
      <c r="BT1" s="235">
        <v>1399</v>
      </c>
      <c r="BU1" s="235"/>
      <c r="BV1" s="235"/>
      <c r="BW1" s="235"/>
      <c r="BX1" s="235"/>
      <c r="BY1" s="235"/>
      <c r="BZ1" s="235">
        <v>1400</v>
      </c>
      <c r="CA1" s="235"/>
      <c r="CB1" s="235"/>
      <c r="CC1" s="235"/>
      <c r="CD1" s="239">
        <v>1401</v>
      </c>
      <c r="CE1" s="240"/>
      <c r="CF1" s="240"/>
      <c r="CG1" s="240"/>
      <c r="CH1" s="240"/>
      <c r="CI1" s="240"/>
      <c r="CJ1" s="235">
        <v>1402</v>
      </c>
      <c r="CK1" s="235"/>
      <c r="CL1" s="235"/>
      <c r="CM1" s="235"/>
      <c r="CN1" s="235">
        <v>1403</v>
      </c>
      <c r="CO1" s="235"/>
      <c r="CP1" s="235"/>
      <c r="CQ1" s="235"/>
    </row>
    <row r="2" spans="1:95" ht="22.5" x14ac:dyDescent="0.25">
      <c r="A2" s="7" t="s">
        <v>3</v>
      </c>
      <c r="B2" s="8" t="s">
        <v>4</v>
      </c>
      <c r="C2" s="9" t="s">
        <v>2</v>
      </c>
      <c r="D2" s="10" t="s">
        <v>5</v>
      </c>
      <c r="E2" s="11" t="s">
        <v>6</v>
      </c>
      <c r="F2" s="8" t="s">
        <v>4</v>
      </c>
      <c r="G2" s="9" t="s">
        <v>2</v>
      </c>
      <c r="H2" s="10" t="s">
        <v>5</v>
      </c>
      <c r="I2" s="11" t="s">
        <v>6</v>
      </c>
      <c r="J2" s="8" t="s">
        <v>4</v>
      </c>
      <c r="K2" s="9" t="s">
        <v>2</v>
      </c>
      <c r="L2" s="10" t="s">
        <v>5</v>
      </c>
      <c r="M2" s="11" t="s">
        <v>6</v>
      </c>
      <c r="N2" s="8" t="s">
        <v>4</v>
      </c>
      <c r="O2" s="9" t="s">
        <v>2</v>
      </c>
      <c r="P2" s="10" t="s">
        <v>5</v>
      </c>
      <c r="Q2" s="11" t="s">
        <v>6</v>
      </c>
      <c r="R2" s="8" t="s">
        <v>4</v>
      </c>
      <c r="S2" s="9" t="s">
        <v>2</v>
      </c>
      <c r="T2" s="10" t="s">
        <v>5</v>
      </c>
      <c r="U2" s="11" t="s">
        <v>6</v>
      </c>
      <c r="V2" s="8" t="s">
        <v>4</v>
      </c>
      <c r="W2" s="9" t="s">
        <v>2</v>
      </c>
      <c r="X2" s="10" t="s">
        <v>5</v>
      </c>
      <c r="Y2" s="11" t="s">
        <v>6</v>
      </c>
      <c r="Z2" s="8" t="s">
        <v>4</v>
      </c>
      <c r="AA2" s="9" t="s">
        <v>2</v>
      </c>
      <c r="AB2" s="10" t="s">
        <v>5</v>
      </c>
      <c r="AC2" s="11" t="s">
        <v>6</v>
      </c>
      <c r="AD2" s="8" t="s">
        <v>4</v>
      </c>
      <c r="AE2" s="9" t="s">
        <v>2</v>
      </c>
      <c r="AF2" s="10" t="s">
        <v>5</v>
      </c>
      <c r="AG2" s="11" t="s">
        <v>6</v>
      </c>
      <c r="AH2" s="8" t="s">
        <v>4</v>
      </c>
      <c r="AI2" s="9" t="s">
        <v>2</v>
      </c>
      <c r="AJ2" s="10" t="s">
        <v>5</v>
      </c>
      <c r="AK2" s="11" t="s">
        <v>6</v>
      </c>
      <c r="AL2" s="8" t="s">
        <v>4</v>
      </c>
      <c r="AM2" s="9" t="s">
        <v>2</v>
      </c>
      <c r="AN2" s="10" t="s">
        <v>5</v>
      </c>
      <c r="AO2" s="11" t="s">
        <v>6</v>
      </c>
      <c r="AP2" s="8" t="s">
        <v>4</v>
      </c>
      <c r="AQ2" s="9" t="s">
        <v>2</v>
      </c>
      <c r="AR2" s="10" t="s">
        <v>5</v>
      </c>
      <c r="AS2" s="11" t="s">
        <v>6</v>
      </c>
      <c r="AT2" s="8" t="s">
        <v>4</v>
      </c>
      <c r="AU2" s="9" t="s">
        <v>2</v>
      </c>
      <c r="AV2" s="10" t="s">
        <v>5</v>
      </c>
      <c r="AW2" s="11" t="s">
        <v>6</v>
      </c>
      <c r="AX2" s="8" t="s">
        <v>4</v>
      </c>
      <c r="AY2" s="9" t="s">
        <v>2</v>
      </c>
      <c r="AZ2" s="10" t="s">
        <v>5</v>
      </c>
      <c r="BA2" s="11" t="s">
        <v>6</v>
      </c>
      <c r="BB2" s="8" t="s">
        <v>4</v>
      </c>
      <c r="BC2" s="9" t="s">
        <v>2</v>
      </c>
      <c r="BD2" s="10" t="s">
        <v>5</v>
      </c>
      <c r="BE2" s="11" t="s">
        <v>6</v>
      </c>
      <c r="BF2" s="8" t="s">
        <v>4</v>
      </c>
      <c r="BG2" s="9" t="s">
        <v>2</v>
      </c>
      <c r="BH2" s="10" t="s">
        <v>5</v>
      </c>
      <c r="BI2" s="11" t="s">
        <v>6</v>
      </c>
      <c r="BJ2" s="8" t="s">
        <v>4</v>
      </c>
      <c r="BK2" s="7" t="s">
        <v>57</v>
      </c>
      <c r="BL2" s="7" t="s">
        <v>58</v>
      </c>
      <c r="BM2" s="9" t="s">
        <v>59</v>
      </c>
      <c r="BN2" s="10" t="s">
        <v>5</v>
      </c>
      <c r="BO2" s="11" t="s">
        <v>6</v>
      </c>
      <c r="BP2" s="8" t="s">
        <v>4</v>
      </c>
      <c r="BQ2" s="9" t="s">
        <v>2</v>
      </c>
      <c r="BR2" s="10" t="s">
        <v>5</v>
      </c>
      <c r="BS2" s="11" t="s">
        <v>6</v>
      </c>
      <c r="BT2" s="8" t="s">
        <v>4</v>
      </c>
      <c r="BU2" s="7" t="s">
        <v>57</v>
      </c>
      <c r="BV2" s="7" t="s">
        <v>58</v>
      </c>
      <c r="BW2" s="9" t="s">
        <v>59</v>
      </c>
      <c r="BX2" s="10" t="s">
        <v>5</v>
      </c>
      <c r="BY2" s="11" t="s">
        <v>6</v>
      </c>
      <c r="BZ2" s="8" t="s">
        <v>4</v>
      </c>
      <c r="CA2" s="9" t="s">
        <v>2</v>
      </c>
      <c r="CB2" s="10" t="s">
        <v>5</v>
      </c>
      <c r="CC2" s="11" t="s">
        <v>6</v>
      </c>
      <c r="CD2" s="8" t="s">
        <v>4</v>
      </c>
      <c r="CE2" s="9" t="s">
        <v>2</v>
      </c>
      <c r="CF2" s="10" t="s">
        <v>5</v>
      </c>
      <c r="CG2" s="11" t="s">
        <v>115</v>
      </c>
      <c r="CH2" s="11" t="s">
        <v>116</v>
      </c>
      <c r="CI2" s="11" t="s">
        <v>117</v>
      </c>
      <c r="CJ2" s="8" t="s">
        <v>4</v>
      </c>
      <c r="CK2" s="9" t="s">
        <v>2</v>
      </c>
      <c r="CL2" s="10" t="s">
        <v>5</v>
      </c>
      <c r="CM2" s="11" t="s">
        <v>6</v>
      </c>
      <c r="CN2" s="8" t="s">
        <v>4</v>
      </c>
      <c r="CO2" s="9" t="s">
        <v>2</v>
      </c>
      <c r="CP2" s="10" t="s">
        <v>5</v>
      </c>
      <c r="CQ2" s="11" t="s">
        <v>6</v>
      </c>
    </row>
    <row r="3" spans="1:95" ht="22.5" x14ac:dyDescent="0.55000000000000004">
      <c r="A3" s="7">
        <v>1</v>
      </c>
      <c r="B3" s="24"/>
      <c r="C3" s="25"/>
      <c r="D3" s="28"/>
      <c r="E3" s="29"/>
      <c r="F3" s="12"/>
      <c r="G3" s="13"/>
      <c r="H3" s="14"/>
      <c r="I3" s="15"/>
      <c r="J3" s="12"/>
      <c r="K3" s="13"/>
      <c r="L3" s="14"/>
      <c r="M3" s="15"/>
      <c r="N3" s="12"/>
      <c r="O3" s="13"/>
      <c r="P3" s="14"/>
      <c r="Q3" s="15"/>
      <c r="R3" s="12"/>
      <c r="S3" s="13"/>
      <c r="T3" s="14"/>
      <c r="U3" s="15"/>
      <c r="V3" s="12"/>
      <c r="W3" s="13"/>
      <c r="X3" s="14"/>
      <c r="Y3" s="15"/>
      <c r="Z3" s="12"/>
      <c r="AA3" s="13"/>
      <c r="AB3" s="14"/>
      <c r="AC3" s="15"/>
      <c r="AD3" s="12"/>
      <c r="AE3" s="13"/>
      <c r="AF3" s="14"/>
      <c r="AG3" s="15"/>
      <c r="AH3" s="12"/>
      <c r="AI3" s="13"/>
      <c r="AJ3" s="14"/>
      <c r="AK3" s="15"/>
      <c r="AL3" s="12"/>
      <c r="AM3" s="13"/>
      <c r="AN3" s="14"/>
      <c r="AO3" s="15"/>
      <c r="AP3" s="12"/>
      <c r="AQ3" s="13"/>
      <c r="AR3" s="14"/>
      <c r="AS3" s="15"/>
      <c r="AT3" s="12"/>
      <c r="AU3" s="13"/>
      <c r="AV3" s="14"/>
      <c r="AW3" s="15"/>
      <c r="AX3" s="12"/>
      <c r="AY3" s="13"/>
      <c r="AZ3" s="14"/>
      <c r="BA3" s="15"/>
      <c r="BB3" s="12"/>
      <c r="BC3" s="13"/>
      <c r="BD3" s="14"/>
      <c r="BE3" s="15"/>
      <c r="BF3" s="12"/>
      <c r="BG3" s="13"/>
      <c r="BH3" s="14"/>
      <c r="BI3" s="15"/>
      <c r="BJ3" s="12">
        <v>433</v>
      </c>
      <c r="BK3" s="57">
        <v>434</v>
      </c>
      <c r="BL3" s="57">
        <v>435</v>
      </c>
      <c r="BM3" s="13">
        <v>436</v>
      </c>
      <c r="BN3" s="14">
        <v>436</v>
      </c>
      <c r="BO3" s="15">
        <v>437</v>
      </c>
      <c r="BP3" s="108">
        <v>438</v>
      </c>
      <c r="BQ3" s="13">
        <v>439</v>
      </c>
      <c r="BR3" s="14">
        <v>440</v>
      </c>
      <c r="BS3" s="15">
        <f>441</f>
        <v>441</v>
      </c>
      <c r="BT3" s="12">
        <v>442</v>
      </c>
      <c r="BU3" s="57">
        <v>443</v>
      </c>
      <c r="BV3" s="57">
        <v>444</v>
      </c>
      <c r="BW3" s="13">
        <v>445</v>
      </c>
      <c r="BX3" s="14">
        <v>446</v>
      </c>
      <c r="BY3" s="15">
        <v>447</v>
      </c>
      <c r="BZ3" s="108">
        <v>448</v>
      </c>
      <c r="CA3" s="13">
        <v>449</v>
      </c>
      <c r="CB3" s="14">
        <v>450</v>
      </c>
      <c r="CC3" s="15">
        <v>451</v>
      </c>
      <c r="CD3" s="108">
        <v>452</v>
      </c>
      <c r="CE3" s="13">
        <v>453</v>
      </c>
      <c r="CF3" s="149">
        <v>454</v>
      </c>
      <c r="CG3" s="150">
        <v>455</v>
      </c>
      <c r="CH3" s="150">
        <v>455</v>
      </c>
      <c r="CI3" s="150">
        <v>455</v>
      </c>
      <c r="CJ3" s="108"/>
      <c r="CK3" s="13"/>
      <c r="CL3" s="14"/>
      <c r="CM3" s="15"/>
      <c r="CN3" s="108"/>
      <c r="CO3" s="13"/>
      <c r="CP3" s="14"/>
      <c r="CQ3" s="15"/>
    </row>
    <row r="4" spans="1:95" ht="22.5" x14ac:dyDescent="0.55000000000000004">
      <c r="A4" s="7">
        <v>2</v>
      </c>
      <c r="B4" s="24"/>
      <c r="C4" s="25"/>
      <c r="D4" s="28"/>
      <c r="E4" s="29"/>
      <c r="F4" s="12"/>
      <c r="G4" s="13"/>
      <c r="H4" s="14"/>
      <c r="I4" s="15"/>
      <c r="J4" s="12"/>
      <c r="K4" s="13"/>
      <c r="L4" s="14"/>
      <c r="M4" s="15"/>
      <c r="N4" s="12"/>
      <c r="O4" s="13"/>
      <c r="P4" s="14"/>
      <c r="Q4" s="15"/>
      <c r="R4" s="12"/>
      <c r="S4" s="13"/>
      <c r="T4" s="14"/>
      <c r="U4" s="15"/>
      <c r="V4" s="12"/>
      <c r="W4" s="13"/>
      <c r="X4" s="14"/>
      <c r="Y4" s="15"/>
      <c r="Z4" s="12"/>
      <c r="AA4" s="13"/>
      <c r="AB4" s="14"/>
      <c r="AC4" s="15"/>
      <c r="AD4" s="12"/>
      <c r="AE4" s="13"/>
      <c r="AF4" s="14"/>
      <c r="AG4" s="15"/>
      <c r="AH4" s="12"/>
      <c r="AI4" s="13"/>
      <c r="AJ4" s="14"/>
      <c r="AK4" s="15"/>
      <c r="AL4" s="12"/>
      <c r="AM4" s="13"/>
      <c r="AN4" s="14"/>
      <c r="AO4" s="15"/>
      <c r="AP4" s="12"/>
      <c r="AQ4" s="13"/>
      <c r="AR4" s="14"/>
      <c r="AS4" s="15"/>
      <c r="AT4" s="12"/>
      <c r="AU4" s="13"/>
      <c r="AV4" s="14"/>
      <c r="AW4" s="15"/>
      <c r="AX4" s="12"/>
      <c r="AY4" s="13"/>
      <c r="AZ4" s="14"/>
      <c r="BA4" s="15"/>
      <c r="BB4" s="12"/>
      <c r="BC4" s="13"/>
      <c r="BD4" s="14"/>
      <c r="BE4" s="15"/>
      <c r="BF4" s="12"/>
      <c r="BG4" s="13"/>
      <c r="BH4" s="14"/>
      <c r="BI4" s="15"/>
      <c r="BJ4" s="12">
        <v>1411.6</v>
      </c>
      <c r="BK4" s="57">
        <v>1547.3</v>
      </c>
      <c r="BL4" s="57">
        <v>1552.4</v>
      </c>
      <c r="BM4" s="13">
        <v>1659.1</v>
      </c>
      <c r="BN4" s="14">
        <v>1683.5</v>
      </c>
      <c r="BO4" s="15">
        <v>1753.8</v>
      </c>
      <c r="BP4" s="108">
        <v>2103.9</v>
      </c>
      <c r="BQ4" s="13">
        <v>2115.1</v>
      </c>
      <c r="BR4" s="14">
        <v>2216.8000000000002</v>
      </c>
      <c r="BS4" s="15">
        <f>2225.9</f>
        <v>2225.9</v>
      </c>
      <c r="BT4" s="12">
        <v>2831.5</v>
      </c>
      <c r="BU4" s="57">
        <v>3535.1</v>
      </c>
      <c r="BV4" s="57">
        <v>3603.7</v>
      </c>
      <c r="BW4" s="13">
        <v>3657.4</v>
      </c>
      <c r="BX4" s="14">
        <v>3794.9</v>
      </c>
      <c r="BY4" s="15">
        <v>4053.4</v>
      </c>
      <c r="BZ4" s="108">
        <v>4368.6000000000004</v>
      </c>
      <c r="CA4" s="13">
        <v>4801.8999999999996</v>
      </c>
      <c r="CB4" s="14">
        <v>5738.8</v>
      </c>
      <c r="CC4" s="15">
        <v>6109.3</v>
      </c>
      <c r="CD4" s="108">
        <v>6835.9</v>
      </c>
      <c r="CE4" s="13">
        <v>7066.4</v>
      </c>
      <c r="CF4" s="149">
        <v>7931.6</v>
      </c>
      <c r="CG4" s="150">
        <v>8124.4</v>
      </c>
      <c r="CH4" s="150">
        <v>8138.6</v>
      </c>
      <c r="CI4" s="150">
        <v>8373.2999999999993</v>
      </c>
      <c r="CJ4" s="108"/>
      <c r="CK4" s="13"/>
      <c r="CL4" s="14"/>
      <c r="CM4" s="15"/>
      <c r="CN4" s="108"/>
      <c r="CO4" s="13"/>
      <c r="CP4" s="14"/>
      <c r="CQ4" s="15"/>
    </row>
    <row r="5" spans="1:95" ht="22.5" x14ac:dyDescent="0.55000000000000004">
      <c r="A5" s="7">
        <v>3</v>
      </c>
      <c r="B5" s="24"/>
      <c r="C5" s="25"/>
      <c r="D5" s="28"/>
      <c r="E5" s="29"/>
      <c r="F5" s="24"/>
      <c r="G5" s="25"/>
      <c r="H5" s="28"/>
      <c r="I5" s="29"/>
      <c r="J5" s="24"/>
      <c r="K5" s="25"/>
      <c r="L5" s="28"/>
      <c r="M5" s="29"/>
      <c r="N5" s="24"/>
      <c r="O5" s="25"/>
      <c r="P5" s="28"/>
      <c r="Q5" s="29"/>
      <c r="R5" s="24"/>
      <c r="S5" s="25"/>
      <c r="T5" s="28"/>
      <c r="U5" s="29"/>
      <c r="V5" s="24"/>
      <c r="W5" s="25"/>
      <c r="X5" s="28"/>
      <c r="Y5" s="29"/>
      <c r="Z5" s="24"/>
      <c r="AA5" s="25"/>
      <c r="AB5" s="28"/>
      <c r="AC5" s="29"/>
      <c r="AD5" s="24"/>
      <c r="AE5" s="25"/>
      <c r="AF5" s="28"/>
      <c r="AG5" s="29"/>
      <c r="AH5" s="24"/>
      <c r="AI5" s="25"/>
      <c r="AJ5" s="28"/>
      <c r="AK5" s="29"/>
      <c r="AL5" s="24"/>
      <c r="AM5" s="25"/>
      <c r="AN5" s="28"/>
      <c r="AO5" s="29"/>
      <c r="AP5" s="24"/>
      <c r="AQ5" s="25"/>
      <c r="AR5" s="28"/>
      <c r="AS5" s="29"/>
      <c r="AT5" s="24"/>
      <c r="AU5" s="25"/>
      <c r="AV5" s="28"/>
      <c r="AW5" s="29"/>
      <c r="AX5" s="24"/>
      <c r="AY5" s="25"/>
      <c r="AZ5" s="28"/>
      <c r="BA5" s="29"/>
      <c r="BB5" s="24"/>
      <c r="BC5" s="25"/>
      <c r="BD5" s="28"/>
      <c r="BE5" s="29"/>
      <c r="BF5" s="24"/>
      <c r="BG5" s="25"/>
      <c r="BH5" s="28"/>
      <c r="BI5" s="29"/>
      <c r="BJ5" s="24">
        <v>708.7</v>
      </c>
      <c r="BK5" s="58">
        <v>855.1</v>
      </c>
      <c r="BL5" s="58">
        <v>977.4</v>
      </c>
      <c r="BM5" s="25">
        <v>1147.3</v>
      </c>
      <c r="BN5" s="28">
        <v>1007.1</v>
      </c>
      <c r="BO5" s="29">
        <v>985.8</v>
      </c>
      <c r="BP5" s="109">
        <v>1132</v>
      </c>
      <c r="BQ5" s="25">
        <v>1116.5</v>
      </c>
      <c r="BR5" s="28">
        <f>1111.5</f>
        <v>1111.5</v>
      </c>
      <c r="BS5" s="29">
        <f>1146.8</f>
        <v>1146.8</v>
      </c>
      <c r="BT5" s="12">
        <v>1500.7</v>
      </c>
      <c r="BU5" s="57">
        <v>1595.9</v>
      </c>
      <c r="BV5" s="57">
        <v>1730.1</v>
      </c>
      <c r="BW5" s="13">
        <v>1931.4</v>
      </c>
      <c r="BX5" s="28">
        <v>2272.1</v>
      </c>
      <c r="BY5" s="29">
        <v>2331.4</v>
      </c>
      <c r="BZ5" s="109">
        <v>2685.8</v>
      </c>
      <c r="CA5" s="25">
        <v>2743</v>
      </c>
      <c r="CB5" s="28">
        <v>2770.7</v>
      </c>
      <c r="CC5" s="29">
        <v>2782.4</v>
      </c>
      <c r="CD5" s="109">
        <v>3445</v>
      </c>
      <c r="CE5" s="25">
        <v>3465.2</v>
      </c>
      <c r="CF5" s="149">
        <v>3551.1</v>
      </c>
      <c r="CG5" s="150">
        <v>3509.2</v>
      </c>
      <c r="CH5" s="150">
        <v>3783.3</v>
      </c>
      <c r="CI5" s="150">
        <v>4059.6</v>
      </c>
      <c r="CJ5" s="109"/>
      <c r="CK5" s="25"/>
      <c r="CL5" s="28"/>
      <c r="CM5" s="29"/>
      <c r="CN5" s="109"/>
      <c r="CO5" s="25"/>
      <c r="CP5" s="28"/>
      <c r="CQ5" s="29"/>
    </row>
    <row r="6" spans="1:95" ht="22.5" x14ac:dyDescent="0.55000000000000004">
      <c r="A6" s="7">
        <v>4</v>
      </c>
      <c r="B6" s="24"/>
      <c r="C6" s="25"/>
      <c r="D6" s="28"/>
      <c r="E6" s="29"/>
      <c r="F6" s="24"/>
      <c r="G6" s="25"/>
      <c r="H6" s="28"/>
      <c r="I6" s="29"/>
      <c r="J6" s="24"/>
      <c r="K6" s="25"/>
      <c r="L6" s="28"/>
      <c r="M6" s="29"/>
      <c r="N6" s="24"/>
      <c r="O6" s="25"/>
      <c r="P6" s="28"/>
      <c r="Q6" s="29"/>
      <c r="R6" s="24"/>
      <c r="S6" s="25"/>
      <c r="T6" s="28"/>
      <c r="U6" s="29"/>
      <c r="V6" s="24"/>
      <c r="W6" s="25"/>
      <c r="X6" s="28"/>
      <c r="Y6" s="29"/>
      <c r="Z6" s="24"/>
      <c r="AA6" s="25"/>
      <c r="AB6" s="28"/>
      <c r="AC6" s="29"/>
      <c r="AD6" s="24"/>
      <c r="AE6" s="25"/>
      <c r="AF6" s="28"/>
      <c r="AG6" s="29"/>
      <c r="AH6" s="24"/>
      <c r="AI6" s="25"/>
      <c r="AJ6" s="28"/>
      <c r="AK6" s="29"/>
      <c r="AL6" s="24"/>
      <c r="AM6" s="25"/>
      <c r="AN6" s="28"/>
      <c r="AO6" s="29"/>
      <c r="AP6" s="24"/>
      <c r="AQ6" s="25"/>
      <c r="AR6" s="28"/>
      <c r="AS6" s="29"/>
      <c r="AT6" s="24"/>
      <c r="AU6" s="25"/>
      <c r="AV6" s="28"/>
      <c r="AW6" s="29"/>
      <c r="AX6" s="24"/>
      <c r="AY6" s="25"/>
      <c r="AZ6" s="28"/>
      <c r="BA6" s="29"/>
      <c r="BB6" s="24"/>
      <c r="BC6" s="25"/>
      <c r="BD6" s="28"/>
      <c r="BE6" s="29"/>
      <c r="BF6" s="24"/>
      <c r="BG6" s="25"/>
      <c r="BH6" s="28"/>
      <c r="BI6" s="29"/>
      <c r="BJ6" s="24">
        <v>942.6</v>
      </c>
      <c r="BK6" s="58">
        <v>1410.6</v>
      </c>
      <c r="BL6" s="58">
        <v>1620.7</v>
      </c>
      <c r="BM6" s="25">
        <v>1513.4</v>
      </c>
      <c r="BN6" s="28">
        <v>1462.4</v>
      </c>
      <c r="BO6" s="29">
        <v>1470.1</v>
      </c>
      <c r="BP6" s="109">
        <v>1856.6</v>
      </c>
      <c r="BQ6" s="25">
        <v>1868.1</v>
      </c>
      <c r="BR6" s="28">
        <f>1808.7</f>
        <v>1808.7</v>
      </c>
      <c r="BS6" s="29">
        <f>1819.1</f>
        <v>1819.1</v>
      </c>
      <c r="BT6" s="12">
        <v>2279.5</v>
      </c>
      <c r="BU6" s="57">
        <v>2367.6999999999998</v>
      </c>
      <c r="BV6" s="57">
        <v>2844</v>
      </c>
      <c r="BW6" s="13">
        <v>2979.5</v>
      </c>
      <c r="BX6" s="28">
        <v>4328.7</v>
      </c>
      <c r="BY6" s="29">
        <v>4340.5</v>
      </c>
      <c r="BZ6" s="109">
        <v>4987.6000000000004</v>
      </c>
      <c r="CA6" s="25">
        <v>5110.5</v>
      </c>
      <c r="CB6" s="28">
        <v>5268.1</v>
      </c>
      <c r="CC6" s="29">
        <v>5790.9</v>
      </c>
      <c r="CD6" s="109">
        <v>6406.6</v>
      </c>
      <c r="CE6" s="25">
        <v>6862.9</v>
      </c>
      <c r="CF6" s="149">
        <v>7092.5</v>
      </c>
      <c r="CG6" s="150">
        <v>7572.4</v>
      </c>
      <c r="CH6" s="150">
        <v>7572.5</v>
      </c>
      <c r="CI6" s="150">
        <v>7573.4</v>
      </c>
      <c r="CJ6" s="109"/>
      <c r="CK6" s="25"/>
      <c r="CL6" s="28"/>
      <c r="CM6" s="29"/>
      <c r="CN6" s="109"/>
      <c r="CO6" s="25"/>
      <c r="CP6" s="28"/>
      <c r="CQ6" s="29"/>
    </row>
    <row r="7" spans="1:95" ht="22.5" x14ac:dyDescent="0.55000000000000004">
      <c r="A7" s="7">
        <v>5</v>
      </c>
      <c r="B7" s="24"/>
      <c r="C7" s="25"/>
      <c r="D7" s="28"/>
      <c r="E7" s="29"/>
      <c r="F7" s="24"/>
      <c r="G7" s="25"/>
      <c r="H7" s="28"/>
      <c r="I7" s="29"/>
      <c r="J7" s="24"/>
      <c r="K7" s="25"/>
      <c r="L7" s="28"/>
      <c r="M7" s="29"/>
      <c r="N7" s="24"/>
      <c r="O7" s="25"/>
      <c r="P7" s="28"/>
      <c r="Q7" s="29"/>
      <c r="R7" s="24"/>
      <c r="S7" s="25"/>
      <c r="T7" s="28"/>
      <c r="U7" s="29"/>
      <c r="V7" s="24"/>
      <c r="W7" s="25"/>
      <c r="X7" s="28"/>
      <c r="Y7" s="29"/>
      <c r="Z7" s="24"/>
      <c r="AA7" s="25"/>
      <c r="AB7" s="28"/>
      <c r="AC7" s="29"/>
      <c r="AD7" s="24"/>
      <c r="AE7" s="25"/>
      <c r="AF7" s="28"/>
      <c r="AG7" s="29"/>
      <c r="AH7" s="24"/>
      <c r="AI7" s="25"/>
      <c r="AJ7" s="28"/>
      <c r="AK7" s="29"/>
      <c r="AL7" s="24"/>
      <c r="AM7" s="25"/>
      <c r="AN7" s="28"/>
      <c r="AO7" s="29"/>
      <c r="AP7" s="24"/>
      <c r="AQ7" s="25"/>
      <c r="AR7" s="28"/>
      <c r="AS7" s="29"/>
      <c r="AT7" s="24"/>
      <c r="AU7" s="25"/>
      <c r="AV7" s="28"/>
      <c r="AW7" s="29"/>
      <c r="AX7" s="24"/>
      <c r="AY7" s="25"/>
      <c r="AZ7" s="28"/>
      <c r="BA7" s="29"/>
      <c r="BB7" s="24"/>
      <c r="BC7" s="25"/>
      <c r="BD7" s="28"/>
      <c r="BE7" s="29"/>
      <c r="BF7" s="24"/>
      <c r="BG7" s="25"/>
      <c r="BH7" s="28"/>
      <c r="BI7" s="29"/>
      <c r="BJ7" s="24">
        <v>816.8</v>
      </c>
      <c r="BK7" s="58">
        <v>889.9</v>
      </c>
      <c r="BL7" s="58">
        <v>946.4</v>
      </c>
      <c r="BM7" s="25">
        <v>1003.9</v>
      </c>
      <c r="BN7" s="28">
        <v>1018.8</v>
      </c>
      <c r="BO7" s="29">
        <v>1019.9</v>
      </c>
      <c r="BP7" s="109">
        <v>1167.8</v>
      </c>
      <c r="BQ7" s="25">
        <v>1230.5</v>
      </c>
      <c r="BR7" s="28">
        <f>1263.4</f>
        <v>1263.4000000000001</v>
      </c>
      <c r="BS7" s="29">
        <f>1311.8</f>
        <v>1311.8</v>
      </c>
      <c r="BT7" s="12">
        <v>1544.1</v>
      </c>
      <c r="BU7" s="57">
        <v>1805</v>
      </c>
      <c r="BV7" s="57">
        <v>1856.8</v>
      </c>
      <c r="BW7" s="13">
        <v>1950.7</v>
      </c>
      <c r="BX7" s="28">
        <v>2207.6999999999998</v>
      </c>
      <c r="BY7" s="29">
        <v>2352.4</v>
      </c>
      <c r="BZ7" s="109">
        <v>2963.1</v>
      </c>
      <c r="CA7" s="25">
        <v>3289</v>
      </c>
      <c r="CB7" s="28">
        <v>3477</v>
      </c>
      <c r="CC7" s="29">
        <v>3568.6</v>
      </c>
      <c r="CD7" s="109">
        <v>4342.8999999999996</v>
      </c>
      <c r="CE7" s="25">
        <v>4409.6000000000004</v>
      </c>
      <c r="CF7" s="149">
        <v>4689.5</v>
      </c>
      <c r="CG7" s="150">
        <v>4999.8</v>
      </c>
      <c r="CH7" s="150">
        <v>5045.1000000000004</v>
      </c>
      <c r="CI7" s="150">
        <v>5294.5</v>
      </c>
      <c r="CJ7" s="109"/>
      <c r="CK7" s="25"/>
      <c r="CL7" s="28"/>
      <c r="CM7" s="29"/>
      <c r="CN7" s="109"/>
      <c r="CO7" s="25"/>
      <c r="CP7" s="28"/>
      <c r="CQ7" s="29"/>
    </row>
    <row r="8" spans="1:95" ht="22.5" x14ac:dyDescent="0.55000000000000004">
      <c r="A8" s="7">
        <v>6</v>
      </c>
      <c r="B8" s="24"/>
      <c r="C8" s="25"/>
      <c r="D8" s="28"/>
      <c r="E8" s="29"/>
      <c r="F8" s="24"/>
      <c r="G8" s="25"/>
      <c r="H8" s="28"/>
      <c r="I8" s="29"/>
      <c r="J8" s="24"/>
      <c r="K8" s="25"/>
      <c r="L8" s="28"/>
      <c r="M8" s="29"/>
      <c r="N8" s="24"/>
      <c r="O8" s="25"/>
      <c r="P8" s="28"/>
      <c r="Q8" s="29"/>
      <c r="R8" s="24"/>
      <c r="S8" s="25"/>
      <c r="T8" s="28"/>
      <c r="U8" s="29"/>
      <c r="V8" s="24"/>
      <c r="W8" s="25"/>
      <c r="X8" s="28"/>
      <c r="Y8" s="29"/>
      <c r="Z8" s="24"/>
      <c r="AA8" s="25"/>
      <c r="AB8" s="28"/>
      <c r="AC8" s="29"/>
      <c r="AD8" s="24"/>
      <c r="AE8" s="25"/>
      <c r="AF8" s="28"/>
      <c r="AG8" s="29"/>
      <c r="AH8" s="24"/>
      <c r="AI8" s="25"/>
      <c r="AJ8" s="28"/>
      <c r="AK8" s="29"/>
      <c r="AL8" s="24"/>
      <c r="AM8" s="25"/>
      <c r="AN8" s="28"/>
      <c r="AO8" s="29"/>
      <c r="AP8" s="24"/>
      <c r="AQ8" s="25"/>
      <c r="AR8" s="28"/>
      <c r="AS8" s="29"/>
      <c r="AT8" s="24"/>
      <c r="AU8" s="25"/>
      <c r="AV8" s="28"/>
      <c r="AW8" s="29"/>
      <c r="AX8" s="24"/>
      <c r="AY8" s="25"/>
      <c r="AZ8" s="28"/>
      <c r="BA8" s="29"/>
      <c r="BB8" s="24"/>
      <c r="BC8" s="25"/>
      <c r="BD8" s="28"/>
      <c r="BE8" s="29"/>
      <c r="BF8" s="24"/>
      <c r="BG8" s="25"/>
      <c r="BH8" s="28"/>
      <c r="BI8" s="29"/>
      <c r="BJ8" s="24">
        <v>1103.3</v>
      </c>
      <c r="BK8" s="58">
        <v>1289.2</v>
      </c>
      <c r="BL8" s="58">
        <v>1475.6</v>
      </c>
      <c r="BM8" s="25">
        <v>1653.3</v>
      </c>
      <c r="BN8" s="28">
        <v>1903.5</v>
      </c>
      <c r="BO8" s="29">
        <v>1890.2</v>
      </c>
      <c r="BP8" s="109">
        <v>2191.1</v>
      </c>
      <c r="BQ8" s="25">
        <v>2096.6999999999998</v>
      </c>
      <c r="BR8" s="28">
        <f>2204.7</f>
        <v>2204.6999999999998</v>
      </c>
      <c r="BS8" s="29">
        <f>2106.9</f>
        <v>2106.9</v>
      </c>
      <c r="BT8" s="12">
        <v>2567.4</v>
      </c>
      <c r="BU8" s="57">
        <v>2784.2</v>
      </c>
      <c r="BV8" s="57">
        <v>3142.1</v>
      </c>
      <c r="BW8" s="13">
        <v>3286.7</v>
      </c>
      <c r="BX8" s="28">
        <v>4196.8999999999996</v>
      </c>
      <c r="BY8" s="29">
        <v>4212</v>
      </c>
      <c r="BZ8" s="109">
        <v>5020.8999999999996</v>
      </c>
      <c r="CA8" s="25">
        <v>5187.3999999999996</v>
      </c>
      <c r="CB8" s="28">
        <v>5280.3</v>
      </c>
      <c r="CC8" s="29">
        <v>5566.5</v>
      </c>
      <c r="CD8" s="109">
        <v>6395.1</v>
      </c>
      <c r="CE8" s="25">
        <v>6582.1</v>
      </c>
      <c r="CF8" s="149">
        <v>6794</v>
      </c>
      <c r="CG8" s="150">
        <v>7014.9</v>
      </c>
      <c r="CH8" s="150">
        <v>7015.2</v>
      </c>
      <c r="CI8" s="150">
        <v>7015.4</v>
      </c>
      <c r="CJ8" s="109"/>
      <c r="CK8" s="25"/>
      <c r="CL8" s="28"/>
      <c r="CM8" s="29"/>
      <c r="CN8" s="109"/>
      <c r="CO8" s="25"/>
      <c r="CP8" s="28"/>
      <c r="CQ8" s="29"/>
    </row>
    <row r="9" spans="1:95" ht="22.5" x14ac:dyDescent="0.55000000000000004">
      <c r="A9" s="7">
        <v>7</v>
      </c>
      <c r="B9" s="24"/>
      <c r="C9" s="25"/>
      <c r="D9" s="28"/>
      <c r="E9" s="29"/>
      <c r="F9" s="24"/>
      <c r="G9" s="25"/>
      <c r="H9" s="28"/>
      <c r="I9" s="29"/>
      <c r="J9" s="24"/>
      <c r="K9" s="25"/>
      <c r="L9" s="28"/>
      <c r="M9" s="29"/>
      <c r="N9" s="24"/>
      <c r="O9" s="25"/>
      <c r="P9" s="28"/>
      <c r="Q9" s="29"/>
      <c r="R9" s="24"/>
      <c r="S9" s="25"/>
      <c r="T9" s="28"/>
      <c r="U9" s="29"/>
      <c r="V9" s="24"/>
      <c r="W9" s="25"/>
      <c r="X9" s="28"/>
      <c r="Y9" s="29"/>
      <c r="Z9" s="24"/>
      <c r="AA9" s="25"/>
      <c r="AB9" s="28"/>
      <c r="AC9" s="29"/>
      <c r="AD9" s="24"/>
      <c r="AE9" s="25"/>
      <c r="AF9" s="28"/>
      <c r="AG9" s="29"/>
      <c r="AH9" s="24"/>
      <c r="AI9" s="25"/>
      <c r="AJ9" s="28"/>
      <c r="AK9" s="29"/>
      <c r="AL9" s="24"/>
      <c r="AM9" s="25"/>
      <c r="AN9" s="28"/>
      <c r="AO9" s="29"/>
      <c r="AP9" s="24"/>
      <c r="AQ9" s="25"/>
      <c r="AR9" s="28"/>
      <c r="AS9" s="29"/>
      <c r="AT9" s="24"/>
      <c r="AU9" s="25"/>
      <c r="AV9" s="28"/>
      <c r="AW9" s="29"/>
      <c r="AX9" s="24"/>
      <c r="AY9" s="25"/>
      <c r="AZ9" s="28"/>
      <c r="BA9" s="29"/>
      <c r="BB9" s="24"/>
      <c r="BC9" s="25"/>
      <c r="BD9" s="28"/>
      <c r="BE9" s="29"/>
      <c r="BF9" s="24"/>
      <c r="BG9" s="25"/>
      <c r="BH9" s="28"/>
      <c r="BI9" s="29"/>
      <c r="BJ9" s="24">
        <v>1123.2</v>
      </c>
      <c r="BK9" s="58">
        <v>1395.6</v>
      </c>
      <c r="BL9" s="58">
        <v>1445.1</v>
      </c>
      <c r="BM9" s="25">
        <v>1755.1</v>
      </c>
      <c r="BN9" s="28">
        <v>1737.4</v>
      </c>
      <c r="BO9" s="29">
        <v>1799.1</v>
      </c>
      <c r="BP9" s="109">
        <v>2158.9</v>
      </c>
      <c r="BQ9" s="25">
        <v>2128.8000000000002</v>
      </c>
      <c r="BR9" s="28">
        <f>1923.6</f>
        <v>1923.6</v>
      </c>
      <c r="BS9" s="29">
        <f>2220.7</f>
        <v>2220.6999999999998</v>
      </c>
      <c r="BT9" s="12">
        <v>2498.1999999999998</v>
      </c>
      <c r="BU9" s="57">
        <v>3151.5</v>
      </c>
      <c r="BV9" s="57">
        <v>3469.8</v>
      </c>
      <c r="BW9" s="13">
        <v>3955.2</v>
      </c>
      <c r="BX9" s="28">
        <v>4508.7</v>
      </c>
      <c r="BY9" s="29">
        <v>4842.1000000000004</v>
      </c>
      <c r="BZ9" s="109">
        <v>5152.2</v>
      </c>
      <c r="CA9" s="25">
        <v>5267.2</v>
      </c>
      <c r="CB9" s="28">
        <v>5597.9</v>
      </c>
      <c r="CC9" s="29">
        <v>5946.3</v>
      </c>
      <c r="CD9" s="109">
        <v>6154.6</v>
      </c>
      <c r="CE9" s="25">
        <v>6004.1</v>
      </c>
      <c r="CF9" s="149">
        <v>6865.8</v>
      </c>
      <c r="CG9" s="150">
        <v>7413.7</v>
      </c>
      <c r="CH9" s="150">
        <v>8690.1</v>
      </c>
      <c r="CI9" s="150">
        <v>8791</v>
      </c>
      <c r="CJ9" s="109"/>
      <c r="CK9" s="25"/>
      <c r="CL9" s="28"/>
      <c r="CM9" s="29"/>
      <c r="CN9" s="109"/>
      <c r="CO9" s="25"/>
      <c r="CP9" s="28"/>
      <c r="CQ9" s="29"/>
    </row>
    <row r="10" spans="1:95" ht="22.5" x14ac:dyDescent="0.55000000000000004">
      <c r="A10" s="7">
        <v>8</v>
      </c>
      <c r="B10" s="24"/>
      <c r="C10" s="25"/>
      <c r="D10" s="28"/>
      <c r="E10" s="29"/>
      <c r="F10" s="24"/>
      <c r="G10" s="25"/>
      <c r="H10" s="28"/>
      <c r="I10" s="29"/>
      <c r="J10" s="24"/>
      <c r="K10" s="25"/>
      <c r="L10" s="28"/>
      <c r="M10" s="29"/>
      <c r="N10" s="24"/>
      <c r="O10" s="25"/>
      <c r="P10" s="28"/>
      <c r="Q10" s="29"/>
      <c r="R10" s="24"/>
      <c r="S10" s="25"/>
      <c r="T10" s="28"/>
      <c r="U10" s="29"/>
      <c r="V10" s="24"/>
      <c r="W10" s="25"/>
      <c r="X10" s="28"/>
      <c r="Y10" s="29"/>
      <c r="Z10" s="24"/>
      <c r="AA10" s="25"/>
      <c r="AB10" s="28"/>
      <c r="AC10" s="29"/>
      <c r="AD10" s="24"/>
      <c r="AE10" s="25"/>
      <c r="AF10" s="28"/>
      <c r="AG10" s="29"/>
      <c r="AH10" s="24"/>
      <c r="AI10" s="25"/>
      <c r="AJ10" s="28"/>
      <c r="AK10" s="29"/>
      <c r="AL10" s="24"/>
      <c r="AM10" s="25"/>
      <c r="AN10" s="28"/>
      <c r="AO10" s="29"/>
      <c r="AP10" s="24"/>
      <c r="AQ10" s="25"/>
      <c r="AR10" s="28"/>
      <c r="AS10" s="29"/>
      <c r="AT10" s="24"/>
      <c r="AU10" s="25"/>
      <c r="AV10" s="28"/>
      <c r="AW10" s="29"/>
      <c r="AX10" s="24"/>
      <c r="AY10" s="25"/>
      <c r="AZ10" s="28"/>
      <c r="BA10" s="29"/>
      <c r="BB10" s="24"/>
      <c r="BC10" s="25"/>
      <c r="BD10" s="28"/>
      <c r="BE10" s="29"/>
      <c r="BF10" s="24"/>
      <c r="BG10" s="25"/>
      <c r="BH10" s="28"/>
      <c r="BI10" s="29"/>
      <c r="BJ10" s="24">
        <v>1085.5999999999999</v>
      </c>
      <c r="BK10" s="58">
        <v>1153.8</v>
      </c>
      <c r="BL10" s="58">
        <v>1348.4</v>
      </c>
      <c r="BM10" s="25">
        <v>1412.4</v>
      </c>
      <c r="BN10" s="28">
        <v>1797.4</v>
      </c>
      <c r="BO10" s="29">
        <v>1804.4</v>
      </c>
      <c r="BP10" s="109">
        <v>2161.6999999999998</v>
      </c>
      <c r="BQ10" s="25">
        <v>2099.1999999999998</v>
      </c>
      <c r="BR10" s="28">
        <f>842.7</f>
        <v>842.7</v>
      </c>
      <c r="BS10" s="29">
        <f>2360.4</f>
        <v>2360.4</v>
      </c>
      <c r="BT10" s="12">
        <v>2523.3000000000002</v>
      </c>
      <c r="BU10" s="57">
        <v>2862.5</v>
      </c>
      <c r="BV10" s="57">
        <v>3755.4</v>
      </c>
      <c r="BW10" s="13">
        <v>3994.7</v>
      </c>
      <c r="BX10" s="28">
        <v>4681</v>
      </c>
      <c r="BY10" s="29">
        <v>5030.7</v>
      </c>
      <c r="BZ10" s="109">
        <v>5173.5</v>
      </c>
      <c r="CA10" s="25">
        <v>5697.7</v>
      </c>
      <c r="CB10" s="28">
        <v>5431.7</v>
      </c>
      <c r="CC10" s="29">
        <v>5343.6</v>
      </c>
      <c r="CD10" s="109">
        <v>5798.8</v>
      </c>
      <c r="CE10" s="25">
        <v>5263.4</v>
      </c>
      <c r="CF10" s="149">
        <v>5602.9</v>
      </c>
      <c r="CG10" s="150">
        <v>6774.7</v>
      </c>
      <c r="CH10" s="150">
        <v>6904</v>
      </c>
      <c r="CI10" s="150">
        <v>7005.1</v>
      </c>
      <c r="CJ10" s="109"/>
      <c r="CK10" s="25"/>
      <c r="CL10" s="28"/>
      <c r="CM10" s="29"/>
      <c r="CN10" s="109"/>
      <c r="CO10" s="25"/>
      <c r="CP10" s="28"/>
      <c r="CQ10" s="29"/>
    </row>
    <row r="11" spans="1:95" ht="22.5" x14ac:dyDescent="0.55000000000000004">
      <c r="A11" s="7">
        <v>9</v>
      </c>
      <c r="B11" s="24"/>
      <c r="C11" s="25"/>
      <c r="D11" s="28"/>
      <c r="E11" s="29"/>
      <c r="F11" s="24"/>
      <c r="G11" s="25"/>
      <c r="H11" s="28"/>
      <c r="I11" s="29"/>
      <c r="J11" s="24"/>
      <c r="K11" s="25"/>
      <c r="L11" s="28"/>
      <c r="M11" s="29"/>
      <c r="N11" s="24"/>
      <c r="O11" s="25"/>
      <c r="P11" s="28"/>
      <c r="Q11" s="29"/>
      <c r="R11" s="24"/>
      <c r="S11" s="25"/>
      <c r="T11" s="28"/>
      <c r="U11" s="29"/>
      <c r="V11" s="24"/>
      <c r="W11" s="25"/>
      <c r="X11" s="28"/>
      <c r="Y11" s="29"/>
      <c r="Z11" s="24"/>
      <c r="AA11" s="25"/>
      <c r="AB11" s="28"/>
      <c r="AC11" s="29"/>
      <c r="AD11" s="24"/>
      <c r="AE11" s="25"/>
      <c r="AF11" s="28"/>
      <c r="AG11" s="29"/>
      <c r="AH11" s="24"/>
      <c r="AI11" s="25"/>
      <c r="AJ11" s="28"/>
      <c r="AK11" s="29"/>
      <c r="AL11" s="24"/>
      <c r="AM11" s="25"/>
      <c r="AN11" s="28"/>
      <c r="AO11" s="29"/>
      <c r="AP11" s="24"/>
      <c r="AQ11" s="25"/>
      <c r="AR11" s="28"/>
      <c r="AS11" s="29"/>
      <c r="AT11" s="24"/>
      <c r="AU11" s="25"/>
      <c r="AV11" s="28"/>
      <c r="AW11" s="29"/>
      <c r="AX11" s="24"/>
      <c r="AY11" s="25"/>
      <c r="AZ11" s="28"/>
      <c r="BA11" s="29"/>
      <c r="BB11" s="24"/>
      <c r="BC11" s="25"/>
      <c r="BD11" s="28"/>
      <c r="BE11" s="29"/>
      <c r="BF11" s="24"/>
      <c r="BG11" s="25"/>
      <c r="BH11" s="28"/>
      <c r="BI11" s="29"/>
      <c r="BJ11" s="24">
        <v>458</v>
      </c>
      <c r="BK11" s="58">
        <v>499.2</v>
      </c>
      <c r="BL11" s="58">
        <v>539.79999999999995</v>
      </c>
      <c r="BM11" s="25">
        <v>540.1</v>
      </c>
      <c r="BN11" s="28">
        <v>658.6</v>
      </c>
      <c r="BO11" s="29">
        <v>659.3</v>
      </c>
      <c r="BP11" s="109">
        <v>814.6</v>
      </c>
      <c r="BQ11" s="25">
        <v>815.8</v>
      </c>
      <c r="BR11" s="28">
        <f>1690.2</f>
        <v>1690.2</v>
      </c>
      <c r="BS11" s="29">
        <f>869.8</f>
        <v>869.8</v>
      </c>
      <c r="BT11" s="12">
        <v>1059.4000000000001</v>
      </c>
      <c r="BU11" s="57">
        <v>1351.4</v>
      </c>
      <c r="BV11" s="57">
        <v>1377.8</v>
      </c>
      <c r="BW11" s="13">
        <v>1408.5</v>
      </c>
      <c r="BX11" s="28">
        <v>1728.7</v>
      </c>
      <c r="BY11" s="29">
        <v>1730.7</v>
      </c>
      <c r="BZ11" s="109">
        <v>2120.1</v>
      </c>
      <c r="CA11" s="25">
        <v>2200.6999999999998</v>
      </c>
      <c r="CB11" s="28">
        <v>2283.9</v>
      </c>
      <c r="CC11" s="29">
        <v>2336.9</v>
      </c>
      <c r="CD11" s="109">
        <v>2738.3</v>
      </c>
      <c r="CE11" s="25">
        <v>2612.5</v>
      </c>
      <c r="CF11" s="149">
        <v>3053.2</v>
      </c>
      <c r="CG11" s="150">
        <v>3155.6</v>
      </c>
      <c r="CH11" s="150">
        <v>3155.6</v>
      </c>
      <c r="CI11" s="150">
        <v>3155.7</v>
      </c>
      <c r="CJ11" s="109"/>
      <c r="CK11" s="25"/>
      <c r="CL11" s="28"/>
      <c r="CM11" s="29"/>
      <c r="CN11" s="109"/>
      <c r="CO11" s="25"/>
      <c r="CP11" s="28"/>
      <c r="CQ11" s="29"/>
    </row>
    <row r="12" spans="1:95" ht="22.5" x14ac:dyDescent="0.55000000000000004">
      <c r="A12" s="7">
        <v>10</v>
      </c>
      <c r="B12" s="24"/>
      <c r="C12" s="25"/>
      <c r="D12" s="28"/>
      <c r="E12" s="29"/>
      <c r="F12" s="24"/>
      <c r="G12" s="25"/>
      <c r="H12" s="28"/>
      <c r="I12" s="29"/>
      <c r="J12" s="24"/>
      <c r="K12" s="25"/>
      <c r="L12" s="28"/>
      <c r="M12" s="29"/>
      <c r="N12" s="24"/>
      <c r="O12" s="25"/>
      <c r="P12" s="28"/>
      <c r="Q12" s="29"/>
      <c r="R12" s="24"/>
      <c r="S12" s="25"/>
      <c r="T12" s="28"/>
      <c r="U12" s="29"/>
      <c r="V12" s="24"/>
      <c r="W12" s="25"/>
      <c r="X12" s="28"/>
      <c r="Y12" s="29"/>
      <c r="Z12" s="24"/>
      <c r="AA12" s="25"/>
      <c r="AB12" s="28"/>
      <c r="AC12" s="29"/>
      <c r="AD12" s="24"/>
      <c r="AE12" s="25"/>
      <c r="AF12" s="28"/>
      <c r="AG12" s="29"/>
      <c r="AH12" s="24"/>
      <c r="AI12" s="25"/>
      <c r="AJ12" s="28"/>
      <c r="AK12" s="29"/>
      <c r="AL12" s="24"/>
      <c r="AM12" s="25"/>
      <c r="AN12" s="28"/>
      <c r="AO12" s="29"/>
      <c r="AP12" s="24"/>
      <c r="AQ12" s="25"/>
      <c r="AR12" s="28"/>
      <c r="AS12" s="29"/>
      <c r="AT12" s="24"/>
      <c r="AU12" s="25"/>
      <c r="AV12" s="28"/>
      <c r="AW12" s="29"/>
      <c r="AX12" s="24"/>
      <c r="AY12" s="25"/>
      <c r="AZ12" s="28"/>
      <c r="BA12" s="29"/>
      <c r="BB12" s="24"/>
      <c r="BC12" s="25"/>
      <c r="BD12" s="28"/>
      <c r="BE12" s="29"/>
      <c r="BF12" s="24"/>
      <c r="BG12" s="25"/>
      <c r="BH12" s="28"/>
      <c r="BI12" s="29"/>
      <c r="BJ12" s="24">
        <v>867.5</v>
      </c>
      <c r="BK12" s="58">
        <v>906.1</v>
      </c>
      <c r="BL12" s="58">
        <v>906.7</v>
      </c>
      <c r="BM12" s="25">
        <v>906.8</v>
      </c>
      <c r="BN12" s="28">
        <v>1332.2</v>
      </c>
      <c r="BO12" s="29">
        <v>1366.1</v>
      </c>
      <c r="BP12" s="109">
        <v>1435.5</v>
      </c>
      <c r="BQ12" s="25">
        <v>1436.8</v>
      </c>
      <c r="BR12" s="28">
        <f>1580</f>
        <v>1580</v>
      </c>
      <c r="BS12" s="29">
        <f>1691</f>
        <v>1691</v>
      </c>
      <c r="BT12" s="12">
        <v>2258.5</v>
      </c>
      <c r="BU12" s="57">
        <v>2429.4</v>
      </c>
      <c r="BV12" s="57">
        <v>2595.5</v>
      </c>
      <c r="BW12" s="13">
        <v>2928.2</v>
      </c>
      <c r="BX12" s="28">
        <v>2951.2</v>
      </c>
      <c r="BY12" s="29">
        <v>3186.5</v>
      </c>
      <c r="BZ12" s="109">
        <v>3546.4</v>
      </c>
      <c r="CA12" s="25">
        <v>3739.9</v>
      </c>
      <c r="CB12" s="28">
        <v>4084.5</v>
      </c>
      <c r="CC12" s="29">
        <v>4211.7</v>
      </c>
      <c r="CD12" s="109">
        <v>5225.8999999999996</v>
      </c>
      <c r="CE12" s="25">
        <v>5607.7</v>
      </c>
      <c r="CF12" s="149">
        <v>5441</v>
      </c>
      <c r="CG12" s="150">
        <v>5570.2</v>
      </c>
      <c r="CH12" s="150">
        <v>6066.2</v>
      </c>
      <c r="CI12" s="150">
        <v>6727.4</v>
      </c>
      <c r="CJ12" s="109"/>
      <c r="CK12" s="25"/>
      <c r="CL12" s="28"/>
      <c r="CM12" s="29"/>
      <c r="CN12" s="109"/>
      <c r="CO12" s="25"/>
      <c r="CP12" s="28"/>
      <c r="CQ12" s="29"/>
    </row>
    <row r="13" spans="1:95" ht="22.5" x14ac:dyDescent="0.55000000000000004">
      <c r="A13" s="7">
        <v>11</v>
      </c>
      <c r="B13" s="24"/>
      <c r="C13" s="25"/>
      <c r="D13" s="28"/>
      <c r="E13" s="29"/>
      <c r="F13" s="24"/>
      <c r="G13" s="25"/>
      <c r="H13" s="28"/>
      <c r="I13" s="29"/>
      <c r="J13" s="24"/>
      <c r="K13" s="25"/>
      <c r="L13" s="28"/>
      <c r="M13" s="29"/>
      <c r="N13" s="24"/>
      <c r="O13" s="25"/>
      <c r="P13" s="28"/>
      <c r="Q13" s="29"/>
      <c r="R13" s="24"/>
      <c r="S13" s="25"/>
      <c r="T13" s="28"/>
      <c r="U13" s="29"/>
      <c r="V13" s="24"/>
      <c r="W13" s="25"/>
      <c r="X13" s="28"/>
      <c r="Y13" s="29"/>
      <c r="Z13" s="24"/>
      <c r="AA13" s="25"/>
      <c r="AB13" s="28"/>
      <c r="AC13" s="29"/>
      <c r="AD13" s="24"/>
      <c r="AE13" s="25"/>
      <c r="AF13" s="28"/>
      <c r="AG13" s="29"/>
      <c r="AH13" s="24"/>
      <c r="AI13" s="25"/>
      <c r="AJ13" s="28"/>
      <c r="AK13" s="29"/>
      <c r="AL13" s="24"/>
      <c r="AM13" s="25"/>
      <c r="AN13" s="28"/>
      <c r="AO13" s="29"/>
      <c r="AP13" s="24"/>
      <c r="AQ13" s="25"/>
      <c r="AR13" s="28"/>
      <c r="AS13" s="29"/>
      <c r="AT13" s="24"/>
      <c r="AU13" s="25"/>
      <c r="AV13" s="28"/>
      <c r="AW13" s="29"/>
      <c r="AX13" s="24"/>
      <c r="AY13" s="25"/>
      <c r="AZ13" s="28"/>
      <c r="BA13" s="29"/>
      <c r="BB13" s="24"/>
      <c r="BC13" s="25"/>
      <c r="BD13" s="28"/>
      <c r="BE13" s="29"/>
      <c r="BF13" s="24"/>
      <c r="BG13" s="25"/>
      <c r="BH13" s="28"/>
      <c r="BI13" s="29"/>
      <c r="BJ13" s="24">
        <v>1027.2</v>
      </c>
      <c r="BK13" s="58">
        <v>1098.4000000000001</v>
      </c>
      <c r="BL13" s="58">
        <v>1124.9000000000001</v>
      </c>
      <c r="BM13" s="25">
        <v>1162.2</v>
      </c>
      <c r="BN13" s="28">
        <v>1177.0999999999999</v>
      </c>
      <c r="BO13" s="29">
        <v>1220.5</v>
      </c>
      <c r="BP13" s="109">
        <v>1460.1</v>
      </c>
      <c r="BQ13" s="25">
        <v>1535.4</v>
      </c>
      <c r="BR13" s="28">
        <f>1406.3</f>
        <v>1406.3</v>
      </c>
      <c r="BS13" s="29">
        <f>1637</f>
        <v>1637</v>
      </c>
      <c r="BT13" s="12">
        <v>1982.2</v>
      </c>
      <c r="BU13" s="57">
        <v>2217.5</v>
      </c>
      <c r="BV13" s="57">
        <v>2259.9</v>
      </c>
      <c r="BW13" s="13">
        <v>2353.9</v>
      </c>
      <c r="BX13" s="28">
        <v>2594.8000000000002</v>
      </c>
      <c r="BY13" s="29">
        <v>2731.6</v>
      </c>
      <c r="BZ13" s="109">
        <v>3557.5</v>
      </c>
      <c r="CA13" s="25">
        <v>3773.9</v>
      </c>
      <c r="CB13" s="28">
        <v>3803.7</v>
      </c>
      <c r="CC13" s="29">
        <v>3869.4</v>
      </c>
      <c r="CD13" s="109">
        <v>4885.2</v>
      </c>
      <c r="CE13" s="25">
        <v>4993</v>
      </c>
      <c r="CF13" s="149">
        <v>5353.5</v>
      </c>
      <c r="CG13" s="150">
        <v>5639.9</v>
      </c>
      <c r="CH13" s="150">
        <v>5648.2</v>
      </c>
      <c r="CI13" s="150">
        <v>5677.1</v>
      </c>
      <c r="CJ13" s="109"/>
      <c r="CK13" s="25"/>
      <c r="CL13" s="28"/>
      <c r="CM13" s="29"/>
      <c r="CN13" s="109"/>
      <c r="CO13" s="25"/>
      <c r="CP13" s="28"/>
      <c r="CQ13" s="29"/>
    </row>
    <row r="14" spans="1:95" ht="22.5" x14ac:dyDescent="0.55000000000000004">
      <c r="A14" s="7">
        <v>12</v>
      </c>
      <c r="B14" s="24"/>
      <c r="C14" s="25"/>
      <c r="D14" s="28"/>
      <c r="E14" s="29"/>
      <c r="F14" s="24"/>
      <c r="G14" s="25"/>
      <c r="H14" s="28"/>
      <c r="I14" s="29"/>
      <c r="J14" s="24"/>
      <c r="K14" s="25"/>
      <c r="L14" s="28"/>
      <c r="M14" s="29"/>
      <c r="N14" s="24"/>
      <c r="O14" s="25"/>
      <c r="P14" s="28"/>
      <c r="Q14" s="29"/>
      <c r="R14" s="24"/>
      <c r="S14" s="25"/>
      <c r="T14" s="28"/>
      <c r="U14" s="29"/>
      <c r="V14" s="24"/>
      <c r="W14" s="25"/>
      <c r="X14" s="28"/>
      <c r="Y14" s="29"/>
      <c r="Z14" s="24"/>
      <c r="AA14" s="25"/>
      <c r="AB14" s="28"/>
      <c r="AC14" s="29"/>
      <c r="AD14" s="24"/>
      <c r="AE14" s="25"/>
      <c r="AF14" s="28"/>
      <c r="AG14" s="29"/>
      <c r="AH14" s="24"/>
      <c r="AI14" s="25"/>
      <c r="AJ14" s="28"/>
      <c r="AK14" s="29"/>
      <c r="AL14" s="24"/>
      <c r="AM14" s="25"/>
      <c r="AN14" s="28"/>
      <c r="AO14" s="29"/>
      <c r="AP14" s="24"/>
      <c r="AQ14" s="25"/>
      <c r="AR14" s="28"/>
      <c r="AS14" s="29"/>
      <c r="AT14" s="24"/>
      <c r="AU14" s="25"/>
      <c r="AV14" s="28"/>
      <c r="AW14" s="29"/>
      <c r="AX14" s="24"/>
      <c r="AY14" s="25"/>
      <c r="AZ14" s="28"/>
      <c r="BA14" s="29"/>
      <c r="BB14" s="24"/>
      <c r="BC14" s="25"/>
      <c r="BD14" s="28"/>
      <c r="BE14" s="29"/>
      <c r="BF14" s="24"/>
      <c r="BG14" s="25"/>
      <c r="BH14" s="28"/>
      <c r="BI14" s="29"/>
      <c r="BJ14" s="24">
        <v>905.4</v>
      </c>
      <c r="BK14" s="58">
        <v>1063.0999999999999</v>
      </c>
      <c r="BL14" s="58">
        <v>1259.2</v>
      </c>
      <c r="BM14" s="25">
        <v>1357.9</v>
      </c>
      <c r="BN14" s="28">
        <v>1284.5999999999999</v>
      </c>
      <c r="BO14" s="29">
        <v>1282.9000000000001</v>
      </c>
      <c r="BP14" s="109">
        <v>1494.8</v>
      </c>
      <c r="BQ14" s="25">
        <v>1359.8</v>
      </c>
      <c r="BR14" s="28">
        <f>1256.6</f>
        <v>1256.5999999999999</v>
      </c>
      <c r="BS14" s="29">
        <f>1696.7</f>
        <v>1696.7</v>
      </c>
      <c r="BT14" s="12">
        <v>1950.8</v>
      </c>
      <c r="BU14" s="57">
        <v>2840.8</v>
      </c>
      <c r="BV14" s="57">
        <v>3014.6</v>
      </c>
      <c r="BW14" s="13">
        <v>3243.5</v>
      </c>
      <c r="BX14" s="28">
        <v>3471.3</v>
      </c>
      <c r="BY14" s="29">
        <v>3666.1</v>
      </c>
      <c r="BZ14" s="109">
        <v>4063.6</v>
      </c>
      <c r="CA14" s="25">
        <v>4654.6000000000004</v>
      </c>
      <c r="CB14" s="28">
        <v>4581.5</v>
      </c>
      <c r="CC14" s="29">
        <v>4533.7</v>
      </c>
      <c r="CD14" s="109">
        <v>5296.9</v>
      </c>
      <c r="CE14" s="25">
        <v>4945.1000000000004</v>
      </c>
      <c r="CF14" s="149">
        <v>4969.3</v>
      </c>
      <c r="CG14" s="150">
        <v>5794.4</v>
      </c>
      <c r="CH14" s="150">
        <v>6486.7</v>
      </c>
      <c r="CI14" s="150">
        <v>7510.5</v>
      </c>
      <c r="CJ14" s="109"/>
      <c r="CK14" s="25"/>
      <c r="CL14" s="28"/>
      <c r="CM14" s="29"/>
      <c r="CN14" s="109"/>
      <c r="CO14" s="25"/>
      <c r="CP14" s="28"/>
      <c r="CQ14" s="29"/>
    </row>
    <row r="15" spans="1:95" ht="22.5" x14ac:dyDescent="0.55000000000000004">
      <c r="A15" s="7">
        <v>13</v>
      </c>
      <c r="B15" s="24"/>
      <c r="C15" s="25"/>
      <c r="D15" s="28"/>
      <c r="E15" s="29"/>
      <c r="F15" s="24"/>
      <c r="G15" s="25"/>
      <c r="H15" s="28"/>
      <c r="I15" s="29"/>
      <c r="J15" s="24"/>
      <c r="K15" s="25"/>
      <c r="L15" s="28"/>
      <c r="M15" s="29"/>
      <c r="N15" s="24"/>
      <c r="O15" s="25"/>
      <c r="P15" s="28"/>
      <c r="Q15" s="29"/>
      <c r="R15" s="24"/>
      <c r="S15" s="25"/>
      <c r="T15" s="28"/>
      <c r="U15" s="29"/>
      <c r="V15" s="24"/>
      <c r="W15" s="25"/>
      <c r="X15" s="28"/>
      <c r="Y15" s="29"/>
      <c r="Z15" s="24"/>
      <c r="AA15" s="25"/>
      <c r="AB15" s="28"/>
      <c r="AC15" s="29"/>
      <c r="AD15" s="24"/>
      <c r="AE15" s="25"/>
      <c r="AF15" s="28"/>
      <c r="AG15" s="29"/>
      <c r="AH15" s="24"/>
      <c r="AI15" s="25"/>
      <c r="AJ15" s="28"/>
      <c r="AK15" s="29"/>
      <c r="AL15" s="24"/>
      <c r="AM15" s="25"/>
      <c r="AN15" s="28"/>
      <c r="AO15" s="29"/>
      <c r="AP15" s="24"/>
      <c r="AQ15" s="25"/>
      <c r="AR15" s="28"/>
      <c r="AS15" s="29"/>
      <c r="AT15" s="24"/>
      <c r="AU15" s="25"/>
      <c r="AV15" s="28"/>
      <c r="AW15" s="29"/>
      <c r="AX15" s="24"/>
      <c r="AY15" s="25"/>
      <c r="AZ15" s="28"/>
      <c r="BA15" s="29"/>
      <c r="BB15" s="24"/>
      <c r="BC15" s="25"/>
      <c r="BD15" s="28"/>
      <c r="BE15" s="29"/>
      <c r="BF15" s="24"/>
      <c r="BG15" s="25"/>
      <c r="BH15" s="28"/>
      <c r="BI15" s="29"/>
      <c r="BJ15" s="24">
        <v>800.3</v>
      </c>
      <c r="BK15" s="58">
        <v>848.8</v>
      </c>
      <c r="BL15" s="58">
        <v>905.6</v>
      </c>
      <c r="BM15" s="25">
        <v>919.3</v>
      </c>
      <c r="BN15" s="28">
        <v>951.8</v>
      </c>
      <c r="BO15" s="29">
        <v>969.2</v>
      </c>
      <c r="BP15" s="109">
        <v>1092.7</v>
      </c>
      <c r="BQ15" s="25">
        <v>1200.8</v>
      </c>
      <c r="BR15" s="28">
        <f>1772.7</f>
        <v>1772.7</v>
      </c>
      <c r="BS15" s="29">
        <f>1314.8</f>
        <v>1314.8</v>
      </c>
      <c r="BT15" s="12">
        <v>1558.3</v>
      </c>
      <c r="BU15" s="57">
        <v>1810.2</v>
      </c>
      <c r="BV15" s="57">
        <v>1884.2</v>
      </c>
      <c r="BW15" s="13">
        <v>1983.6</v>
      </c>
      <c r="BX15" s="28">
        <v>2201.4</v>
      </c>
      <c r="BY15" s="29">
        <v>2281.6</v>
      </c>
      <c r="BZ15" s="109">
        <v>2878.1</v>
      </c>
      <c r="CA15" s="25">
        <v>3364.4</v>
      </c>
      <c r="CB15" s="28">
        <v>3320.5</v>
      </c>
      <c r="CC15" s="29">
        <v>3392</v>
      </c>
      <c r="CD15" s="109">
        <v>4034.5</v>
      </c>
      <c r="CE15" s="25">
        <v>4249.3</v>
      </c>
      <c r="CF15" s="149">
        <v>4475.1000000000004</v>
      </c>
      <c r="CG15" s="150">
        <v>4754.7</v>
      </c>
      <c r="CH15" s="150">
        <v>4811.3999999999996</v>
      </c>
      <c r="CI15" s="150">
        <v>5160.3</v>
      </c>
      <c r="CJ15" s="109"/>
      <c r="CK15" s="25"/>
      <c r="CL15" s="28"/>
      <c r="CM15" s="29"/>
      <c r="CN15" s="109"/>
      <c r="CO15" s="25"/>
      <c r="CP15" s="28"/>
      <c r="CQ15" s="29"/>
    </row>
    <row r="16" spans="1:95" ht="22.5" x14ac:dyDescent="0.55000000000000004">
      <c r="A16" s="7">
        <v>14</v>
      </c>
      <c r="B16" s="24"/>
      <c r="C16" s="25"/>
      <c r="D16" s="28"/>
      <c r="E16" s="29"/>
      <c r="F16" s="24"/>
      <c r="G16" s="25"/>
      <c r="H16" s="28"/>
      <c r="I16" s="29"/>
      <c r="J16" s="24"/>
      <c r="K16" s="25"/>
      <c r="L16" s="28"/>
      <c r="M16" s="29"/>
      <c r="N16" s="24"/>
      <c r="O16" s="25"/>
      <c r="P16" s="28"/>
      <c r="Q16" s="29"/>
      <c r="R16" s="24"/>
      <c r="S16" s="25"/>
      <c r="T16" s="28"/>
      <c r="U16" s="29"/>
      <c r="V16" s="24"/>
      <c r="W16" s="25"/>
      <c r="X16" s="28"/>
      <c r="Y16" s="29"/>
      <c r="Z16" s="24"/>
      <c r="AA16" s="25"/>
      <c r="AB16" s="28"/>
      <c r="AC16" s="29"/>
      <c r="AD16" s="24"/>
      <c r="AE16" s="25"/>
      <c r="AF16" s="28"/>
      <c r="AG16" s="29"/>
      <c r="AH16" s="24"/>
      <c r="AI16" s="25"/>
      <c r="AJ16" s="28"/>
      <c r="AK16" s="29"/>
      <c r="AL16" s="24"/>
      <c r="AM16" s="25"/>
      <c r="AN16" s="28"/>
      <c r="AO16" s="29"/>
      <c r="AP16" s="24"/>
      <c r="AQ16" s="25"/>
      <c r="AR16" s="28"/>
      <c r="AS16" s="29"/>
      <c r="AT16" s="24"/>
      <c r="AU16" s="25"/>
      <c r="AV16" s="28"/>
      <c r="AW16" s="29"/>
      <c r="AX16" s="24"/>
      <c r="AY16" s="25"/>
      <c r="AZ16" s="28"/>
      <c r="BA16" s="29"/>
      <c r="BB16" s="24"/>
      <c r="BC16" s="25"/>
      <c r="BD16" s="28"/>
      <c r="BE16" s="29"/>
      <c r="BF16" s="24"/>
      <c r="BG16" s="25"/>
      <c r="BH16" s="28"/>
      <c r="BI16" s="29"/>
      <c r="BJ16" s="24">
        <v>843.4</v>
      </c>
      <c r="BK16" s="58">
        <v>927.1</v>
      </c>
      <c r="BL16" s="58">
        <v>1025.9000000000001</v>
      </c>
      <c r="BM16" s="25">
        <v>1052.5</v>
      </c>
      <c r="BN16" s="28">
        <v>1109.4000000000001</v>
      </c>
      <c r="BO16" s="29">
        <v>1227.2</v>
      </c>
      <c r="BP16" s="109">
        <v>1405.1</v>
      </c>
      <c r="BQ16" s="25">
        <v>1509.6</v>
      </c>
      <c r="BR16" s="28">
        <f>2173.1</f>
        <v>2173.1</v>
      </c>
      <c r="BS16" s="29">
        <f>1877.6</f>
        <v>1877.6</v>
      </c>
      <c r="BT16" s="12">
        <v>2371.4</v>
      </c>
      <c r="BU16" s="57">
        <v>2891.4</v>
      </c>
      <c r="BV16" s="57">
        <v>2966.6</v>
      </c>
      <c r="BW16" s="13">
        <v>3191.9</v>
      </c>
      <c r="BX16" s="28">
        <v>3379.6</v>
      </c>
      <c r="BY16" s="29">
        <v>3539.2</v>
      </c>
      <c r="BZ16" s="109">
        <v>4654</v>
      </c>
      <c r="CA16" s="25">
        <v>4901.7</v>
      </c>
      <c r="CB16" s="28">
        <v>4990.3</v>
      </c>
      <c r="CC16" s="29">
        <v>5096.3999999999996</v>
      </c>
      <c r="CD16" s="109">
        <v>6345</v>
      </c>
      <c r="CE16" s="25">
        <v>6564.2</v>
      </c>
      <c r="CF16" s="149">
        <v>7032.9</v>
      </c>
      <c r="CG16" s="150">
        <v>7425.4</v>
      </c>
      <c r="CH16" s="150">
        <v>7547.7</v>
      </c>
      <c r="CI16" s="150">
        <v>7670</v>
      </c>
      <c r="CJ16" s="109"/>
      <c r="CK16" s="25"/>
      <c r="CL16" s="28"/>
      <c r="CM16" s="29"/>
      <c r="CN16" s="109"/>
      <c r="CO16" s="25"/>
      <c r="CP16" s="28"/>
      <c r="CQ16" s="29"/>
    </row>
    <row r="17" spans="1:95" ht="22.5" x14ac:dyDescent="0.55000000000000004">
      <c r="A17" s="7">
        <v>15</v>
      </c>
      <c r="B17" s="24"/>
      <c r="C17" s="25"/>
      <c r="D17" s="28"/>
      <c r="E17" s="29"/>
      <c r="F17" s="24"/>
      <c r="G17" s="25"/>
      <c r="H17" s="28"/>
      <c r="I17" s="29"/>
      <c r="J17" s="24"/>
      <c r="K17" s="25"/>
      <c r="L17" s="28"/>
      <c r="M17" s="29"/>
      <c r="N17" s="24"/>
      <c r="O17" s="25"/>
      <c r="P17" s="28"/>
      <c r="Q17" s="29"/>
      <c r="R17" s="24"/>
      <c r="S17" s="25"/>
      <c r="T17" s="28"/>
      <c r="U17" s="29"/>
      <c r="V17" s="24"/>
      <c r="W17" s="25"/>
      <c r="X17" s="28"/>
      <c r="Y17" s="29"/>
      <c r="Z17" s="24"/>
      <c r="AA17" s="25"/>
      <c r="AB17" s="28"/>
      <c r="AC17" s="29"/>
      <c r="AD17" s="24"/>
      <c r="AE17" s="25"/>
      <c r="AF17" s="28"/>
      <c r="AG17" s="29"/>
      <c r="AH17" s="24"/>
      <c r="AI17" s="25"/>
      <c r="AJ17" s="28"/>
      <c r="AK17" s="29"/>
      <c r="AL17" s="24"/>
      <c r="AM17" s="25"/>
      <c r="AN17" s="28"/>
      <c r="AO17" s="29"/>
      <c r="AP17" s="24"/>
      <c r="AQ17" s="25"/>
      <c r="AR17" s="28"/>
      <c r="AS17" s="29"/>
      <c r="AT17" s="24"/>
      <c r="AU17" s="25"/>
      <c r="AV17" s="28"/>
      <c r="AW17" s="29"/>
      <c r="AX17" s="24"/>
      <c r="AY17" s="25"/>
      <c r="AZ17" s="28"/>
      <c r="BA17" s="29"/>
      <c r="BB17" s="24"/>
      <c r="BC17" s="25"/>
      <c r="BD17" s="28"/>
      <c r="BE17" s="29"/>
      <c r="BF17" s="24"/>
      <c r="BG17" s="25"/>
      <c r="BH17" s="28"/>
      <c r="BI17" s="29"/>
      <c r="BJ17" s="24">
        <v>1105.7</v>
      </c>
      <c r="BK17" s="58">
        <v>1365.6</v>
      </c>
      <c r="BL17" s="58">
        <v>1787</v>
      </c>
      <c r="BM17" s="25">
        <v>1787</v>
      </c>
      <c r="BN17" s="28">
        <v>1751.7</v>
      </c>
      <c r="BO17" s="29">
        <v>1756.7</v>
      </c>
      <c r="BP17" s="109">
        <v>2207.8000000000002</v>
      </c>
      <c r="BQ17" s="25">
        <v>2187.1999999999998</v>
      </c>
      <c r="BR17" s="28">
        <f>1364.6</f>
        <v>1364.6</v>
      </c>
      <c r="BS17" s="29">
        <f>2292.2</f>
        <v>2292.1999999999998</v>
      </c>
      <c r="BT17" s="12">
        <v>2754.3</v>
      </c>
      <c r="BU17" s="57">
        <v>3722.7</v>
      </c>
      <c r="BV17" s="57">
        <v>3728.5</v>
      </c>
      <c r="BW17" s="13">
        <v>3817.3</v>
      </c>
      <c r="BX17" s="28">
        <v>4146.1000000000004</v>
      </c>
      <c r="BY17" s="29">
        <v>4163.1000000000004</v>
      </c>
      <c r="BZ17" s="109">
        <v>5415.4</v>
      </c>
      <c r="CA17" s="25">
        <v>5443.4</v>
      </c>
      <c r="CB17" s="28">
        <v>5446.8</v>
      </c>
      <c r="CC17" s="29">
        <v>5720.3</v>
      </c>
      <c r="CD17" s="109">
        <v>6333.4</v>
      </c>
      <c r="CE17" s="25">
        <v>7181.8</v>
      </c>
      <c r="CF17" s="149">
        <v>7486.5</v>
      </c>
      <c r="CG17" s="150">
        <v>8038.6</v>
      </c>
      <c r="CH17" s="150">
        <v>9375.6</v>
      </c>
      <c r="CI17" s="150">
        <v>9912.6</v>
      </c>
      <c r="CJ17" s="109"/>
      <c r="CK17" s="25"/>
      <c r="CL17" s="28"/>
      <c r="CM17" s="29"/>
      <c r="CN17" s="109"/>
      <c r="CO17" s="25"/>
      <c r="CP17" s="28"/>
      <c r="CQ17" s="29"/>
    </row>
    <row r="18" spans="1:95" ht="22.5" x14ac:dyDescent="0.55000000000000004">
      <c r="A18" s="7">
        <v>16</v>
      </c>
      <c r="B18" s="24"/>
      <c r="C18" s="25"/>
      <c r="D18" s="28"/>
      <c r="E18" s="29"/>
      <c r="F18" s="24"/>
      <c r="G18" s="25"/>
      <c r="H18" s="28"/>
      <c r="I18" s="29"/>
      <c r="J18" s="24"/>
      <c r="K18" s="25"/>
      <c r="L18" s="28"/>
      <c r="M18" s="29"/>
      <c r="N18" s="24"/>
      <c r="O18" s="25"/>
      <c r="P18" s="28"/>
      <c r="Q18" s="29"/>
      <c r="R18" s="24"/>
      <c r="S18" s="25"/>
      <c r="T18" s="28"/>
      <c r="U18" s="29"/>
      <c r="V18" s="24"/>
      <c r="W18" s="25"/>
      <c r="X18" s="28"/>
      <c r="Y18" s="29"/>
      <c r="Z18" s="24"/>
      <c r="AA18" s="25"/>
      <c r="AB18" s="28"/>
      <c r="AC18" s="29"/>
      <c r="AD18" s="24"/>
      <c r="AE18" s="25"/>
      <c r="AF18" s="28"/>
      <c r="AG18" s="29"/>
      <c r="AH18" s="24"/>
      <c r="AI18" s="25"/>
      <c r="AJ18" s="28"/>
      <c r="AK18" s="29"/>
      <c r="AL18" s="24"/>
      <c r="AM18" s="25"/>
      <c r="AN18" s="28"/>
      <c r="AO18" s="29"/>
      <c r="AP18" s="24"/>
      <c r="AQ18" s="25"/>
      <c r="AR18" s="28"/>
      <c r="AS18" s="29"/>
      <c r="AT18" s="24"/>
      <c r="AU18" s="25"/>
      <c r="AV18" s="28"/>
      <c r="AW18" s="29"/>
      <c r="AX18" s="24"/>
      <c r="AY18" s="25"/>
      <c r="AZ18" s="28"/>
      <c r="BA18" s="29"/>
      <c r="BB18" s="24"/>
      <c r="BC18" s="25"/>
      <c r="BD18" s="28"/>
      <c r="BE18" s="29"/>
      <c r="BF18" s="24"/>
      <c r="BG18" s="25"/>
      <c r="BH18" s="28"/>
      <c r="BI18" s="29"/>
      <c r="BJ18" s="24">
        <v>896.1</v>
      </c>
      <c r="BK18" s="58">
        <v>962.1</v>
      </c>
      <c r="BL18" s="58">
        <v>1071.7</v>
      </c>
      <c r="BM18" s="25">
        <v>1115.5999999999999</v>
      </c>
      <c r="BN18" s="28">
        <v>1181.5</v>
      </c>
      <c r="BO18" s="29">
        <v>1135.5</v>
      </c>
      <c r="BP18" s="109">
        <v>1459.6</v>
      </c>
      <c r="BQ18" s="25">
        <v>1355.7</v>
      </c>
      <c r="BR18" s="28">
        <f>1614.9</f>
        <v>1614.9</v>
      </c>
      <c r="BS18" s="29">
        <f>1594.9</f>
        <v>1594.9</v>
      </c>
      <c r="BT18" s="12">
        <v>1830.1</v>
      </c>
      <c r="BU18" s="57">
        <v>2399.3000000000002</v>
      </c>
      <c r="BV18" s="57">
        <v>2591</v>
      </c>
      <c r="BW18" s="13">
        <v>2792.9</v>
      </c>
      <c r="BX18" s="28">
        <v>2969.5</v>
      </c>
      <c r="BY18" s="29">
        <v>3255.8</v>
      </c>
      <c r="BZ18" s="109">
        <v>4088.2</v>
      </c>
      <c r="CA18" s="25">
        <v>4465.3</v>
      </c>
      <c r="CB18" s="28">
        <v>4029.1</v>
      </c>
      <c r="CC18" s="29">
        <v>3920</v>
      </c>
      <c r="CD18" s="109">
        <v>4205</v>
      </c>
      <c r="CE18" s="25">
        <v>4047.8</v>
      </c>
      <c r="CF18" s="149">
        <v>4145.2</v>
      </c>
      <c r="CG18" s="150">
        <v>4696</v>
      </c>
      <c r="CH18" s="150">
        <v>5069.8999999999996</v>
      </c>
      <c r="CI18" s="150">
        <v>5553.3</v>
      </c>
      <c r="CJ18" s="109"/>
      <c r="CK18" s="25"/>
      <c r="CL18" s="28"/>
      <c r="CM18" s="29"/>
      <c r="CN18" s="109"/>
      <c r="CO18" s="25"/>
      <c r="CP18" s="28"/>
      <c r="CQ18" s="29"/>
    </row>
    <row r="19" spans="1:95" ht="22.5" x14ac:dyDescent="0.55000000000000004">
      <c r="A19" s="7">
        <v>17</v>
      </c>
      <c r="B19" s="24"/>
      <c r="C19" s="25"/>
      <c r="D19" s="28"/>
      <c r="E19" s="29"/>
      <c r="F19" s="24"/>
      <c r="G19" s="25"/>
      <c r="H19" s="28"/>
      <c r="I19" s="29"/>
      <c r="J19" s="24"/>
      <c r="K19" s="25"/>
      <c r="L19" s="28"/>
      <c r="M19" s="29"/>
      <c r="N19" s="24"/>
      <c r="O19" s="25"/>
      <c r="P19" s="28"/>
      <c r="Q19" s="29"/>
      <c r="R19" s="24"/>
      <c r="S19" s="25"/>
      <c r="T19" s="28"/>
      <c r="U19" s="29"/>
      <c r="V19" s="24"/>
      <c r="W19" s="25"/>
      <c r="X19" s="28"/>
      <c r="Y19" s="29"/>
      <c r="Z19" s="24"/>
      <c r="AA19" s="25"/>
      <c r="AB19" s="28"/>
      <c r="AC19" s="29"/>
      <c r="AD19" s="24"/>
      <c r="AE19" s="25"/>
      <c r="AF19" s="28"/>
      <c r="AG19" s="29"/>
      <c r="AH19" s="24"/>
      <c r="AI19" s="25"/>
      <c r="AJ19" s="28"/>
      <c r="AK19" s="29"/>
      <c r="AL19" s="24"/>
      <c r="AM19" s="25"/>
      <c r="AN19" s="28"/>
      <c r="AO19" s="29"/>
      <c r="AP19" s="24"/>
      <c r="AQ19" s="25"/>
      <c r="AR19" s="28"/>
      <c r="AS19" s="29"/>
      <c r="AT19" s="24"/>
      <c r="AU19" s="25"/>
      <c r="AV19" s="28"/>
      <c r="AW19" s="29"/>
      <c r="AX19" s="24"/>
      <c r="AY19" s="25"/>
      <c r="AZ19" s="28"/>
      <c r="BA19" s="29"/>
      <c r="BB19" s="24"/>
      <c r="BC19" s="25"/>
      <c r="BD19" s="28"/>
      <c r="BE19" s="29"/>
      <c r="BF19" s="24"/>
      <c r="BG19" s="25"/>
      <c r="BH19" s="28"/>
      <c r="BI19" s="29"/>
      <c r="BJ19" s="24">
        <v>959.3</v>
      </c>
      <c r="BK19" s="58">
        <v>1027.5</v>
      </c>
      <c r="BL19" s="58">
        <v>1173.4000000000001</v>
      </c>
      <c r="BM19" s="25">
        <v>1331.1</v>
      </c>
      <c r="BN19" s="28">
        <v>1341</v>
      </c>
      <c r="BO19" s="29">
        <v>1353.7</v>
      </c>
      <c r="BP19" s="109">
        <v>1621.1</v>
      </c>
      <c r="BQ19" s="25">
        <v>1611.7</v>
      </c>
      <c r="BR19" s="28">
        <f>1459.2</f>
        <v>1459.2</v>
      </c>
      <c r="BS19" s="29">
        <f>1649.9</f>
        <v>1649.9</v>
      </c>
      <c r="BT19" s="12">
        <v>1870.2</v>
      </c>
      <c r="BU19" s="57">
        <v>2052.9</v>
      </c>
      <c r="BV19" s="57">
        <v>2183.5</v>
      </c>
      <c r="BW19" s="13">
        <v>2400.6</v>
      </c>
      <c r="BX19" s="28">
        <v>3038.7</v>
      </c>
      <c r="BY19" s="29">
        <v>3663.5</v>
      </c>
      <c r="BZ19" s="109">
        <v>3818.3</v>
      </c>
      <c r="CA19" s="25">
        <v>4077.1</v>
      </c>
      <c r="CB19" s="28">
        <v>4281.8999999999996</v>
      </c>
      <c r="CC19" s="29">
        <v>4422.6000000000004</v>
      </c>
      <c r="CD19" s="109">
        <v>4989.3</v>
      </c>
      <c r="CE19" s="25">
        <v>4716.6000000000004</v>
      </c>
      <c r="CF19" s="149">
        <v>4883.3</v>
      </c>
      <c r="CG19" s="150">
        <v>5251.4</v>
      </c>
      <c r="CH19" s="150">
        <v>5196.8</v>
      </c>
      <c r="CI19" s="150">
        <v>5116.3</v>
      </c>
      <c r="CJ19" s="109"/>
      <c r="CK19" s="25"/>
      <c r="CL19" s="28"/>
      <c r="CM19" s="29"/>
      <c r="CN19" s="109"/>
      <c r="CO19" s="25"/>
      <c r="CP19" s="28"/>
      <c r="CQ19" s="29"/>
    </row>
    <row r="20" spans="1:95" ht="22.5" x14ac:dyDescent="0.55000000000000004">
      <c r="A20" s="7">
        <v>18</v>
      </c>
      <c r="B20" s="24"/>
      <c r="C20" s="25"/>
      <c r="D20" s="28"/>
      <c r="E20" s="29"/>
      <c r="F20" s="24"/>
      <c r="G20" s="25"/>
      <c r="H20" s="28"/>
      <c r="I20" s="29"/>
      <c r="J20" s="24"/>
      <c r="K20" s="25"/>
      <c r="L20" s="28"/>
      <c r="M20" s="29"/>
      <c r="N20" s="24"/>
      <c r="O20" s="25"/>
      <c r="P20" s="28"/>
      <c r="Q20" s="29"/>
      <c r="R20" s="24"/>
      <c r="S20" s="25"/>
      <c r="T20" s="28"/>
      <c r="U20" s="29"/>
      <c r="V20" s="24"/>
      <c r="W20" s="25"/>
      <c r="X20" s="28"/>
      <c r="Y20" s="29"/>
      <c r="Z20" s="24"/>
      <c r="AA20" s="25"/>
      <c r="AB20" s="28"/>
      <c r="AC20" s="29"/>
      <c r="AD20" s="24"/>
      <c r="AE20" s="25"/>
      <c r="AF20" s="28"/>
      <c r="AG20" s="29"/>
      <c r="AH20" s="24"/>
      <c r="AI20" s="25"/>
      <c r="AJ20" s="28"/>
      <c r="AK20" s="29"/>
      <c r="AL20" s="24"/>
      <c r="AM20" s="25"/>
      <c r="AN20" s="28"/>
      <c r="AO20" s="29"/>
      <c r="AP20" s="24"/>
      <c r="AQ20" s="25"/>
      <c r="AR20" s="28"/>
      <c r="AS20" s="29"/>
      <c r="AT20" s="24"/>
      <c r="AU20" s="25"/>
      <c r="AV20" s="28"/>
      <c r="AW20" s="29"/>
      <c r="AX20" s="24"/>
      <c r="AY20" s="25"/>
      <c r="AZ20" s="28"/>
      <c r="BA20" s="29"/>
      <c r="BB20" s="24"/>
      <c r="BC20" s="25"/>
      <c r="BD20" s="28"/>
      <c r="BE20" s="29"/>
      <c r="BF20" s="24"/>
      <c r="BG20" s="25"/>
      <c r="BH20" s="28"/>
      <c r="BI20" s="29"/>
      <c r="BJ20" s="24">
        <v>1015.2</v>
      </c>
      <c r="BK20" s="58">
        <v>1061.2</v>
      </c>
      <c r="BL20" s="58">
        <v>1070.9000000000001</v>
      </c>
      <c r="BM20" s="25">
        <v>1080.2</v>
      </c>
      <c r="BN20" s="28">
        <v>1097.3</v>
      </c>
      <c r="BO20" s="29">
        <v>1125.5999999999999</v>
      </c>
      <c r="BP20" s="109">
        <v>1371.5</v>
      </c>
      <c r="BQ20" s="25">
        <v>1432.8</v>
      </c>
      <c r="BR20" s="28">
        <f>1459.2</f>
        <v>1459.2</v>
      </c>
      <c r="BS20" s="29">
        <f>1493.5</f>
        <v>1493.5</v>
      </c>
      <c r="BT20" s="12">
        <v>1823.6</v>
      </c>
      <c r="BU20" s="57">
        <v>1992.3</v>
      </c>
      <c r="BV20" s="57">
        <v>2005.8</v>
      </c>
      <c r="BW20" s="13">
        <v>2035.6</v>
      </c>
      <c r="BX20" s="28">
        <v>2235.8000000000002</v>
      </c>
      <c r="BY20" s="29">
        <v>2347.8000000000002</v>
      </c>
      <c r="BZ20" s="109">
        <v>3082.7</v>
      </c>
      <c r="CA20" s="25">
        <v>3228.2</v>
      </c>
      <c r="CB20" s="28">
        <v>3235.3</v>
      </c>
      <c r="CC20" s="29">
        <v>3251.7</v>
      </c>
      <c r="CD20" s="109">
        <v>4227.2</v>
      </c>
      <c r="CE20" s="25">
        <v>4308.5</v>
      </c>
      <c r="CF20" s="149">
        <v>4578.3999999999996</v>
      </c>
      <c r="CG20" s="150">
        <v>4747.5</v>
      </c>
      <c r="CH20" s="150">
        <v>4747.5</v>
      </c>
      <c r="CI20" s="150">
        <v>4747.5</v>
      </c>
      <c r="CJ20" s="109"/>
      <c r="CK20" s="25"/>
      <c r="CL20" s="28"/>
      <c r="CM20" s="29"/>
      <c r="CN20" s="109"/>
      <c r="CO20" s="25"/>
      <c r="CP20" s="28"/>
      <c r="CQ20" s="29"/>
    </row>
    <row r="21" spans="1:95" ht="22.5" hidden="1" customHeight="1" x14ac:dyDescent="0.55000000000000004">
      <c r="A21" s="7">
        <v>19</v>
      </c>
      <c r="B21" s="24"/>
      <c r="C21" s="25"/>
      <c r="D21" s="28"/>
      <c r="E21" s="29"/>
      <c r="F21" s="24"/>
      <c r="G21" s="25"/>
      <c r="H21" s="28"/>
      <c r="I21" s="29"/>
      <c r="J21" s="24"/>
      <c r="K21" s="25"/>
      <c r="L21" s="28"/>
      <c r="M21" s="29"/>
      <c r="N21" s="24"/>
      <c r="O21" s="25"/>
      <c r="P21" s="28"/>
      <c r="Q21" s="29"/>
      <c r="R21" s="24"/>
      <c r="S21" s="25"/>
      <c r="T21" s="28"/>
      <c r="U21" s="29"/>
      <c r="V21" s="24"/>
      <c r="W21" s="25"/>
      <c r="X21" s="28"/>
      <c r="Y21" s="29"/>
      <c r="Z21" s="24"/>
      <c r="AA21" s="25"/>
      <c r="AB21" s="28"/>
      <c r="AC21" s="29"/>
      <c r="AD21" s="24"/>
      <c r="AE21" s="25"/>
      <c r="AF21" s="28"/>
      <c r="AG21" s="29"/>
      <c r="AH21" s="24"/>
      <c r="AI21" s="25"/>
      <c r="AJ21" s="28"/>
      <c r="AK21" s="29"/>
      <c r="AL21" s="24"/>
      <c r="AM21" s="25"/>
      <c r="AN21" s="28"/>
      <c r="AO21" s="29"/>
      <c r="AP21" s="24"/>
      <c r="AQ21" s="25"/>
      <c r="AR21" s="28"/>
      <c r="AS21" s="29"/>
      <c r="AT21" s="24"/>
      <c r="AU21" s="25"/>
      <c r="AV21" s="28"/>
      <c r="AW21" s="29"/>
      <c r="AX21" s="24"/>
      <c r="AY21" s="25"/>
      <c r="AZ21" s="28"/>
      <c r="BA21" s="29"/>
      <c r="BB21" s="24"/>
      <c r="BC21" s="25"/>
      <c r="BD21" s="28"/>
      <c r="BE21" s="29"/>
      <c r="BF21" s="24"/>
      <c r="BG21" s="25"/>
      <c r="BH21" s="28"/>
      <c r="BI21" s="29"/>
      <c r="BJ21" s="24"/>
      <c r="BK21" s="58"/>
      <c r="BL21" s="58"/>
      <c r="BM21" s="25"/>
      <c r="BN21" s="28"/>
      <c r="BO21" s="29"/>
      <c r="BQ21" s="25"/>
      <c r="BR21" s="28"/>
      <c r="BS21" s="29"/>
      <c r="BT21" s="12"/>
      <c r="BU21" s="57"/>
      <c r="BV21" s="57"/>
      <c r="BW21" s="13"/>
      <c r="BX21" s="28"/>
      <c r="BY21" s="29"/>
      <c r="CA21" s="25"/>
      <c r="CB21" s="28"/>
      <c r="CC21" s="29">
        <v>3772.8</v>
      </c>
      <c r="CE21" s="25"/>
      <c r="CF21" s="151"/>
      <c r="CG21" s="152"/>
      <c r="CH21" s="152"/>
      <c r="CI21" s="152"/>
      <c r="CK21" s="25"/>
      <c r="CL21" s="28"/>
      <c r="CM21" s="29"/>
      <c r="CO21" s="25"/>
      <c r="CP21" s="28"/>
      <c r="CQ21" s="29"/>
    </row>
    <row r="22" spans="1:95" ht="22.5" hidden="1" customHeight="1" x14ac:dyDescent="0.55000000000000004">
      <c r="A22" s="7">
        <v>20</v>
      </c>
      <c r="B22" s="24"/>
      <c r="C22" s="25"/>
      <c r="D22" s="28"/>
      <c r="E22" s="29"/>
      <c r="F22" s="24"/>
      <c r="G22" s="25"/>
      <c r="H22" s="28"/>
      <c r="I22" s="29"/>
      <c r="J22" s="24"/>
      <c r="K22" s="25"/>
      <c r="L22" s="28"/>
      <c r="M22" s="29"/>
      <c r="N22" s="24"/>
      <c r="O22" s="25"/>
      <c r="P22" s="28"/>
      <c r="Q22" s="29"/>
      <c r="R22" s="24"/>
      <c r="S22" s="25"/>
      <c r="T22" s="28"/>
      <c r="U22" s="29"/>
      <c r="V22" s="24"/>
      <c r="W22" s="25"/>
      <c r="X22" s="28"/>
      <c r="Y22" s="29"/>
      <c r="Z22" s="24"/>
      <c r="AA22" s="25"/>
      <c r="AB22" s="28"/>
      <c r="AC22" s="29"/>
      <c r="AD22" s="24"/>
      <c r="AE22" s="25"/>
      <c r="AF22" s="28"/>
      <c r="AG22" s="29"/>
      <c r="AH22" s="24"/>
      <c r="AI22" s="25"/>
      <c r="AJ22" s="28"/>
      <c r="AK22" s="29"/>
      <c r="AL22" s="24"/>
      <c r="AM22" s="25"/>
      <c r="AN22" s="28"/>
      <c r="AO22" s="29"/>
      <c r="AP22" s="24"/>
      <c r="AQ22" s="25"/>
      <c r="AR22" s="28"/>
      <c r="AS22" s="29"/>
      <c r="AT22" s="24"/>
      <c r="AU22" s="25"/>
      <c r="AV22" s="28"/>
      <c r="AW22" s="29"/>
      <c r="AX22" s="24"/>
      <c r="AY22" s="25"/>
      <c r="AZ22" s="28"/>
      <c r="BA22" s="29"/>
      <c r="BB22" s="24"/>
      <c r="BC22" s="25"/>
      <c r="BD22" s="28"/>
      <c r="BE22" s="29"/>
      <c r="BF22" s="24"/>
      <c r="BG22" s="25"/>
      <c r="BH22" s="28"/>
      <c r="BI22" s="29"/>
      <c r="BJ22" s="24"/>
      <c r="BK22" s="58"/>
      <c r="BL22" s="58"/>
      <c r="BM22" s="25"/>
      <c r="BN22" s="28"/>
      <c r="BO22" s="29"/>
      <c r="BP22" s="24"/>
      <c r="BQ22" s="25"/>
      <c r="BR22" s="28"/>
      <c r="BS22" s="29"/>
      <c r="BT22" s="12"/>
      <c r="BU22" s="57"/>
      <c r="BV22" s="57"/>
      <c r="BW22" s="13"/>
      <c r="BX22" s="28"/>
      <c r="BY22" s="29"/>
      <c r="BZ22" s="24"/>
      <c r="CA22" s="25"/>
      <c r="CB22" s="28"/>
      <c r="CC22" s="29"/>
      <c r="CD22" s="24"/>
      <c r="CE22" s="25"/>
      <c r="CF22" s="151"/>
      <c r="CG22" s="152"/>
      <c r="CH22" s="152"/>
      <c r="CI22" s="152"/>
      <c r="CJ22" s="24"/>
      <c r="CK22" s="25"/>
      <c r="CL22" s="28"/>
      <c r="CM22" s="29"/>
      <c r="CN22" s="24"/>
      <c r="CO22" s="25"/>
      <c r="CP22" s="28"/>
      <c r="CQ22" s="29"/>
    </row>
    <row r="23" spans="1:95" ht="22.5" hidden="1" customHeight="1" x14ac:dyDescent="0.55000000000000004">
      <c r="A23" s="7">
        <v>21</v>
      </c>
      <c r="B23" s="24"/>
      <c r="C23" s="25"/>
      <c r="D23" s="28"/>
      <c r="E23" s="29"/>
      <c r="F23" s="24"/>
      <c r="G23" s="25"/>
      <c r="H23" s="28"/>
      <c r="I23" s="29"/>
      <c r="J23" s="24"/>
      <c r="K23" s="25"/>
      <c r="L23" s="28"/>
      <c r="M23" s="29"/>
      <c r="N23" s="24"/>
      <c r="O23" s="25"/>
      <c r="P23" s="28"/>
      <c r="Q23" s="29"/>
      <c r="R23" s="24"/>
      <c r="S23" s="25"/>
      <c r="T23" s="28"/>
      <c r="U23" s="29"/>
      <c r="V23" s="24"/>
      <c r="W23" s="25"/>
      <c r="X23" s="28"/>
      <c r="Y23" s="29"/>
      <c r="Z23" s="24"/>
      <c r="AA23" s="25"/>
      <c r="AB23" s="28"/>
      <c r="AC23" s="29"/>
      <c r="AD23" s="24"/>
      <c r="AE23" s="25"/>
      <c r="AF23" s="28"/>
      <c r="AG23" s="29"/>
      <c r="AH23" s="24"/>
      <c r="AI23" s="25"/>
      <c r="AJ23" s="28"/>
      <c r="AK23" s="29"/>
      <c r="AL23" s="24"/>
      <c r="AM23" s="25"/>
      <c r="AN23" s="28"/>
      <c r="AO23" s="29"/>
      <c r="AP23" s="24"/>
      <c r="AQ23" s="25"/>
      <c r="AR23" s="28"/>
      <c r="AS23" s="29"/>
      <c r="AT23" s="24"/>
      <c r="AU23" s="25"/>
      <c r="AV23" s="28"/>
      <c r="AW23" s="29"/>
      <c r="AX23" s="24"/>
      <c r="AY23" s="25"/>
      <c r="AZ23" s="28"/>
      <c r="BA23" s="29"/>
      <c r="BB23" s="24"/>
      <c r="BC23" s="25"/>
      <c r="BD23" s="28"/>
      <c r="BE23" s="29"/>
      <c r="BF23" s="24"/>
      <c r="BG23" s="25"/>
      <c r="BH23" s="28"/>
      <c r="BI23" s="29"/>
      <c r="BJ23" s="24"/>
      <c r="BK23" s="58"/>
      <c r="BL23" s="58"/>
      <c r="BM23" s="25"/>
      <c r="BN23" s="28"/>
      <c r="BO23" s="29"/>
      <c r="BP23" s="24"/>
      <c r="BQ23" s="25"/>
      <c r="BR23" s="28"/>
      <c r="BS23" s="29"/>
      <c r="BT23" s="12"/>
      <c r="BU23" s="57"/>
      <c r="BV23" s="57"/>
      <c r="BW23" s="13"/>
      <c r="BX23" s="28"/>
      <c r="BY23" s="29"/>
      <c r="BZ23" s="24"/>
      <c r="CA23" s="25"/>
      <c r="CB23" s="28"/>
      <c r="CC23" s="29"/>
      <c r="CD23" s="24"/>
      <c r="CE23" s="25"/>
      <c r="CF23" s="151"/>
      <c r="CG23" s="152"/>
      <c r="CH23" s="152"/>
      <c r="CI23" s="152"/>
      <c r="CJ23" s="24"/>
      <c r="CK23" s="25"/>
      <c r="CL23" s="28"/>
      <c r="CM23" s="29"/>
      <c r="CN23" s="24"/>
      <c r="CO23" s="25"/>
      <c r="CP23" s="28"/>
      <c r="CQ23" s="29"/>
    </row>
    <row r="24" spans="1:95" ht="22.5" hidden="1" customHeight="1" x14ac:dyDescent="0.55000000000000004">
      <c r="A24" s="7">
        <v>22</v>
      </c>
      <c r="B24" s="24"/>
      <c r="C24" s="25"/>
      <c r="D24" s="28"/>
      <c r="E24" s="29"/>
      <c r="F24" s="24"/>
      <c r="G24" s="25"/>
      <c r="H24" s="28"/>
      <c r="I24" s="29"/>
      <c r="J24" s="24"/>
      <c r="K24" s="25"/>
      <c r="L24" s="28"/>
      <c r="M24" s="29"/>
      <c r="N24" s="24"/>
      <c r="O24" s="25"/>
      <c r="P24" s="28"/>
      <c r="Q24" s="29"/>
      <c r="R24" s="24"/>
      <c r="S24" s="25"/>
      <c r="T24" s="28"/>
      <c r="U24" s="29"/>
      <c r="V24" s="24"/>
      <c r="W24" s="25"/>
      <c r="X24" s="28"/>
      <c r="Y24" s="29"/>
      <c r="Z24" s="24"/>
      <c r="AA24" s="25"/>
      <c r="AB24" s="28"/>
      <c r="AC24" s="29"/>
      <c r="AD24" s="24"/>
      <c r="AE24" s="25"/>
      <c r="AF24" s="28"/>
      <c r="AG24" s="29"/>
      <c r="AH24" s="24"/>
      <c r="AI24" s="25"/>
      <c r="AJ24" s="28"/>
      <c r="AK24" s="29"/>
      <c r="AL24" s="24"/>
      <c r="AM24" s="25"/>
      <c r="AN24" s="28"/>
      <c r="AO24" s="29"/>
      <c r="AP24" s="24"/>
      <c r="AQ24" s="25"/>
      <c r="AR24" s="28"/>
      <c r="AS24" s="29"/>
      <c r="AT24" s="24"/>
      <c r="AU24" s="25"/>
      <c r="AV24" s="28"/>
      <c r="AW24" s="29"/>
      <c r="AX24" s="24"/>
      <c r="AY24" s="25"/>
      <c r="AZ24" s="28"/>
      <c r="BA24" s="29"/>
      <c r="BB24" s="24"/>
      <c r="BC24" s="25"/>
      <c r="BD24" s="28"/>
      <c r="BE24" s="29"/>
      <c r="BF24" s="24"/>
      <c r="BG24" s="25"/>
      <c r="BH24" s="28"/>
      <c r="BI24" s="29"/>
      <c r="BJ24" s="24"/>
      <c r="BK24" s="58"/>
      <c r="BL24" s="58"/>
      <c r="BM24" s="25"/>
      <c r="BN24" s="28"/>
      <c r="BO24" s="29"/>
      <c r="BP24" s="24"/>
      <c r="BQ24" s="25"/>
      <c r="BR24" s="28"/>
      <c r="BS24" s="29"/>
      <c r="BT24" s="12"/>
      <c r="BU24" s="57"/>
      <c r="BV24" s="57"/>
      <c r="BW24" s="13"/>
      <c r="BX24" s="28"/>
      <c r="BY24" s="29"/>
      <c r="BZ24" s="24"/>
      <c r="CA24" s="25"/>
      <c r="CB24" s="28"/>
      <c r="CC24" s="29"/>
      <c r="CD24" s="24"/>
      <c r="CE24" s="25"/>
      <c r="CF24" s="151"/>
      <c r="CG24" s="152"/>
      <c r="CH24" s="152"/>
      <c r="CI24" s="152"/>
      <c r="CJ24" s="24"/>
      <c r="CK24" s="25"/>
      <c r="CL24" s="28"/>
      <c r="CM24" s="29"/>
      <c r="CN24" s="24"/>
      <c r="CO24" s="25"/>
      <c r="CP24" s="28"/>
      <c r="CQ24" s="29"/>
    </row>
    <row r="25" spans="1:95" ht="22.5" hidden="1" customHeight="1" x14ac:dyDescent="0.55000000000000004">
      <c r="A25" s="7">
        <v>23</v>
      </c>
      <c r="B25" s="24"/>
      <c r="C25" s="25"/>
      <c r="D25" s="28"/>
      <c r="E25" s="29"/>
      <c r="F25" s="24"/>
      <c r="G25" s="25"/>
      <c r="H25" s="28"/>
      <c r="I25" s="29"/>
      <c r="J25" s="24"/>
      <c r="K25" s="25"/>
      <c r="L25" s="28"/>
      <c r="M25" s="29"/>
      <c r="N25" s="24"/>
      <c r="O25" s="25"/>
      <c r="P25" s="28"/>
      <c r="Q25" s="29"/>
      <c r="R25" s="24"/>
      <c r="S25" s="25"/>
      <c r="T25" s="28"/>
      <c r="U25" s="29"/>
      <c r="V25" s="24"/>
      <c r="W25" s="25"/>
      <c r="X25" s="28"/>
      <c r="Y25" s="29"/>
      <c r="Z25" s="24"/>
      <c r="AA25" s="25"/>
      <c r="AB25" s="28"/>
      <c r="AC25" s="29"/>
      <c r="AD25" s="24"/>
      <c r="AE25" s="25"/>
      <c r="AF25" s="28"/>
      <c r="AG25" s="29"/>
      <c r="AH25" s="24"/>
      <c r="AI25" s="25"/>
      <c r="AJ25" s="28"/>
      <c r="AK25" s="29"/>
      <c r="AL25" s="24"/>
      <c r="AM25" s="25"/>
      <c r="AN25" s="28"/>
      <c r="AO25" s="29"/>
      <c r="AP25" s="24"/>
      <c r="AQ25" s="25"/>
      <c r="AR25" s="28"/>
      <c r="AS25" s="29"/>
      <c r="AT25" s="24"/>
      <c r="AU25" s="25"/>
      <c r="AV25" s="28"/>
      <c r="AW25" s="29"/>
      <c r="AX25" s="24"/>
      <c r="AY25" s="25"/>
      <c r="AZ25" s="28"/>
      <c r="BA25" s="29"/>
      <c r="BB25" s="24"/>
      <c r="BC25" s="25"/>
      <c r="BD25" s="28"/>
      <c r="BE25" s="29"/>
      <c r="BF25" s="24"/>
      <c r="BG25" s="25"/>
      <c r="BH25" s="28"/>
      <c r="BI25" s="29"/>
      <c r="BJ25" s="24"/>
      <c r="BK25" s="58"/>
      <c r="BL25" s="58"/>
      <c r="BM25" s="25"/>
      <c r="BN25" s="28"/>
      <c r="BO25" s="29"/>
      <c r="BP25" s="24"/>
      <c r="BQ25" s="25"/>
      <c r="BR25" s="28"/>
      <c r="BS25" s="29"/>
      <c r="BT25" s="12"/>
      <c r="BU25" s="57"/>
      <c r="BV25" s="57"/>
      <c r="BW25" s="13"/>
      <c r="BX25" s="28"/>
      <c r="BY25" s="29"/>
      <c r="BZ25" s="24"/>
      <c r="CA25" s="25"/>
      <c r="CB25" s="28"/>
      <c r="CC25" s="29"/>
      <c r="CD25" s="24"/>
      <c r="CE25" s="25"/>
      <c r="CF25" s="151"/>
      <c r="CG25" s="152"/>
      <c r="CH25" s="152"/>
      <c r="CI25" s="152"/>
      <c r="CJ25" s="24"/>
      <c r="CK25" s="25"/>
      <c r="CL25" s="28"/>
      <c r="CM25" s="29"/>
      <c r="CN25" s="24"/>
      <c r="CO25" s="25"/>
      <c r="CP25" s="28"/>
      <c r="CQ25" s="29"/>
    </row>
    <row r="26" spans="1:95" ht="22.5" hidden="1" customHeight="1" x14ac:dyDescent="0.55000000000000004">
      <c r="A26" s="7">
        <v>24</v>
      </c>
      <c r="B26" s="24"/>
      <c r="C26" s="25"/>
      <c r="D26" s="28"/>
      <c r="E26" s="29"/>
      <c r="F26" s="24"/>
      <c r="G26" s="25"/>
      <c r="H26" s="28"/>
      <c r="I26" s="29"/>
      <c r="J26" s="24"/>
      <c r="K26" s="25"/>
      <c r="L26" s="28"/>
      <c r="M26" s="29"/>
      <c r="N26" s="24"/>
      <c r="O26" s="25"/>
      <c r="P26" s="28"/>
      <c r="Q26" s="29"/>
      <c r="R26" s="24"/>
      <c r="S26" s="25"/>
      <c r="T26" s="28"/>
      <c r="U26" s="29"/>
      <c r="V26" s="24"/>
      <c r="W26" s="25"/>
      <c r="X26" s="28"/>
      <c r="Y26" s="29"/>
      <c r="Z26" s="24"/>
      <c r="AA26" s="25"/>
      <c r="AB26" s="28"/>
      <c r="AC26" s="29"/>
      <c r="AD26" s="24"/>
      <c r="AE26" s="25"/>
      <c r="AF26" s="28"/>
      <c r="AG26" s="29"/>
      <c r="AH26" s="24"/>
      <c r="AI26" s="25"/>
      <c r="AJ26" s="28"/>
      <c r="AK26" s="29"/>
      <c r="AL26" s="24"/>
      <c r="AM26" s="25"/>
      <c r="AN26" s="28"/>
      <c r="AO26" s="29"/>
      <c r="AP26" s="24"/>
      <c r="AQ26" s="25"/>
      <c r="AR26" s="28"/>
      <c r="AS26" s="29"/>
      <c r="AT26" s="24"/>
      <c r="AU26" s="25"/>
      <c r="AV26" s="28"/>
      <c r="AW26" s="29"/>
      <c r="AX26" s="24"/>
      <c r="AY26" s="25"/>
      <c r="AZ26" s="28"/>
      <c r="BA26" s="29"/>
      <c r="BB26" s="24"/>
      <c r="BC26" s="25"/>
      <c r="BD26" s="28"/>
      <c r="BE26" s="29"/>
      <c r="BF26" s="24"/>
      <c r="BG26" s="25"/>
      <c r="BH26" s="28"/>
      <c r="BI26" s="29"/>
      <c r="BJ26" s="24"/>
      <c r="BK26" s="58"/>
      <c r="BL26" s="58"/>
      <c r="BM26" s="25"/>
      <c r="BN26" s="28"/>
      <c r="BO26" s="29"/>
      <c r="BP26" s="24"/>
      <c r="BQ26" s="25"/>
      <c r="BR26" s="28"/>
      <c r="BS26" s="29"/>
      <c r="BT26" s="12"/>
      <c r="BU26" s="57"/>
      <c r="BV26" s="57"/>
      <c r="BW26" s="13"/>
      <c r="BX26" s="28"/>
      <c r="BY26" s="29"/>
      <c r="BZ26" s="24"/>
      <c r="CA26" s="25"/>
      <c r="CB26" s="28"/>
      <c r="CC26" s="29"/>
      <c r="CD26" s="24"/>
      <c r="CE26" s="25"/>
      <c r="CF26" s="151"/>
      <c r="CG26" s="152"/>
      <c r="CH26" s="152"/>
      <c r="CI26" s="152"/>
      <c r="CJ26" s="24"/>
      <c r="CK26" s="25"/>
      <c r="CL26" s="28"/>
      <c r="CM26" s="29"/>
      <c r="CN26" s="24"/>
      <c r="CO26" s="25"/>
      <c r="CP26" s="28"/>
      <c r="CQ26" s="29"/>
    </row>
    <row r="27" spans="1:95" ht="22.5" hidden="1" customHeight="1" x14ac:dyDescent="0.55000000000000004">
      <c r="A27" s="7">
        <v>25</v>
      </c>
      <c r="B27" s="24"/>
      <c r="C27" s="25"/>
      <c r="D27" s="28"/>
      <c r="E27" s="29"/>
      <c r="F27" s="24"/>
      <c r="G27" s="25"/>
      <c r="H27" s="28"/>
      <c r="I27" s="29"/>
      <c r="J27" s="24"/>
      <c r="K27" s="25"/>
      <c r="L27" s="28"/>
      <c r="M27" s="29"/>
      <c r="N27" s="24"/>
      <c r="O27" s="25"/>
      <c r="P27" s="28"/>
      <c r="Q27" s="29"/>
      <c r="R27" s="24"/>
      <c r="S27" s="25"/>
      <c r="T27" s="28"/>
      <c r="U27" s="29"/>
      <c r="V27" s="24"/>
      <c r="W27" s="25"/>
      <c r="X27" s="28"/>
      <c r="Y27" s="29"/>
      <c r="Z27" s="24"/>
      <c r="AA27" s="25"/>
      <c r="AB27" s="28"/>
      <c r="AC27" s="29"/>
      <c r="AD27" s="24"/>
      <c r="AE27" s="25"/>
      <c r="AF27" s="28"/>
      <c r="AG27" s="29"/>
      <c r="AH27" s="24"/>
      <c r="AI27" s="25"/>
      <c r="AJ27" s="28"/>
      <c r="AK27" s="29"/>
      <c r="AL27" s="24"/>
      <c r="AM27" s="25"/>
      <c r="AN27" s="28"/>
      <c r="AO27" s="29"/>
      <c r="AP27" s="24"/>
      <c r="AQ27" s="25"/>
      <c r="AR27" s="28"/>
      <c r="AS27" s="29"/>
      <c r="AT27" s="24"/>
      <c r="AU27" s="25"/>
      <c r="AV27" s="28"/>
      <c r="AW27" s="29"/>
      <c r="AX27" s="24"/>
      <c r="AY27" s="25"/>
      <c r="AZ27" s="28"/>
      <c r="BA27" s="29"/>
      <c r="BB27" s="24"/>
      <c r="BC27" s="25"/>
      <c r="BD27" s="28"/>
      <c r="BE27" s="29"/>
      <c r="BF27" s="24"/>
      <c r="BG27" s="25"/>
      <c r="BH27" s="28"/>
      <c r="BI27" s="29"/>
      <c r="BJ27" s="24"/>
      <c r="BK27" s="58"/>
      <c r="BL27" s="58"/>
      <c r="BM27" s="25"/>
      <c r="BN27" s="28"/>
      <c r="BO27" s="29"/>
      <c r="BP27" s="24"/>
      <c r="BQ27" s="25"/>
      <c r="BR27" s="28"/>
      <c r="BS27" s="29"/>
      <c r="BT27" s="12"/>
      <c r="BU27" s="57"/>
      <c r="BV27" s="57"/>
      <c r="BW27" s="13"/>
      <c r="BX27" s="28"/>
      <c r="BY27" s="29"/>
      <c r="BZ27" s="24"/>
      <c r="CA27" s="25"/>
      <c r="CB27" s="28"/>
      <c r="CC27" s="29"/>
      <c r="CD27" s="24"/>
      <c r="CE27" s="25"/>
      <c r="CF27" s="151"/>
      <c r="CG27" s="152"/>
      <c r="CH27" s="152"/>
      <c r="CI27" s="152"/>
      <c r="CJ27" s="24"/>
      <c r="CK27" s="25"/>
      <c r="CL27" s="28"/>
      <c r="CM27" s="29"/>
      <c r="CN27" s="24"/>
      <c r="CO27" s="25"/>
      <c r="CP27" s="28"/>
      <c r="CQ27" s="29"/>
    </row>
    <row r="28" spans="1:95" ht="22.5" hidden="1" customHeight="1" x14ac:dyDescent="0.55000000000000004">
      <c r="A28" s="7">
        <v>26</v>
      </c>
      <c r="B28" s="24"/>
      <c r="C28" s="25"/>
      <c r="D28" s="28"/>
      <c r="E28" s="29"/>
      <c r="F28" s="24"/>
      <c r="G28" s="25"/>
      <c r="H28" s="28"/>
      <c r="I28" s="29"/>
      <c r="J28" s="24"/>
      <c r="K28" s="25"/>
      <c r="L28" s="28"/>
      <c r="M28" s="29"/>
      <c r="N28" s="24"/>
      <c r="O28" s="25"/>
      <c r="P28" s="28"/>
      <c r="Q28" s="29"/>
      <c r="R28" s="24"/>
      <c r="S28" s="25"/>
      <c r="T28" s="28"/>
      <c r="U28" s="29"/>
      <c r="V28" s="24"/>
      <c r="W28" s="25"/>
      <c r="X28" s="28"/>
      <c r="Y28" s="29"/>
      <c r="Z28" s="24"/>
      <c r="AA28" s="25"/>
      <c r="AB28" s="28"/>
      <c r="AC28" s="29"/>
      <c r="AD28" s="24"/>
      <c r="AE28" s="25"/>
      <c r="AF28" s="28"/>
      <c r="AG28" s="29"/>
      <c r="AH28" s="24"/>
      <c r="AI28" s="25"/>
      <c r="AJ28" s="28"/>
      <c r="AK28" s="29"/>
      <c r="AL28" s="24"/>
      <c r="AM28" s="25"/>
      <c r="AN28" s="28"/>
      <c r="AO28" s="29"/>
      <c r="AP28" s="24"/>
      <c r="AQ28" s="25"/>
      <c r="AR28" s="28"/>
      <c r="AS28" s="29"/>
      <c r="AT28" s="24"/>
      <c r="AU28" s="25"/>
      <c r="AV28" s="28"/>
      <c r="AW28" s="29"/>
      <c r="AX28" s="24"/>
      <c r="AY28" s="25"/>
      <c r="AZ28" s="28"/>
      <c r="BA28" s="29"/>
      <c r="BB28" s="24"/>
      <c r="BC28" s="25"/>
      <c r="BD28" s="28"/>
      <c r="BE28" s="29"/>
      <c r="BF28" s="24"/>
      <c r="BG28" s="25"/>
      <c r="BH28" s="28"/>
      <c r="BI28" s="29"/>
      <c r="BJ28" s="24"/>
      <c r="BK28" s="58"/>
      <c r="BL28" s="58"/>
      <c r="BM28" s="25"/>
      <c r="BN28" s="28"/>
      <c r="BO28" s="29"/>
      <c r="BP28" s="24"/>
      <c r="BQ28" s="25"/>
      <c r="BR28" s="28"/>
      <c r="BS28" s="29"/>
      <c r="BT28" s="12"/>
      <c r="BU28" s="57"/>
      <c r="BV28" s="57"/>
      <c r="BW28" s="13"/>
      <c r="BX28" s="28"/>
      <c r="BY28" s="29"/>
      <c r="BZ28" s="24"/>
      <c r="CA28" s="25"/>
      <c r="CB28" s="28"/>
      <c r="CC28" s="29"/>
      <c r="CD28" s="24"/>
      <c r="CE28" s="25"/>
      <c r="CF28" s="151"/>
      <c r="CG28" s="152"/>
      <c r="CH28" s="152"/>
      <c r="CI28" s="152"/>
      <c r="CJ28" s="24"/>
      <c r="CK28" s="25"/>
      <c r="CL28" s="28"/>
      <c r="CM28" s="29"/>
      <c r="CN28" s="24"/>
      <c r="CO28" s="25"/>
      <c r="CP28" s="28"/>
      <c r="CQ28" s="29"/>
    </row>
    <row r="29" spans="1:95" ht="22.5" hidden="1" customHeight="1" x14ac:dyDescent="0.55000000000000004">
      <c r="A29" s="7">
        <v>27</v>
      </c>
      <c r="B29" s="24"/>
      <c r="C29" s="25"/>
      <c r="D29" s="28"/>
      <c r="E29" s="29"/>
      <c r="F29" s="24"/>
      <c r="G29" s="25"/>
      <c r="H29" s="28"/>
      <c r="I29" s="29"/>
      <c r="J29" s="24"/>
      <c r="K29" s="25"/>
      <c r="L29" s="28"/>
      <c r="M29" s="29"/>
      <c r="N29" s="24"/>
      <c r="O29" s="25"/>
      <c r="P29" s="28"/>
      <c r="Q29" s="29"/>
      <c r="R29" s="24"/>
      <c r="S29" s="25"/>
      <c r="T29" s="28"/>
      <c r="U29" s="29"/>
      <c r="V29" s="24"/>
      <c r="W29" s="25"/>
      <c r="X29" s="28"/>
      <c r="Y29" s="29"/>
      <c r="Z29" s="24"/>
      <c r="AA29" s="25"/>
      <c r="AB29" s="28"/>
      <c r="AC29" s="29"/>
      <c r="AD29" s="24"/>
      <c r="AE29" s="25"/>
      <c r="AF29" s="28"/>
      <c r="AG29" s="29"/>
      <c r="AH29" s="24"/>
      <c r="AI29" s="25"/>
      <c r="AJ29" s="28"/>
      <c r="AK29" s="29"/>
      <c r="AL29" s="24"/>
      <c r="AM29" s="25"/>
      <c r="AN29" s="28"/>
      <c r="AO29" s="29"/>
      <c r="AP29" s="24"/>
      <c r="AQ29" s="25"/>
      <c r="AR29" s="28"/>
      <c r="AS29" s="29"/>
      <c r="AT29" s="24"/>
      <c r="AU29" s="25"/>
      <c r="AV29" s="28"/>
      <c r="AW29" s="29"/>
      <c r="AX29" s="24"/>
      <c r="AY29" s="25"/>
      <c r="AZ29" s="28"/>
      <c r="BA29" s="29"/>
      <c r="BB29" s="24"/>
      <c r="BC29" s="25"/>
      <c r="BD29" s="28"/>
      <c r="BE29" s="29"/>
      <c r="BF29" s="24"/>
      <c r="BG29" s="25"/>
      <c r="BH29" s="28"/>
      <c r="BI29" s="29"/>
      <c r="BJ29" s="24"/>
      <c r="BK29" s="58"/>
      <c r="BL29" s="58"/>
      <c r="BM29" s="25"/>
      <c r="BN29" s="28"/>
      <c r="BO29" s="29"/>
      <c r="BP29" s="24"/>
      <c r="BQ29" s="25"/>
      <c r="BR29" s="28"/>
      <c r="BS29" s="29"/>
      <c r="BT29" s="12"/>
      <c r="BU29" s="57"/>
      <c r="BV29" s="57"/>
      <c r="BW29" s="13"/>
      <c r="BX29" s="28"/>
      <c r="BY29" s="29"/>
      <c r="BZ29" s="24"/>
      <c r="CA29" s="25"/>
      <c r="CB29" s="28"/>
      <c r="CC29" s="29"/>
      <c r="CD29" s="24"/>
      <c r="CE29" s="25"/>
      <c r="CF29" s="151"/>
      <c r="CG29" s="152"/>
      <c r="CH29" s="152"/>
      <c r="CI29" s="152"/>
      <c r="CJ29" s="24"/>
      <c r="CK29" s="25"/>
      <c r="CL29" s="28"/>
      <c r="CM29" s="29"/>
      <c r="CN29" s="24"/>
      <c r="CO29" s="25"/>
      <c r="CP29" s="28"/>
      <c r="CQ29" s="29"/>
    </row>
    <row r="30" spans="1:95" ht="22.5" hidden="1" customHeight="1" x14ac:dyDescent="0.55000000000000004">
      <c r="A30" s="7">
        <v>28</v>
      </c>
      <c r="B30" s="41"/>
      <c r="C30" s="31"/>
      <c r="D30" s="32"/>
      <c r="E30" s="33"/>
      <c r="F30" s="24"/>
      <c r="G30" s="25"/>
      <c r="H30" s="28"/>
      <c r="I30" s="29"/>
      <c r="J30" s="24"/>
      <c r="K30" s="25"/>
      <c r="L30" s="28"/>
      <c r="M30" s="29"/>
      <c r="N30" s="24"/>
      <c r="O30" s="25"/>
      <c r="P30" s="28"/>
      <c r="Q30" s="29"/>
      <c r="R30" s="24"/>
      <c r="S30" s="25"/>
      <c r="T30" s="28"/>
      <c r="U30" s="29"/>
      <c r="V30" s="24"/>
      <c r="W30" s="25"/>
      <c r="X30" s="28"/>
      <c r="Y30" s="29"/>
      <c r="Z30" s="24"/>
      <c r="AA30" s="25"/>
      <c r="AB30" s="28"/>
      <c r="AC30" s="29"/>
      <c r="AD30" s="24"/>
      <c r="AE30" s="25"/>
      <c r="AF30" s="28"/>
      <c r="AG30" s="29"/>
      <c r="AH30" s="24"/>
      <c r="AI30" s="25"/>
      <c r="AJ30" s="28"/>
      <c r="AK30" s="29"/>
      <c r="AL30" s="24"/>
      <c r="AM30" s="25"/>
      <c r="AN30" s="28"/>
      <c r="AO30" s="29"/>
      <c r="AP30" s="24"/>
      <c r="AQ30" s="25"/>
      <c r="AR30" s="28"/>
      <c r="AS30" s="29"/>
      <c r="AT30" s="24"/>
      <c r="AU30" s="25"/>
      <c r="AV30" s="28"/>
      <c r="AW30" s="29"/>
      <c r="AX30" s="24"/>
      <c r="AY30" s="25"/>
      <c r="AZ30" s="28"/>
      <c r="BA30" s="29"/>
      <c r="BB30" s="24"/>
      <c r="BC30" s="25"/>
      <c r="BD30" s="28"/>
      <c r="BE30" s="29"/>
      <c r="BF30" s="24"/>
      <c r="BG30" s="25"/>
      <c r="BH30" s="28"/>
      <c r="BI30" s="29"/>
      <c r="BJ30" s="24"/>
      <c r="BK30" s="58"/>
      <c r="BL30" s="58"/>
      <c r="BM30" s="25"/>
      <c r="BN30" s="28"/>
      <c r="BO30" s="29"/>
      <c r="BP30" s="24"/>
      <c r="BQ30" s="25"/>
      <c r="BR30" s="28"/>
      <c r="BS30" s="29"/>
      <c r="BT30" s="12"/>
      <c r="BU30" s="57"/>
      <c r="BV30" s="57"/>
      <c r="BW30" s="13"/>
      <c r="BX30" s="28"/>
      <c r="BY30" s="29"/>
      <c r="BZ30" s="24"/>
      <c r="CA30" s="25"/>
      <c r="CB30" s="28"/>
      <c r="CC30" s="29"/>
      <c r="CD30" s="24"/>
      <c r="CE30" s="25"/>
      <c r="CF30" s="151"/>
      <c r="CG30" s="152"/>
      <c r="CH30" s="152"/>
      <c r="CI30" s="152"/>
      <c r="CJ30" s="24"/>
      <c r="CK30" s="25"/>
      <c r="CL30" s="28"/>
      <c r="CM30" s="29"/>
      <c r="CN30" s="24"/>
      <c r="CO30" s="25"/>
      <c r="CP30" s="28"/>
      <c r="CQ30" s="29"/>
    </row>
    <row r="31" spans="1:95" ht="22.5" hidden="1" customHeight="1" x14ac:dyDescent="0.55000000000000004">
      <c r="A31" s="7">
        <v>29</v>
      </c>
      <c r="B31" s="41"/>
      <c r="C31" s="31"/>
      <c r="D31" s="32"/>
      <c r="E31" s="33"/>
      <c r="F31" s="24"/>
      <c r="G31" s="25"/>
      <c r="H31" s="28"/>
      <c r="I31" s="29"/>
      <c r="J31" s="24"/>
      <c r="K31" s="25"/>
      <c r="L31" s="28"/>
      <c r="M31" s="29"/>
      <c r="N31" s="24"/>
      <c r="O31" s="25"/>
      <c r="P31" s="28"/>
      <c r="Q31" s="29"/>
      <c r="R31" s="24"/>
      <c r="S31" s="25"/>
      <c r="T31" s="28"/>
      <c r="U31" s="29"/>
      <c r="V31" s="24"/>
      <c r="W31" s="25"/>
      <c r="X31" s="28"/>
      <c r="Y31" s="29"/>
      <c r="Z31" s="24"/>
      <c r="AA31" s="25"/>
      <c r="AB31" s="28"/>
      <c r="AC31" s="29"/>
      <c r="AD31" s="24"/>
      <c r="AE31" s="25"/>
      <c r="AF31" s="28"/>
      <c r="AG31" s="29"/>
      <c r="AH31" s="24"/>
      <c r="AI31" s="25"/>
      <c r="AJ31" s="28"/>
      <c r="AK31" s="29"/>
      <c r="AL31" s="24"/>
      <c r="AM31" s="25"/>
      <c r="AN31" s="28"/>
      <c r="AO31" s="29"/>
      <c r="AP31" s="24"/>
      <c r="AQ31" s="25"/>
      <c r="AR31" s="28"/>
      <c r="AS31" s="29"/>
      <c r="AT31" s="24"/>
      <c r="AU31" s="25"/>
      <c r="AV31" s="28"/>
      <c r="AW31" s="29"/>
      <c r="AX31" s="24"/>
      <c r="AY31" s="25"/>
      <c r="AZ31" s="28"/>
      <c r="BA31" s="29"/>
      <c r="BB31" s="24"/>
      <c r="BC31" s="25"/>
      <c r="BD31" s="28"/>
      <c r="BE31" s="29"/>
      <c r="BF31" s="24"/>
      <c r="BG31" s="25"/>
      <c r="BH31" s="28"/>
      <c r="BI31" s="29"/>
      <c r="BJ31" s="24"/>
      <c r="BK31" s="58"/>
      <c r="BL31" s="58"/>
      <c r="BM31" s="25"/>
      <c r="BN31" s="28"/>
      <c r="BO31" s="29"/>
      <c r="BP31" s="24"/>
      <c r="BQ31" s="25"/>
      <c r="BR31" s="28"/>
      <c r="BS31" s="29"/>
      <c r="BT31" s="12"/>
      <c r="BU31" s="57"/>
      <c r="BV31" s="57"/>
      <c r="BW31" s="13"/>
      <c r="BX31" s="28"/>
      <c r="BY31" s="29"/>
      <c r="BZ31" s="24"/>
      <c r="CA31" s="25"/>
      <c r="CB31" s="28"/>
      <c r="CC31" s="29"/>
      <c r="CD31" s="24"/>
      <c r="CE31" s="25"/>
      <c r="CF31" s="151"/>
      <c r="CG31" s="152"/>
      <c r="CH31" s="152"/>
      <c r="CI31" s="152"/>
      <c r="CJ31" s="24"/>
      <c r="CK31" s="25"/>
      <c r="CL31" s="28"/>
      <c r="CM31" s="29"/>
      <c r="CN31" s="24"/>
      <c r="CO31" s="25"/>
      <c r="CP31" s="28"/>
      <c r="CQ31" s="29"/>
    </row>
    <row r="32" spans="1:95" ht="22.5" hidden="1" customHeight="1" x14ac:dyDescent="0.55000000000000004">
      <c r="A32" s="7">
        <v>30</v>
      </c>
      <c r="B32" s="41"/>
      <c r="C32" s="31"/>
      <c r="D32" s="32"/>
      <c r="E32" s="33"/>
      <c r="F32" s="24"/>
      <c r="G32" s="25"/>
      <c r="H32" s="28"/>
      <c r="I32" s="29"/>
      <c r="J32" s="24"/>
      <c r="K32" s="25"/>
      <c r="L32" s="28"/>
      <c r="M32" s="29"/>
      <c r="N32" s="24"/>
      <c r="O32" s="25"/>
      <c r="P32" s="28"/>
      <c r="Q32" s="29"/>
      <c r="R32" s="24"/>
      <c r="S32" s="25"/>
      <c r="T32" s="28"/>
      <c r="U32" s="29"/>
      <c r="V32" s="2"/>
      <c r="W32" s="25"/>
      <c r="X32" s="28"/>
      <c r="Y32" s="29"/>
      <c r="Z32" s="24"/>
      <c r="AA32" s="25"/>
      <c r="AB32" s="28"/>
      <c r="AC32" s="29"/>
      <c r="AD32" s="24"/>
      <c r="AE32" s="25"/>
      <c r="AF32" s="28"/>
      <c r="AG32" s="29"/>
      <c r="AH32" s="24"/>
      <c r="AI32" s="25"/>
      <c r="AJ32" s="28"/>
      <c r="AK32" s="29"/>
      <c r="AL32" s="24"/>
      <c r="AM32" s="25"/>
      <c r="AN32" s="28"/>
      <c r="AO32" s="29"/>
      <c r="AP32" s="24"/>
      <c r="AQ32" s="25"/>
      <c r="AR32" s="28"/>
      <c r="AS32" s="29"/>
      <c r="AT32" s="24"/>
      <c r="AU32" s="25"/>
      <c r="AV32" s="28"/>
      <c r="AW32" s="29"/>
      <c r="AX32" s="24"/>
      <c r="AY32" s="25"/>
      <c r="AZ32" s="28"/>
      <c r="BA32" s="29"/>
      <c r="BB32" s="24"/>
      <c r="BC32" s="25"/>
      <c r="BD32" s="28"/>
      <c r="BE32" s="29"/>
      <c r="BF32" s="24"/>
      <c r="BG32" s="25"/>
      <c r="BH32" s="28"/>
      <c r="BI32" s="29"/>
      <c r="BJ32" s="24"/>
      <c r="BK32" s="58"/>
      <c r="BL32" s="58"/>
      <c r="BM32" s="25"/>
      <c r="BN32" s="26"/>
      <c r="BO32" s="27"/>
      <c r="BP32" s="24"/>
      <c r="BQ32" s="25"/>
      <c r="BR32" s="28"/>
      <c r="BS32" s="29"/>
      <c r="BT32" s="12"/>
      <c r="BU32" s="57"/>
      <c r="BV32" s="57"/>
      <c r="BW32" s="13"/>
      <c r="BX32" s="28"/>
      <c r="BY32" s="29"/>
      <c r="BZ32" s="24"/>
      <c r="CA32" s="25"/>
      <c r="CB32" s="28"/>
      <c r="CC32" s="29"/>
      <c r="CD32" s="24"/>
      <c r="CE32" s="25"/>
      <c r="CF32" s="151"/>
      <c r="CG32" s="152"/>
      <c r="CH32" s="152"/>
      <c r="CI32" s="152"/>
      <c r="CJ32" s="24"/>
      <c r="CK32" s="25"/>
      <c r="CL32" s="28"/>
      <c r="CM32" s="29"/>
      <c r="CN32" s="24"/>
      <c r="CO32" s="25"/>
      <c r="CP32" s="28"/>
      <c r="CQ32" s="29"/>
    </row>
    <row r="33" spans="1:95" ht="22.5" hidden="1" customHeight="1" x14ac:dyDescent="0.55000000000000004">
      <c r="A33" s="7">
        <v>31</v>
      </c>
      <c r="B33" s="42"/>
      <c r="C33" s="43"/>
      <c r="D33" s="44"/>
      <c r="E33" s="45"/>
      <c r="F33" s="24"/>
      <c r="G33" s="25"/>
      <c r="H33" s="28"/>
      <c r="I33" s="29"/>
      <c r="J33" s="24"/>
      <c r="K33" s="25"/>
      <c r="L33" s="28"/>
      <c r="M33" s="29"/>
      <c r="N33" s="24"/>
      <c r="O33" s="25"/>
      <c r="P33" s="28"/>
      <c r="Q33" s="29"/>
      <c r="R33" s="24"/>
      <c r="S33" s="25"/>
      <c r="T33" s="28"/>
      <c r="U33" s="29"/>
      <c r="V33" s="24"/>
      <c r="W33" s="25"/>
      <c r="X33" s="28"/>
      <c r="Y33" s="29"/>
      <c r="Z33" s="24"/>
      <c r="AA33" s="25"/>
      <c r="AB33" s="28"/>
      <c r="AC33" s="29"/>
      <c r="AD33" s="24"/>
      <c r="AE33" s="25"/>
      <c r="AF33" s="28"/>
      <c r="AG33" s="29"/>
      <c r="AH33" s="24"/>
      <c r="AI33" s="25"/>
      <c r="AJ33" s="28"/>
      <c r="AK33" s="29"/>
      <c r="AL33" s="24"/>
      <c r="AM33" s="25"/>
      <c r="AN33" s="28"/>
      <c r="AO33" s="29"/>
      <c r="AP33" s="24"/>
      <c r="AQ33" s="25"/>
      <c r="AR33" s="28"/>
      <c r="AS33" s="29"/>
      <c r="AT33" s="24"/>
      <c r="AU33" s="25"/>
      <c r="AV33" s="28"/>
      <c r="AW33" s="29"/>
      <c r="AX33" s="24"/>
      <c r="AY33" s="25"/>
      <c r="AZ33" s="28"/>
      <c r="BA33" s="29"/>
      <c r="BB33" s="24"/>
      <c r="BC33" s="25"/>
      <c r="BD33" s="28"/>
      <c r="BE33" s="29"/>
      <c r="BF33" s="24"/>
      <c r="BG33" s="25"/>
      <c r="BH33" s="28"/>
      <c r="BI33" s="29"/>
      <c r="BJ33" s="24"/>
      <c r="BK33" s="58"/>
      <c r="BL33" s="58"/>
      <c r="BM33" s="25"/>
      <c r="BN33" s="28"/>
      <c r="BO33" s="29"/>
      <c r="BP33" s="24"/>
      <c r="BQ33" s="25"/>
      <c r="BR33" s="28"/>
      <c r="BS33" s="29"/>
      <c r="BT33" s="12"/>
      <c r="BU33" s="57"/>
      <c r="BV33" s="57"/>
      <c r="BW33" s="13"/>
      <c r="BX33" s="28"/>
      <c r="BY33" s="29"/>
      <c r="BZ33" s="24"/>
      <c r="CA33" s="25"/>
      <c r="CB33" s="28"/>
      <c r="CC33" s="29"/>
      <c r="CD33" s="24"/>
      <c r="CE33" s="25"/>
      <c r="CF33" s="151"/>
      <c r="CG33" s="152"/>
      <c r="CH33" s="152"/>
      <c r="CI33" s="152"/>
      <c r="CJ33" s="24"/>
      <c r="CK33" s="25"/>
      <c r="CL33" s="28"/>
      <c r="CM33" s="29"/>
      <c r="CN33" s="24"/>
      <c r="CO33" s="25"/>
      <c r="CP33" s="28"/>
      <c r="CQ33" s="29"/>
    </row>
    <row r="34" spans="1:95" ht="22.5" hidden="1" customHeight="1" x14ac:dyDescent="0.55000000000000004">
      <c r="A34" s="7">
        <v>32</v>
      </c>
      <c r="B34" s="42"/>
      <c r="C34" s="43"/>
      <c r="D34" s="44"/>
      <c r="E34" s="45"/>
      <c r="F34" s="24"/>
      <c r="G34" s="25"/>
      <c r="H34" s="28"/>
      <c r="I34" s="29"/>
      <c r="J34" s="24"/>
      <c r="K34" s="25"/>
      <c r="L34" s="28"/>
      <c r="M34" s="29"/>
      <c r="N34" s="24"/>
      <c r="O34" s="25"/>
      <c r="P34" s="28"/>
      <c r="Q34" s="29"/>
      <c r="R34" s="24"/>
      <c r="S34" s="25"/>
      <c r="T34" s="28"/>
      <c r="U34" s="29"/>
      <c r="V34" s="24"/>
      <c r="W34" s="25"/>
      <c r="X34" s="28"/>
      <c r="Y34" s="29"/>
      <c r="Z34" s="24"/>
      <c r="AA34" s="25"/>
      <c r="AB34" s="28"/>
      <c r="AC34" s="29"/>
      <c r="AD34" s="24"/>
      <c r="AE34" s="25"/>
      <c r="AF34" s="28"/>
      <c r="AG34" s="29"/>
      <c r="AH34" s="24"/>
      <c r="AI34" s="25"/>
      <c r="AJ34" s="28"/>
      <c r="AK34" s="29"/>
      <c r="AL34" s="24"/>
      <c r="AM34" s="25"/>
      <c r="AN34" s="28"/>
      <c r="AO34" s="29"/>
      <c r="AP34" s="24"/>
      <c r="AQ34" s="25"/>
      <c r="AR34" s="28"/>
      <c r="AS34" s="29"/>
      <c r="AT34" s="24"/>
      <c r="AU34" s="25"/>
      <c r="AV34" s="28"/>
      <c r="AW34" s="29"/>
      <c r="AX34" s="24"/>
      <c r="AY34" s="25"/>
      <c r="AZ34" s="28"/>
      <c r="BA34" s="29"/>
      <c r="BB34" s="24"/>
      <c r="BC34" s="25"/>
      <c r="BD34" s="28"/>
      <c r="BE34" s="29"/>
      <c r="BF34" s="24"/>
      <c r="BG34" s="25"/>
      <c r="BH34" s="28"/>
      <c r="BI34" s="29"/>
      <c r="BJ34" s="24"/>
      <c r="BK34" s="58"/>
      <c r="BL34" s="58"/>
      <c r="BM34" s="25"/>
      <c r="BN34" s="28"/>
      <c r="BO34" s="29"/>
      <c r="BP34" s="24"/>
      <c r="BQ34" s="25"/>
      <c r="BR34" s="28"/>
      <c r="BS34" s="29"/>
      <c r="BT34" s="12"/>
      <c r="BU34" s="57"/>
      <c r="BV34" s="57"/>
      <c r="BW34" s="13"/>
      <c r="BX34" s="28"/>
      <c r="BY34" s="29"/>
      <c r="BZ34" s="24"/>
      <c r="CA34" s="25"/>
      <c r="CB34" s="28"/>
      <c r="CC34" s="29"/>
      <c r="CD34" s="24"/>
      <c r="CE34" s="25"/>
      <c r="CF34" s="151"/>
      <c r="CG34" s="152"/>
      <c r="CH34" s="152"/>
      <c r="CI34" s="152"/>
      <c r="CJ34" s="24"/>
      <c r="CK34" s="25"/>
      <c r="CL34" s="28"/>
      <c r="CM34" s="29"/>
      <c r="CN34" s="24"/>
      <c r="CO34" s="25"/>
      <c r="CP34" s="28"/>
      <c r="CQ34" s="29"/>
    </row>
    <row r="35" spans="1:95" ht="22.5" hidden="1" customHeight="1" x14ac:dyDescent="0.55000000000000004">
      <c r="A35" s="7">
        <v>33</v>
      </c>
      <c r="B35" s="42"/>
      <c r="C35" s="43"/>
      <c r="D35" s="44"/>
      <c r="E35" s="45"/>
      <c r="F35" s="24"/>
      <c r="G35" s="25"/>
      <c r="H35" s="28"/>
      <c r="I35" s="29"/>
      <c r="J35" s="24"/>
      <c r="K35" s="25"/>
      <c r="L35" s="28"/>
      <c r="M35" s="29"/>
      <c r="N35" s="24"/>
      <c r="O35" s="25"/>
      <c r="P35" s="28"/>
      <c r="Q35" s="29"/>
      <c r="R35" s="24"/>
      <c r="S35" s="25"/>
      <c r="T35" s="28"/>
      <c r="U35" s="29"/>
      <c r="V35" s="24"/>
      <c r="W35" s="25"/>
      <c r="X35" s="28"/>
      <c r="Y35" s="29"/>
      <c r="Z35" s="24"/>
      <c r="AA35" s="25"/>
      <c r="AB35" s="28"/>
      <c r="AC35" s="29"/>
      <c r="AD35" s="24"/>
      <c r="AE35" s="25"/>
      <c r="AF35" s="28"/>
      <c r="AG35" s="29"/>
      <c r="AH35" s="24"/>
      <c r="AI35" s="25"/>
      <c r="AJ35" s="28"/>
      <c r="AK35" s="29"/>
      <c r="AL35" s="24"/>
      <c r="AM35" s="25"/>
      <c r="AN35" s="28"/>
      <c r="AO35" s="29"/>
      <c r="AP35" s="24"/>
      <c r="AQ35" s="25"/>
      <c r="AR35" s="28"/>
      <c r="AS35" s="29"/>
      <c r="AT35" s="24"/>
      <c r="AU35" s="25"/>
      <c r="AV35" s="28"/>
      <c r="AW35" s="29"/>
      <c r="AX35" s="24"/>
      <c r="AY35" s="25"/>
      <c r="AZ35" s="28"/>
      <c r="BA35" s="29"/>
      <c r="BB35" s="24"/>
      <c r="BC35" s="25"/>
      <c r="BD35" s="28"/>
      <c r="BE35" s="29"/>
      <c r="BF35" s="24"/>
      <c r="BG35" s="25"/>
      <c r="BH35" s="28"/>
      <c r="BI35" s="29"/>
      <c r="BJ35" s="24"/>
      <c r="BK35" s="58"/>
      <c r="BL35" s="58"/>
      <c r="BM35" s="25"/>
      <c r="BN35" s="28"/>
      <c r="BO35" s="29"/>
      <c r="BP35" s="24"/>
      <c r="BQ35" s="25"/>
      <c r="BR35" s="28"/>
      <c r="BS35" s="29"/>
      <c r="BT35" s="12"/>
      <c r="BU35" s="57"/>
      <c r="BV35" s="57"/>
      <c r="BW35" s="13"/>
      <c r="BX35" s="28"/>
      <c r="BY35" s="29"/>
      <c r="BZ35" s="24"/>
      <c r="CA35" s="25"/>
      <c r="CB35" s="28"/>
      <c r="CC35" s="29"/>
      <c r="CD35" s="24"/>
      <c r="CE35" s="25"/>
      <c r="CF35" s="151"/>
      <c r="CG35" s="152"/>
      <c r="CH35" s="152"/>
      <c r="CI35" s="152"/>
      <c r="CJ35" s="24"/>
      <c r="CK35" s="25"/>
      <c r="CL35" s="28"/>
      <c r="CM35" s="29"/>
      <c r="CN35" s="24"/>
      <c r="CO35" s="25"/>
      <c r="CP35" s="28"/>
      <c r="CQ35" s="29"/>
    </row>
    <row r="36" spans="1:95" ht="22.5" hidden="1" customHeight="1" x14ac:dyDescent="0.55000000000000004">
      <c r="A36" s="7">
        <v>34</v>
      </c>
      <c r="B36" s="42"/>
      <c r="C36" s="43"/>
      <c r="D36" s="44"/>
      <c r="E36" s="45"/>
      <c r="F36" s="24"/>
      <c r="G36" s="25"/>
      <c r="H36" s="28"/>
      <c r="I36" s="29"/>
      <c r="J36" s="24"/>
      <c r="K36" s="25"/>
      <c r="L36" s="28"/>
      <c r="M36" s="29"/>
      <c r="N36" s="24"/>
      <c r="O36" s="25"/>
      <c r="P36" s="28"/>
      <c r="Q36" s="29"/>
      <c r="R36" s="24"/>
      <c r="S36" s="25"/>
      <c r="T36" s="28"/>
      <c r="U36" s="29"/>
      <c r="V36" s="24"/>
      <c r="W36" s="25"/>
      <c r="X36" s="28"/>
      <c r="Y36" s="29"/>
      <c r="Z36" s="24"/>
      <c r="AA36" s="25"/>
      <c r="AB36" s="28"/>
      <c r="AC36" s="29"/>
      <c r="AD36" s="24"/>
      <c r="AE36" s="25"/>
      <c r="AF36" s="28"/>
      <c r="AG36" s="29"/>
      <c r="AH36" s="24"/>
      <c r="AI36" s="25"/>
      <c r="AJ36" s="28"/>
      <c r="AK36" s="29"/>
      <c r="AL36" s="24"/>
      <c r="AM36" s="25"/>
      <c r="AN36" s="28"/>
      <c r="AO36" s="29"/>
      <c r="AP36" s="24"/>
      <c r="AQ36" s="25"/>
      <c r="AR36" s="28"/>
      <c r="AS36" s="29"/>
      <c r="AT36" s="24"/>
      <c r="AU36" s="25"/>
      <c r="AV36" s="28"/>
      <c r="AW36" s="29"/>
      <c r="AX36" s="24"/>
      <c r="AY36" s="25"/>
      <c r="AZ36" s="28"/>
      <c r="BA36" s="29"/>
      <c r="BB36" s="24"/>
      <c r="BC36" s="25"/>
      <c r="BD36" s="28"/>
      <c r="BE36" s="29"/>
      <c r="BF36" s="24"/>
      <c r="BG36" s="25"/>
      <c r="BH36" s="28"/>
      <c r="BI36" s="29"/>
      <c r="BJ36" s="24"/>
      <c r="BK36" s="58"/>
      <c r="BL36" s="58"/>
      <c r="BM36" s="25"/>
      <c r="BN36" s="28"/>
      <c r="BO36" s="29"/>
      <c r="BP36" s="24"/>
      <c r="BQ36" s="25"/>
      <c r="BR36" s="28"/>
      <c r="BS36" s="29"/>
      <c r="BT36" s="12"/>
      <c r="BU36" s="57"/>
      <c r="BV36" s="57"/>
      <c r="BW36" s="13"/>
      <c r="BX36" s="28"/>
      <c r="BY36" s="29"/>
      <c r="BZ36" s="24"/>
      <c r="CA36" s="25"/>
      <c r="CB36" s="28"/>
      <c r="CC36" s="29"/>
      <c r="CD36" s="24"/>
      <c r="CE36" s="25"/>
      <c r="CF36" s="151"/>
      <c r="CG36" s="152"/>
      <c r="CH36" s="152"/>
      <c r="CI36" s="152"/>
      <c r="CJ36" s="24"/>
      <c r="CK36" s="25"/>
      <c r="CL36" s="28"/>
      <c r="CM36" s="29"/>
      <c r="CN36" s="24"/>
      <c r="CO36" s="25"/>
      <c r="CP36" s="28"/>
      <c r="CQ36" s="29"/>
    </row>
    <row r="37" spans="1:95" ht="22.5" hidden="1" customHeight="1" x14ac:dyDescent="0.55000000000000004">
      <c r="A37" s="7">
        <v>35</v>
      </c>
      <c r="B37" s="42"/>
      <c r="C37" s="43"/>
      <c r="D37" s="44"/>
      <c r="E37" s="45"/>
      <c r="F37" s="24"/>
      <c r="G37" s="25"/>
      <c r="H37" s="28"/>
      <c r="I37" s="29"/>
      <c r="J37" s="24"/>
      <c r="K37" s="25"/>
      <c r="L37" s="28"/>
      <c r="M37" s="29"/>
      <c r="N37" s="24"/>
      <c r="O37" s="25"/>
      <c r="P37" s="28"/>
      <c r="Q37" s="29"/>
      <c r="R37" s="24"/>
      <c r="S37" s="25"/>
      <c r="T37" s="28"/>
      <c r="U37" s="29"/>
      <c r="V37" s="24"/>
      <c r="W37" s="25"/>
      <c r="X37" s="28"/>
      <c r="Y37" s="29"/>
      <c r="Z37" s="24"/>
      <c r="AA37" s="25"/>
      <c r="AB37" s="28"/>
      <c r="AC37" s="29"/>
      <c r="AD37" s="24"/>
      <c r="AE37" s="25"/>
      <c r="AF37" s="28"/>
      <c r="AG37" s="29"/>
      <c r="AH37" s="24"/>
      <c r="AI37" s="25"/>
      <c r="AJ37" s="28"/>
      <c r="AK37" s="29"/>
      <c r="AL37" s="24"/>
      <c r="AM37" s="25"/>
      <c r="AN37" s="28"/>
      <c r="AO37" s="29"/>
      <c r="AP37" s="24"/>
      <c r="AQ37" s="25"/>
      <c r="AR37" s="28"/>
      <c r="AS37" s="29"/>
      <c r="AT37" s="24"/>
      <c r="AU37" s="25"/>
      <c r="AV37" s="28"/>
      <c r="AW37" s="29"/>
      <c r="AX37" s="24"/>
      <c r="AY37" s="25"/>
      <c r="AZ37" s="28"/>
      <c r="BA37" s="29"/>
      <c r="BB37" s="24"/>
      <c r="BC37" s="25"/>
      <c r="BD37" s="28"/>
      <c r="BE37" s="29"/>
      <c r="BF37" s="24"/>
      <c r="BG37" s="25"/>
      <c r="BH37" s="28"/>
      <c r="BI37" s="29"/>
      <c r="BJ37" s="24"/>
      <c r="BK37" s="58"/>
      <c r="BL37" s="58"/>
      <c r="BM37" s="25"/>
      <c r="BN37" s="28"/>
      <c r="BO37" s="29"/>
      <c r="BP37" s="24"/>
      <c r="BQ37" s="25"/>
      <c r="BR37" s="28"/>
      <c r="BS37" s="29"/>
      <c r="BT37" s="12"/>
      <c r="BU37" s="57"/>
      <c r="BV37" s="57"/>
      <c r="BW37" s="13"/>
      <c r="BX37" s="28"/>
      <c r="BY37" s="29"/>
      <c r="BZ37" s="24"/>
      <c r="CA37" s="25"/>
      <c r="CB37" s="28"/>
      <c r="CC37" s="29"/>
      <c r="CD37" s="24"/>
      <c r="CE37" s="25"/>
      <c r="CF37" s="151"/>
      <c r="CG37" s="152"/>
      <c r="CH37" s="152"/>
      <c r="CI37" s="152"/>
      <c r="CJ37" s="24"/>
      <c r="CK37" s="25"/>
      <c r="CL37" s="28"/>
      <c r="CM37" s="29"/>
      <c r="CN37" s="24"/>
      <c r="CO37" s="25"/>
      <c r="CP37" s="28"/>
      <c r="CQ37" s="29"/>
    </row>
    <row r="38" spans="1:95" ht="22.5" hidden="1" customHeight="1" x14ac:dyDescent="0.55000000000000004">
      <c r="A38" s="7">
        <v>36</v>
      </c>
      <c r="B38" s="42"/>
      <c r="C38" s="43"/>
      <c r="D38" s="44"/>
      <c r="E38" s="45"/>
      <c r="F38" s="24"/>
      <c r="G38" s="25"/>
      <c r="H38" s="28"/>
      <c r="I38" s="29"/>
      <c r="J38" s="24"/>
      <c r="K38" s="25"/>
      <c r="L38" s="28"/>
      <c r="M38" s="29"/>
      <c r="N38" s="24"/>
      <c r="O38" s="25"/>
      <c r="P38" s="28"/>
      <c r="Q38" s="29"/>
      <c r="R38" s="24"/>
      <c r="S38" s="25"/>
      <c r="T38" s="28"/>
      <c r="U38" s="29"/>
      <c r="V38" s="24"/>
      <c r="W38" s="25"/>
      <c r="X38" s="28"/>
      <c r="Y38" s="29"/>
      <c r="Z38" s="24"/>
      <c r="AA38" s="25"/>
      <c r="AB38" s="28"/>
      <c r="AC38" s="29"/>
      <c r="AD38" s="24"/>
      <c r="AE38" s="25"/>
      <c r="AF38" s="28"/>
      <c r="AG38" s="29"/>
      <c r="AH38" s="24"/>
      <c r="AI38" s="25"/>
      <c r="AJ38" s="28"/>
      <c r="AK38" s="29"/>
      <c r="AL38" s="24"/>
      <c r="AM38" s="25"/>
      <c r="AN38" s="28"/>
      <c r="AO38" s="29"/>
      <c r="AP38" s="24"/>
      <c r="AQ38" s="25"/>
      <c r="AR38" s="28"/>
      <c r="AS38" s="29"/>
      <c r="AT38" s="24"/>
      <c r="AU38" s="25"/>
      <c r="AV38" s="28"/>
      <c r="AW38" s="29"/>
      <c r="AX38" s="24"/>
      <c r="AY38" s="25"/>
      <c r="AZ38" s="28"/>
      <c r="BA38" s="29"/>
      <c r="BB38" s="24"/>
      <c r="BC38" s="25"/>
      <c r="BD38" s="28"/>
      <c r="BE38" s="29"/>
      <c r="BF38" s="24"/>
      <c r="BG38" s="25"/>
      <c r="BH38" s="28"/>
      <c r="BI38" s="29"/>
      <c r="BJ38" s="24"/>
      <c r="BK38" s="58"/>
      <c r="BL38" s="58"/>
      <c r="BM38" s="25"/>
      <c r="BN38" s="28"/>
      <c r="BO38" s="29"/>
      <c r="BP38" s="24"/>
      <c r="BQ38" s="25"/>
      <c r="BR38" s="28"/>
      <c r="BS38" s="29"/>
      <c r="BT38" s="12"/>
      <c r="BU38" s="57"/>
      <c r="BV38" s="57"/>
      <c r="BW38" s="13"/>
      <c r="BX38" s="28"/>
      <c r="BY38" s="29"/>
      <c r="BZ38" s="24"/>
      <c r="CA38" s="25"/>
      <c r="CB38" s="28"/>
      <c r="CC38" s="29"/>
      <c r="CD38" s="24"/>
      <c r="CE38" s="25"/>
      <c r="CF38" s="151"/>
      <c r="CG38" s="152"/>
      <c r="CH38" s="152"/>
      <c r="CI38" s="152"/>
      <c r="CJ38" s="24"/>
      <c r="CK38" s="25"/>
      <c r="CL38" s="28"/>
      <c r="CM38" s="29"/>
      <c r="CN38" s="24"/>
      <c r="CO38" s="25"/>
      <c r="CP38" s="28"/>
      <c r="CQ38" s="29"/>
    </row>
    <row r="39" spans="1:95" ht="22.5" hidden="1" customHeight="1" x14ac:dyDescent="0.55000000000000004">
      <c r="A39" s="7">
        <v>37</v>
      </c>
      <c r="B39" s="42"/>
      <c r="C39" s="43"/>
      <c r="D39" s="44"/>
      <c r="E39" s="45"/>
      <c r="F39" s="41"/>
      <c r="G39" s="31"/>
      <c r="H39" s="32"/>
      <c r="I39" s="33"/>
      <c r="J39" s="41"/>
      <c r="K39" s="31"/>
      <c r="L39" s="32"/>
      <c r="M39" s="33"/>
      <c r="N39" s="41"/>
      <c r="O39" s="31"/>
      <c r="P39" s="32"/>
      <c r="Q39" s="33"/>
      <c r="R39" s="41"/>
      <c r="S39" s="31"/>
      <c r="T39" s="32"/>
      <c r="U39" s="33"/>
      <c r="V39" s="41"/>
      <c r="W39" s="31"/>
      <c r="X39" s="32"/>
      <c r="Y39" s="33"/>
      <c r="Z39" s="41"/>
      <c r="AA39" s="31"/>
      <c r="AB39" s="32"/>
      <c r="AC39" s="33"/>
      <c r="AD39" s="41"/>
      <c r="AE39" s="31"/>
      <c r="AF39" s="32"/>
      <c r="AG39" s="33"/>
      <c r="AH39" s="41"/>
      <c r="AI39" s="31"/>
      <c r="AJ39" s="32"/>
      <c r="AK39" s="33"/>
      <c r="AL39" s="41"/>
      <c r="AM39" s="31"/>
      <c r="AN39" s="32"/>
      <c r="AO39" s="33"/>
      <c r="AP39" s="41"/>
      <c r="AQ39" s="31"/>
      <c r="AR39" s="32"/>
      <c r="AS39" s="33"/>
      <c r="AT39" s="41"/>
      <c r="AU39" s="31"/>
      <c r="AV39" s="32"/>
      <c r="AW39" s="33"/>
      <c r="AX39" s="22"/>
      <c r="AY39" s="23"/>
      <c r="AZ39" s="26"/>
      <c r="BA39" s="27"/>
      <c r="BB39" s="22"/>
      <c r="BC39" s="23"/>
      <c r="BD39" s="26"/>
      <c r="BE39" s="27"/>
      <c r="BF39" s="22"/>
      <c r="BG39" s="23"/>
      <c r="BH39" s="26"/>
      <c r="BI39" s="27"/>
      <c r="BJ39" s="22"/>
      <c r="BK39" s="59"/>
      <c r="BL39" s="59"/>
      <c r="BM39" s="23"/>
      <c r="BN39" s="26"/>
      <c r="BO39" s="27"/>
      <c r="BP39" s="22"/>
      <c r="BQ39" s="23"/>
      <c r="BR39" s="26"/>
      <c r="BS39" s="29"/>
      <c r="BT39" s="12"/>
      <c r="BU39" s="57"/>
      <c r="BV39" s="57"/>
      <c r="BW39" s="13"/>
      <c r="BX39" s="26"/>
      <c r="BY39" s="27"/>
      <c r="BZ39" s="22"/>
      <c r="CA39" s="23"/>
      <c r="CB39" s="26"/>
      <c r="CC39" s="29"/>
      <c r="CD39" s="22"/>
      <c r="CE39" s="23"/>
      <c r="CF39" s="153"/>
      <c r="CG39" s="152"/>
      <c r="CH39" s="152"/>
      <c r="CI39" s="152"/>
      <c r="CJ39" s="22"/>
      <c r="CK39" s="23"/>
      <c r="CL39" s="26"/>
      <c r="CM39" s="29"/>
      <c r="CN39" s="22"/>
      <c r="CO39" s="23"/>
      <c r="CP39" s="26"/>
      <c r="CQ39" s="29"/>
    </row>
    <row r="40" spans="1:95" ht="22.5" hidden="1" customHeight="1" x14ac:dyDescent="0.55000000000000004">
      <c r="A40" s="7">
        <v>38</v>
      </c>
      <c r="B40" s="42"/>
      <c r="C40" s="43"/>
      <c r="D40" s="44"/>
      <c r="E40" s="45"/>
      <c r="F40" s="41"/>
      <c r="G40" s="31"/>
      <c r="H40" s="32"/>
      <c r="I40" s="33"/>
      <c r="J40" s="41"/>
      <c r="K40" s="31"/>
      <c r="L40" s="32"/>
      <c r="M40" s="33"/>
      <c r="N40" s="41"/>
      <c r="O40" s="31"/>
      <c r="P40" s="32"/>
      <c r="Q40" s="33"/>
      <c r="R40" s="41"/>
      <c r="S40" s="31"/>
      <c r="T40" s="32"/>
      <c r="U40" s="33"/>
      <c r="V40" s="41"/>
      <c r="W40" s="31"/>
      <c r="X40" s="32"/>
      <c r="Y40" s="33"/>
      <c r="Z40" s="41"/>
      <c r="AA40" s="31"/>
      <c r="AB40" s="32"/>
      <c r="AC40" s="33"/>
      <c r="AD40" s="41"/>
      <c r="AE40" s="31"/>
      <c r="AF40" s="32"/>
      <c r="AG40" s="33"/>
      <c r="AH40" s="41"/>
      <c r="AI40" s="31"/>
      <c r="AJ40" s="32"/>
      <c r="AK40" s="33"/>
      <c r="AL40" s="41"/>
      <c r="AM40" s="31"/>
      <c r="AN40" s="32"/>
      <c r="AO40" s="33"/>
      <c r="AP40" s="41"/>
      <c r="AQ40" s="31"/>
      <c r="AR40" s="32"/>
      <c r="AS40" s="33"/>
      <c r="AT40" s="41"/>
      <c r="AU40" s="31"/>
      <c r="AV40" s="32"/>
      <c r="AW40" s="33"/>
      <c r="AX40" s="22"/>
      <c r="AY40" s="23"/>
      <c r="AZ40" s="26"/>
      <c r="BA40" s="27"/>
      <c r="BB40" s="22"/>
      <c r="BC40" s="23"/>
      <c r="BD40" s="26"/>
      <c r="BE40" s="27"/>
      <c r="BF40" s="22"/>
      <c r="BG40" s="23"/>
      <c r="BH40" s="26"/>
      <c r="BI40" s="27"/>
      <c r="BJ40" s="22"/>
      <c r="BK40" s="59"/>
      <c r="BL40" s="59"/>
      <c r="BM40" s="23"/>
      <c r="BN40" s="26"/>
      <c r="BO40" s="27"/>
      <c r="BP40" s="22"/>
      <c r="BQ40" s="23"/>
      <c r="BR40" s="26"/>
      <c r="BS40" s="29"/>
      <c r="BT40" s="12"/>
      <c r="BU40" s="57"/>
      <c r="BV40" s="57"/>
      <c r="BW40" s="13"/>
      <c r="BX40" s="26"/>
      <c r="BY40" s="27"/>
      <c r="BZ40" s="22"/>
      <c r="CA40" s="23"/>
      <c r="CB40" s="26"/>
      <c r="CC40" s="29"/>
      <c r="CD40" s="22"/>
      <c r="CE40" s="23"/>
      <c r="CF40" s="153"/>
      <c r="CG40" s="152"/>
      <c r="CH40" s="152"/>
      <c r="CI40" s="152"/>
      <c r="CJ40" s="22"/>
      <c r="CK40" s="23"/>
      <c r="CL40" s="26"/>
      <c r="CM40" s="29"/>
      <c r="CN40" s="22"/>
      <c r="CO40" s="23"/>
      <c r="CP40" s="26"/>
      <c r="CQ40" s="29"/>
    </row>
    <row r="41" spans="1:95" ht="22.5" hidden="1" customHeight="1" x14ac:dyDescent="0.55000000000000004">
      <c r="A41" s="7">
        <v>39</v>
      </c>
      <c r="B41" s="42"/>
      <c r="C41" s="43"/>
      <c r="D41" s="44"/>
      <c r="E41" s="45"/>
      <c r="F41" s="41"/>
      <c r="G41" s="31"/>
      <c r="H41" s="32"/>
      <c r="I41" s="33"/>
      <c r="J41" s="41"/>
      <c r="K41" s="31"/>
      <c r="L41" s="32"/>
      <c r="M41" s="33"/>
      <c r="N41" s="41"/>
      <c r="O41" s="31"/>
      <c r="P41" s="32"/>
      <c r="Q41" s="33"/>
      <c r="R41" s="41"/>
      <c r="S41" s="31"/>
      <c r="T41" s="32"/>
      <c r="U41" s="33"/>
      <c r="V41" s="24"/>
      <c r="W41" s="31"/>
      <c r="X41" s="32"/>
      <c r="Y41" s="33"/>
      <c r="Z41" s="41"/>
      <c r="AA41" s="31"/>
      <c r="AB41" s="32"/>
      <c r="AC41" s="33"/>
      <c r="AD41" s="41"/>
      <c r="AE41" s="31"/>
      <c r="AF41" s="32"/>
      <c r="AG41" s="33"/>
      <c r="AH41" s="41"/>
      <c r="AI41" s="31"/>
      <c r="AJ41" s="32"/>
      <c r="AK41" s="33"/>
      <c r="AL41" s="41"/>
      <c r="AM41" s="31"/>
      <c r="AN41" s="32"/>
      <c r="AO41" s="33"/>
      <c r="AP41" s="41"/>
      <c r="AQ41" s="31"/>
      <c r="AR41" s="32"/>
      <c r="AS41" s="33"/>
      <c r="AT41" s="41"/>
      <c r="AU41" s="31"/>
      <c r="AV41" s="32"/>
      <c r="AW41" s="33"/>
      <c r="AX41" s="22"/>
      <c r="AY41" s="23"/>
      <c r="AZ41" s="26"/>
      <c r="BA41" s="27"/>
      <c r="BB41" s="22"/>
      <c r="BC41" s="23"/>
      <c r="BD41" s="26"/>
      <c r="BE41" s="27"/>
      <c r="BF41" s="22"/>
      <c r="BG41" s="23"/>
      <c r="BH41" s="26"/>
      <c r="BI41" s="27"/>
      <c r="BJ41" s="22"/>
      <c r="BK41" s="59"/>
      <c r="BL41" s="59"/>
      <c r="BM41" s="23"/>
      <c r="BN41" s="28"/>
      <c r="BO41" s="29"/>
      <c r="BP41" s="12"/>
      <c r="BQ41" s="31"/>
      <c r="BR41" s="32"/>
      <c r="BS41" s="29"/>
      <c r="BT41" s="12"/>
      <c r="BU41" s="57"/>
      <c r="BV41" s="57"/>
      <c r="BW41" s="13"/>
      <c r="BX41" s="26"/>
      <c r="BY41" s="27"/>
      <c r="BZ41" s="12"/>
      <c r="CA41" s="31"/>
      <c r="CB41" s="32"/>
      <c r="CC41" s="29"/>
      <c r="CD41" s="12"/>
      <c r="CE41" s="31"/>
      <c r="CF41" s="154"/>
      <c r="CG41" s="152"/>
      <c r="CH41" s="152"/>
      <c r="CI41" s="152"/>
      <c r="CJ41" s="12"/>
      <c r="CK41" s="31"/>
      <c r="CL41" s="32"/>
      <c r="CM41" s="29"/>
      <c r="CN41" s="12"/>
      <c r="CO41" s="31"/>
      <c r="CP41" s="32"/>
      <c r="CQ41" s="29"/>
    </row>
    <row r="42" spans="1:95" ht="22.5" hidden="1" customHeight="1" x14ac:dyDescent="0.55000000000000004">
      <c r="A42" s="7">
        <v>40</v>
      </c>
      <c r="B42" s="41"/>
      <c r="C42" s="31"/>
      <c r="D42" s="32"/>
      <c r="E42" s="33"/>
      <c r="F42" s="41"/>
      <c r="G42" s="31"/>
      <c r="H42" s="32"/>
      <c r="I42" s="33"/>
      <c r="J42" s="41"/>
      <c r="K42" s="31"/>
      <c r="L42" s="32"/>
      <c r="M42" s="33"/>
      <c r="N42" s="41"/>
      <c r="O42" s="31"/>
      <c r="P42" s="32"/>
      <c r="Q42" s="33"/>
      <c r="R42" s="41"/>
      <c r="S42" s="31"/>
      <c r="T42" s="32"/>
      <c r="U42" s="33"/>
      <c r="V42" s="41"/>
      <c r="W42" s="31"/>
      <c r="X42" s="32"/>
      <c r="Y42" s="33"/>
      <c r="Z42" s="41"/>
      <c r="AA42" s="31"/>
      <c r="AB42" s="32"/>
      <c r="AC42" s="33"/>
      <c r="AD42" s="41"/>
      <c r="AE42" s="31"/>
      <c r="AF42" s="32"/>
      <c r="AG42" s="33"/>
      <c r="AH42" s="41"/>
      <c r="AI42" s="31"/>
      <c r="AJ42" s="32"/>
      <c r="AK42" s="33"/>
      <c r="AL42" s="41"/>
      <c r="AM42" s="31"/>
      <c r="AN42" s="32"/>
      <c r="AO42" s="33"/>
      <c r="AP42" s="41"/>
      <c r="AQ42" s="31"/>
      <c r="AR42" s="32"/>
      <c r="AS42" s="33"/>
      <c r="AT42" s="41"/>
      <c r="AU42" s="31"/>
      <c r="AV42" s="32"/>
      <c r="AW42" s="33"/>
      <c r="AX42" s="22"/>
      <c r="AY42" s="23"/>
      <c r="AZ42" s="26"/>
      <c r="BA42" s="27"/>
      <c r="BB42" s="22"/>
      <c r="BC42" s="23"/>
      <c r="BD42" s="26"/>
      <c r="BE42" s="27"/>
      <c r="BF42" s="22"/>
      <c r="BG42" s="23"/>
      <c r="BH42" s="26"/>
      <c r="BI42" s="27"/>
      <c r="BJ42" s="22"/>
      <c r="BK42" s="59"/>
      <c r="BL42" s="59"/>
      <c r="BM42" s="23"/>
      <c r="BN42" s="26"/>
      <c r="BO42" s="27"/>
      <c r="BP42" s="22"/>
      <c r="BQ42" s="23"/>
      <c r="BR42" s="26"/>
      <c r="BS42" s="27"/>
      <c r="BT42" s="12"/>
      <c r="BU42" s="57"/>
      <c r="BV42" s="57"/>
      <c r="BW42" s="13"/>
      <c r="BX42" s="26"/>
      <c r="BY42" s="27"/>
      <c r="BZ42" s="22"/>
      <c r="CA42" s="23"/>
      <c r="CB42" s="26"/>
      <c r="CC42" s="27"/>
      <c r="CD42" s="22"/>
      <c r="CE42" s="23"/>
      <c r="CF42" s="153"/>
      <c r="CG42" s="155"/>
      <c r="CH42" s="155"/>
      <c r="CI42" s="155"/>
      <c r="CJ42" s="22"/>
      <c r="CK42" s="23"/>
      <c r="CL42" s="26"/>
      <c r="CM42" s="27"/>
      <c r="CN42" s="22"/>
      <c r="CO42" s="23"/>
      <c r="CP42" s="26"/>
      <c r="CQ42" s="27"/>
    </row>
    <row r="43" spans="1:95" ht="22.5" x14ac:dyDescent="0.55000000000000004">
      <c r="A43" s="7">
        <v>41</v>
      </c>
      <c r="B43" s="24"/>
      <c r="C43" s="25"/>
      <c r="D43" s="28"/>
      <c r="E43" s="29"/>
      <c r="F43" s="24"/>
      <c r="G43" s="25"/>
      <c r="H43" s="28"/>
      <c r="I43" s="29"/>
      <c r="J43" s="24"/>
      <c r="K43" s="25"/>
      <c r="L43" s="28"/>
      <c r="M43" s="29"/>
      <c r="N43" s="24"/>
      <c r="O43" s="25"/>
      <c r="P43" s="28"/>
      <c r="Q43" s="29"/>
      <c r="R43" s="24"/>
      <c r="S43" s="25"/>
      <c r="T43" s="28"/>
      <c r="U43" s="29"/>
      <c r="V43" s="24"/>
      <c r="W43" s="25"/>
      <c r="X43" s="28"/>
      <c r="Y43" s="29"/>
      <c r="Z43" s="24"/>
      <c r="AA43" s="25"/>
      <c r="AB43" s="28"/>
      <c r="AC43" s="29"/>
      <c r="AD43" s="24"/>
      <c r="AE43" s="25"/>
      <c r="AF43" s="28"/>
      <c r="AG43" s="29"/>
      <c r="AH43" s="24"/>
      <c r="AI43" s="25"/>
      <c r="AJ43" s="28"/>
      <c r="AK43" s="29"/>
      <c r="AL43" s="24"/>
      <c r="AM43" s="25"/>
      <c r="AN43" s="28"/>
      <c r="AO43" s="29"/>
      <c r="AP43" s="24"/>
      <c r="AQ43" s="25"/>
      <c r="AR43" s="28"/>
      <c r="AS43" s="29"/>
      <c r="AT43" s="24"/>
      <c r="AU43" s="25"/>
      <c r="AV43" s="28"/>
      <c r="AW43" s="29"/>
      <c r="AX43" s="24"/>
      <c r="AY43" s="25"/>
      <c r="AZ43" s="28"/>
      <c r="BA43" s="29"/>
      <c r="BB43" s="24"/>
      <c r="BC43" s="25"/>
      <c r="BD43" s="28"/>
      <c r="BE43" s="29"/>
      <c r="BF43" s="24"/>
      <c r="BG43" s="25"/>
      <c r="BH43" s="28"/>
      <c r="BI43" s="29"/>
      <c r="BJ43" s="24"/>
      <c r="BK43" s="58"/>
      <c r="BL43" s="58"/>
      <c r="BM43" s="25"/>
      <c r="BN43" s="28">
        <v>100</v>
      </c>
      <c r="BO43" s="29">
        <v>100</v>
      </c>
      <c r="BP43" s="109"/>
      <c r="BQ43" s="25"/>
      <c r="BR43" s="28"/>
      <c r="BS43" s="29"/>
      <c r="BT43" s="12"/>
      <c r="BU43" s="57"/>
      <c r="BV43" s="57"/>
      <c r="BW43" s="13"/>
      <c r="BX43" s="28"/>
      <c r="BY43" s="29"/>
      <c r="BZ43" s="109"/>
      <c r="CA43" s="25"/>
      <c r="CB43" s="28"/>
      <c r="CC43" s="29"/>
      <c r="CD43" s="109"/>
      <c r="CE43" s="25"/>
      <c r="CF43" s="151"/>
      <c r="CG43" s="152"/>
      <c r="CH43" s="152"/>
      <c r="CI43" s="152"/>
      <c r="CJ43" s="109"/>
      <c r="CK43" s="25"/>
      <c r="CL43" s="28"/>
      <c r="CM43" s="29"/>
      <c r="CN43" s="109"/>
      <c r="CO43" s="25"/>
      <c r="CP43" s="28"/>
      <c r="CQ43" s="29"/>
    </row>
    <row r="44" spans="1:95" ht="22.5" hidden="1" customHeight="1" x14ac:dyDescent="0.55000000000000004">
      <c r="A44" s="7">
        <v>42</v>
      </c>
      <c r="B44" s="41"/>
      <c r="C44" s="31"/>
      <c r="D44" s="32"/>
      <c r="E44" s="33"/>
      <c r="F44" s="41"/>
      <c r="G44" s="31"/>
      <c r="H44" s="32"/>
      <c r="I44" s="33"/>
      <c r="J44" s="41"/>
      <c r="K44" s="31"/>
      <c r="L44" s="32"/>
      <c r="M44" s="33"/>
      <c r="N44" s="41"/>
      <c r="O44" s="31"/>
      <c r="P44" s="32"/>
      <c r="Q44" s="33"/>
      <c r="R44" s="41"/>
      <c r="S44" s="31"/>
      <c r="T44" s="32"/>
      <c r="U44" s="33"/>
      <c r="V44" s="41"/>
      <c r="W44" s="31"/>
      <c r="X44" s="32"/>
      <c r="Y44" s="33"/>
      <c r="Z44" s="41"/>
      <c r="AA44" s="31"/>
      <c r="AB44" s="32"/>
      <c r="AC44" s="33"/>
      <c r="AD44" s="41"/>
      <c r="AE44" s="31"/>
      <c r="AF44" s="32"/>
      <c r="AG44" s="33"/>
      <c r="AH44" s="41"/>
      <c r="AI44" s="31"/>
      <c r="AJ44" s="32"/>
      <c r="AK44" s="33"/>
      <c r="AL44" s="41"/>
      <c r="AM44" s="31"/>
      <c r="AN44" s="32"/>
      <c r="AO44" s="33"/>
      <c r="AP44" s="41"/>
      <c r="AQ44" s="31"/>
      <c r="AR44" s="32"/>
      <c r="AS44" s="33"/>
      <c r="AT44" s="41"/>
      <c r="AU44" s="31"/>
      <c r="AV44" s="32"/>
      <c r="AW44" s="33"/>
      <c r="AX44" s="22"/>
      <c r="AY44" s="23"/>
      <c r="AZ44" s="26"/>
      <c r="BA44" s="27"/>
      <c r="BB44" s="22"/>
      <c r="BC44" s="23"/>
      <c r="BD44" s="26"/>
      <c r="BE44" s="27"/>
      <c r="BF44" s="22"/>
      <c r="BG44" s="23"/>
      <c r="BH44" s="26"/>
      <c r="BI44" s="27"/>
      <c r="BJ44" s="22"/>
      <c r="BK44" s="59"/>
      <c r="BL44" s="59"/>
      <c r="BM44" s="23"/>
      <c r="BN44" s="26"/>
      <c r="BO44" s="27"/>
      <c r="BP44" s="22"/>
      <c r="BQ44" s="23"/>
      <c r="BR44" s="26"/>
      <c r="BS44" s="27"/>
      <c r="BT44" s="12"/>
      <c r="BU44" s="57"/>
      <c r="BV44" s="57"/>
      <c r="BW44" s="13"/>
      <c r="BX44" s="26"/>
      <c r="BY44" s="27"/>
      <c r="BZ44" s="22"/>
      <c r="CA44" s="23"/>
      <c r="CB44" s="26"/>
      <c r="CC44" s="27"/>
      <c r="CD44" s="22"/>
      <c r="CE44" s="23"/>
      <c r="CF44" s="153"/>
      <c r="CG44" s="155"/>
      <c r="CH44" s="155"/>
      <c r="CI44" s="155"/>
      <c r="CJ44" s="22"/>
      <c r="CK44" s="23"/>
      <c r="CL44" s="26"/>
      <c r="CM44" s="27"/>
      <c r="CN44" s="22"/>
      <c r="CO44" s="23"/>
      <c r="CP44" s="26"/>
      <c r="CQ44" s="27"/>
    </row>
    <row r="45" spans="1:95" ht="22.5" hidden="1" customHeight="1" x14ac:dyDescent="0.55000000000000004">
      <c r="A45" s="7">
        <v>43</v>
      </c>
      <c r="B45" s="41"/>
      <c r="C45" s="31"/>
      <c r="D45" s="32"/>
      <c r="E45" s="33"/>
      <c r="F45" s="41"/>
      <c r="G45" s="31"/>
      <c r="H45" s="32"/>
      <c r="I45" s="33"/>
      <c r="J45" s="41"/>
      <c r="K45" s="31"/>
      <c r="L45" s="32"/>
      <c r="M45" s="33"/>
      <c r="N45" s="41"/>
      <c r="O45" s="31"/>
      <c r="P45" s="32"/>
      <c r="Q45" s="33"/>
      <c r="R45" s="41"/>
      <c r="S45" s="31"/>
      <c r="T45" s="32"/>
      <c r="U45" s="33"/>
      <c r="V45" s="41"/>
      <c r="W45" s="31"/>
      <c r="X45" s="32"/>
      <c r="Y45" s="33"/>
      <c r="Z45" s="41"/>
      <c r="AA45" s="31"/>
      <c r="AB45" s="32"/>
      <c r="AC45" s="33"/>
      <c r="AD45" s="41"/>
      <c r="AE45" s="31"/>
      <c r="AF45" s="32"/>
      <c r="AG45" s="33"/>
      <c r="AH45" s="41"/>
      <c r="AI45" s="31"/>
      <c r="AJ45" s="32"/>
      <c r="AK45" s="33"/>
      <c r="AL45" s="41"/>
      <c r="AM45" s="31"/>
      <c r="AN45" s="32"/>
      <c r="AO45" s="33"/>
      <c r="AP45" s="41"/>
      <c r="AQ45" s="31"/>
      <c r="AR45" s="32"/>
      <c r="AS45" s="33"/>
      <c r="AT45" s="41"/>
      <c r="AU45" s="31"/>
      <c r="AV45" s="32"/>
      <c r="AW45" s="33"/>
      <c r="AX45" s="22"/>
      <c r="AY45" s="23"/>
      <c r="AZ45" s="26"/>
      <c r="BA45" s="27"/>
      <c r="BB45" s="22"/>
      <c r="BC45" s="23"/>
      <c r="BD45" s="26"/>
      <c r="BE45" s="27"/>
      <c r="BF45" s="22"/>
      <c r="BG45" s="23"/>
      <c r="BH45" s="26"/>
      <c r="BI45" s="27"/>
      <c r="BJ45" s="22"/>
      <c r="BK45" s="59"/>
      <c r="BL45" s="59"/>
      <c r="BM45" s="23"/>
      <c r="BN45" s="26"/>
      <c r="BO45" s="27"/>
      <c r="BP45" s="22"/>
      <c r="BQ45" s="23"/>
      <c r="BR45" s="26"/>
      <c r="BS45" s="27"/>
      <c r="BT45" s="12"/>
      <c r="BU45" s="57"/>
      <c r="BV45" s="57"/>
      <c r="BW45" s="13"/>
      <c r="BX45" s="26"/>
      <c r="BY45" s="27"/>
      <c r="BZ45" s="22"/>
      <c r="CA45" s="23"/>
      <c r="CB45" s="26"/>
      <c r="CC45" s="27"/>
      <c r="CD45" s="22"/>
      <c r="CE45" s="23"/>
      <c r="CF45" s="153"/>
      <c r="CG45" s="155"/>
      <c r="CH45" s="155"/>
      <c r="CI45" s="155"/>
      <c r="CJ45" s="22"/>
      <c r="CK45" s="23"/>
      <c r="CL45" s="26"/>
      <c r="CM45" s="27"/>
      <c r="CN45" s="22"/>
      <c r="CO45" s="23"/>
      <c r="CP45" s="26"/>
      <c r="CQ45" s="27"/>
    </row>
    <row r="46" spans="1:95" ht="22.5" hidden="1" customHeight="1" x14ac:dyDescent="0.55000000000000004">
      <c r="A46" s="7">
        <v>44</v>
      </c>
      <c r="B46" s="41"/>
      <c r="C46" s="31"/>
      <c r="D46" s="32"/>
      <c r="E46" s="33"/>
      <c r="F46" s="41"/>
      <c r="G46" s="31"/>
      <c r="H46" s="32"/>
      <c r="I46" s="33"/>
      <c r="J46" s="41"/>
      <c r="K46" s="31"/>
      <c r="L46" s="32"/>
      <c r="M46" s="33"/>
      <c r="N46" s="41"/>
      <c r="O46" s="31"/>
      <c r="P46" s="32"/>
      <c r="Q46" s="33"/>
      <c r="R46" s="41"/>
      <c r="S46" s="31"/>
      <c r="T46" s="32"/>
      <c r="U46" s="33"/>
      <c r="V46" s="41"/>
      <c r="W46" s="31"/>
      <c r="X46" s="32"/>
      <c r="Y46" s="33"/>
      <c r="Z46" s="41"/>
      <c r="AA46" s="31"/>
      <c r="AB46" s="32"/>
      <c r="AC46" s="33"/>
      <c r="AD46" s="41"/>
      <c r="AE46" s="31"/>
      <c r="AF46" s="32"/>
      <c r="AG46" s="33"/>
      <c r="AH46" s="41"/>
      <c r="AI46" s="31"/>
      <c r="AJ46" s="32"/>
      <c r="AK46" s="33"/>
      <c r="AL46" s="41"/>
      <c r="AM46" s="31"/>
      <c r="AN46" s="32"/>
      <c r="AO46" s="33"/>
      <c r="AP46" s="41"/>
      <c r="AQ46" s="31"/>
      <c r="AR46" s="32"/>
      <c r="AS46" s="33"/>
      <c r="AT46" s="41"/>
      <c r="AU46" s="31"/>
      <c r="AV46" s="32"/>
      <c r="AW46" s="33"/>
      <c r="AX46" s="22"/>
      <c r="AY46" s="23"/>
      <c r="AZ46" s="26"/>
      <c r="BA46" s="27"/>
      <c r="BB46" s="22"/>
      <c r="BC46" s="23"/>
      <c r="BD46" s="26"/>
      <c r="BE46" s="27"/>
      <c r="BF46" s="22"/>
      <c r="BG46" s="23"/>
      <c r="BH46" s="26"/>
      <c r="BI46" s="27"/>
      <c r="BJ46" s="22"/>
      <c r="BK46" s="59"/>
      <c r="BL46" s="59"/>
      <c r="BM46" s="23"/>
      <c r="BN46" s="26"/>
      <c r="BO46" s="27"/>
      <c r="BP46" s="22"/>
      <c r="BQ46" s="23"/>
      <c r="BR46" s="26"/>
      <c r="BS46" s="27"/>
      <c r="BT46" s="12"/>
      <c r="BU46" s="57"/>
      <c r="BV46" s="57"/>
      <c r="BW46" s="13"/>
      <c r="BX46" s="26"/>
      <c r="BY46" s="27"/>
      <c r="BZ46" s="22"/>
      <c r="CA46" s="23"/>
      <c r="CB46" s="26"/>
      <c r="CC46" s="27"/>
      <c r="CD46" s="22"/>
      <c r="CE46" s="23"/>
      <c r="CF46" s="153"/>
      <c r="CG46" s="155"/>
      <c r="CH46" s="155"/>
      <c r="CI46" s="155"/>
      <c r="CJ46" s="22"/>
      <c r="CK46" s="23"/>
      <c r="CL46" s="26"/>
      <c r="CM46" s="27"/>
      <c r="CN46" s="22"/>
      <c r="CO46" s="23"/>
      <c r="CP46" s="26"/>
      <c r="CQ46" s="27"/>
    </row>
    <row r="47" spans="1:95" ht="22.5" hidden="1" customHeight="1" x14ac:dyDescent="0.55000000000000004">
      <c r="A47" s="7">
        <v>45</v>
      </c>
      <c r="B47" s="41"/>
      <c r="C47" s="31"/>
      <c r="D47" s="32"/>
      <c r="E47" s="33"/>
      <c r="F47" s="41"/>
      <c r="G47" s="31"/>
      <c r="H47" s="32"/>
      <c r="I47" s="33"/>
      <c r="J47" s="41"/>
      <c r="K47" s="31"/>
      <c r="L47" s="32"/>
      <c r="M47" s="33"/>
      <c r="N47" s="41"/>
      <c r="O47" s="31"/>
      <c r="P47" s="32"/>
      <c r="Q47" s="33"/>
      <c r="R47" s="41"/>
      <c r="S47" s="31"/>
      <c r="T47" s="32"/>
      <c r="U47" s="33"/>
      <c r="V47" s="41"/>
      <c r="W47" s="31"/>
      <c r="X47" s="32"/>
      <c r="Y47" s="33"/>
      <c r="Z47" s="41"/>
      <c r="AA47" s="31"/>
      <c r="AB47" s="32"/>
      <c r="AC47" s="33"/>
      <c r="AD47" s="41"/>
      <c r="AE47" s="31"/>
      <c r="AF47" s="32"/>
      <c r="AG47" s="33"/>
      <c r="AH47" s="41"/>
      <c r="AI47" s="31"/>
      <c r="AJ47" s="32"/>
      <c r="AK47" s="33"/>
      <c r="AL47" s="41"/>
      <c r="AM47" s="31"/>
      <c r="AN47" s="32"/>
      <c r="AO47" s="33"/>
      <c r="AP47" s="41"/>
      <c r="AQ47" s="31"/>
      <c r="AR47" s="32"/>
      <c r="AS47" s="33"/>
      <c r="AT47" s="41"/>
      <c r="AU47" s="31"/>
      <c r="AV47" s="32"/>
      <c r="AW47" s="33"/>
      <c r="AX47" s="22"/>
      <c r="AY47" s="23"/>
      <c r="AZ47" s="26"/>
      <c r="BA47" s="27"/>
      <c r="BB47" s="22"/>
      <c r="BC47" s="23"/>
      <c r="BD47" s="26"/>
      <c r="BE47" s="27"/>
      <c r="BF47" s="22"/>
      <c r="BG47" s="23"/>
      <c r="BH47" s="26"/>
      <c r="BI47" s="27"/>
      <c r="BJ47" s="22"/>
      <c r="BK47" s="59"/>
      <c r="BL47" s="59"/>
      <c r="BM47" s="23"/>
      <c r="BN47" s="26"/>
      <c r="BO47" s="27"/>
      <c r="BP47" s="22"/>
      <c r="BQ47" s="23"/>
      <c r="BR47" s="26"/>
      <c r="BS47" s="27"/>
      <c r="BT47" s="12"/>
      <c r="BU47" s="57"/>
      <c r="BV47" s="57"/>
      <c r="BW47" s="13"/>
      <c r="BX47" s="26"/>
      <c r="BY47" s="27"/>
      <c r="BZ47" s="22"/>
      <c r="CA47" s="23"/>
      <c r="CB47" s="26"/>
      <c r="CC47" s="27"/>
      <c r="CD47" s="22"/>
      <c r="CE47" s="23"/>
      <c r="CF47" s="153"/>
      <c r="CG47" s="155"/>
      <c r="CH47" s="155"/>
      <c r="CI47" s="155"/>
      <c r="CJ47" s="22"/>
      <c r="CK47" s="23"/>
      <c r="CL47" s="26"/>
      <c r="CM47" s="27"/>
      <c r="CN47" s="22"/>
      <c r="CO47" s="23"/>
      <c r="CP47" s="26"/>
      <c r="CQ47" s="27"/>
    </row>
    <row r="48" spans="1:95" ht="22.5" hidden="1" customHeight="1" x14ac:dyDescent="0.55000000000000004">
      <c r="A48" s="7">
        <v>46</v>
      </c>
      <c r="B48" s="41"/>
      <c r="C48" s="31"/>
      <c r="D48" s="32"/>
      <c r="E48" s="33"/>
      <c r="F48" s="41"/>
      <c r="G48" s="31"/>
      <c r="H48" s="32"/>
      <c r="I48" s="33"/>
      <c r="J48" s="41"/>
      <c r="K48" s="31"/>
      <c r="L48" s="32"/>
      <c r="M48" s="33"/>
      <c r="N48" s="41"/>
      <c r="O48" s="31"/>
      <c r="P48" s="32"/>
      <c r="Q48" s="33"/>
      <c r="R48" s="41"/>
      <c r="S48" s="31"/>
      <c r="T48" s="32"/>
      <c r="U48" s="33"/>
      <c r="V48" s="41"/>
      <c r="W48" s="31"/>
      <c r="X48" s="32"/>
      <c r="Y48" s="33"/>
      <c r="Z48" s="41"/>
      <c r="AA48" s="31"/>
      <c r="AB48" s="32"/>
      <c r="AC48" s="33"/>
      <c r="AD48" s="41"/>
      <c r="AE48" s="31"/>
      <c r="AF48" s="32"/>
      <c r="AG48" s="33"/>
      <c r="AH48" s="41"/>
      <c r="AI48" s="31"/>
      <c r="AJ48" s="32"/>
      <c r="AK48" s="33"/>
      <c r="AL48" s="41"/>
      <c r="AM48" s="31"/>
      <c r="AN48" s="32"/>
      <c r="AO48" s="33"/>
      <c r="AP48" s="41"/>
      <c r="AQ48" s="31"/>
      <c r="AR48" s="32"/>
      <c r="AS48" s="33"/>
      <c r="AT48" s="41"/>
      <c r="AU48" s="31"/>
      <c r="AV48" s="32"/>
      <c r="AW48" s="33"/>
      <c r="AX48" s="22"/>
      <c r="AY48" s="23"/>
      <c r="AZ48" s="26"/>
      <c r="BA48" s="27"/>
      <c r="BB48" s="22"/>
      <c r="BC48" s="23"/>
      <c r="BD48" s="26"/>
      <c r="BE48" s="27"/>
      <c r="BF48" s="22"/>
      <c r="BG48" s="23"/>
      <c r="BH48" s="26"/>
      <c r="BI48" s="27"/>
      <c r="BJ48" s="22"/>
      <c r="BK48" s="59"/>
      <c r="BL48" s="59"/>
      <c r="BM48" s="23"/>
      <c r="BN48" s="26"/>
      <c r="BO48" s="27"/>
      <c r="BP48" s="22"/>
      <c r="BQ48" s="23"/>
      <c r="BR48" s="26"/>
      <c r="BS48" s="27"/>
      <c r="BT48" s="12"/>
      <c r="BU48" s="57"/>
      <c r="BV48" s="57"/>
      <c r="BW48" s="13"/>
      <c r="BX48" s="26"/>
      <c r="BY48" s="27"/>
      <c r="BZ48" s="22"/>
      <c r="CA48" s="23"/>
      <c r="CB48" s="26"/>
      <c r="CC48" s="27"/>
      <c r="CD48" s="22"/>
      <c r="CE48" s="23"/>
      <c r="CF48" s="153"/>
      <c r="CG48" s="155"/>
      <c r="CH48" s="155"/>
      <c r="CI48" s="155"/>
      <c r="CJ48" s="22"/>
      <c r="CK48" s="23"/>
      <c r="CL48" s="26"/>
      <c r="CM48" s="27"/>
      <c r="CN48" s="22"/>
      <c r="CO48" s="23"/>
      <c r="CP48" s="26"/>
      <c r="CQ48" s="27"/>
    </row>
    <row r="49" spans="1:95" ht="22.5" hidden="1" customHeight="1" x14ac:dyDescent="0.55000000000000004">
      <c r="A49" s="7">
        <v>47</v>
      </c>
      <c r="B49" s="41"/>
      <c r="C49" s="31"/>
      <c r="D49" s="32"/>
      <c r="E49" s="33"/>
      <c r="F49" s="41"/>
      <c r="G49" s="31"/>
      <c r="H49" s="32"/>
      <c r="I49" s="33"/>
      <c r="J49" s="41"/>
      <c r="K49" s="31"/>
      <c r="L49" s="32"/>
      <c r="M49" s="33"/>
      <c r="N49" s="41"/>
      <c r="O49" s="31"/>
      <c r="P49" s="32"/>
      <c r="Q49" s="33"/>
      <c r="R49" s="41"/>
      <c r="S49" s="31"/>
      <c r="T49" s="32"/>
      <c r="U49" s="33"/>
      <c r="V49" s="41"/>
      <c r="W49" s="31"/>
      <c r="X49" s="32"/>
      <c r="Y49" s="33"/>
      <c r="Z49" s="41"/>
      <c r="AA49" s="31"/>
      <c r="AB49" s="32"/>
      <c r="AC49" s="33"/>
      <c r="AD49" s="41"/>
      <c r="AE49" s="31"/>
      <c r="AF49" s="32"/>
      <c r="AG49" s="33"/>
      <c r="AH49" s="41"/>
      <c r="AI49" s="31"/>
      <c r="AJ49" s="32"/>
      <c r="AK49" s="33"/>
      <c r="AL49" s="41"/>
      <c r="AM49" s="31"/>
      <c r="AN49" s="32"/>
      <c r="AO49" s="33"/>
      <c r="AP49" s="41"/>
      <c r="AQ49" s="31"/>
      <c r="AR49" s="32"/>
      <c r="AS49" s="33"/>
      <c r="AT49" s="41"/>
      <c r="AU49" s="31"/>
      <c r="AV49" s="32"/>
      <c r="AW49" s="33"/>
      <c r="AX49" s="22"/>
      <c r="AY49" s="23"/>
      <c r="AZ49" s="26"/>
      <c r="BA49" s="27"/>
      <c r="BB49" s="22"/>
      <c r="BC49" s="23"/>
      <c r="BD49" s="26"/>
      <c r="BE49" s="27"/>
      <c r="BF49" s="22"/>
      <c r="BG49" s="23"/>
      <c r="BH49" s="26"/>
      <c r="BI49" s="27"/>
      <c r="BJ49" s="22"/>
      <c r="BK49" s="59"/>
      <c r="BL49" s="59"/>
      <c r="BM49" s="23"/>
      <c r="BN49" s="26"/>
      <c r="BO49" s="27"/>
      <c r="BP49" s="22"/>
      <c r="BQ49" s="23"/>
      <c r="BR49" s="26"/>
      <c r="BS49" s="27"/>
      <c r="BT49" s="12"/>
      <c r="BU49" s="57"/>
      <c r="BV49" s="57"/>
      <c r="BW49" s="13"/>
      <c r="BX49" s="26"/>
      <c r="BY49" s="27"/>
      <c r="BZ49" s="22"/>
      <c r="CA49" s="23"/>
      <c r="CB49" s="26"/>
      <c r="CC49" s="27"/>
      <c r="CD49" s="22"/>
      <c r="CE49" s="23"/>
      <c r="CF49" s="153"/>
      <c r="CG49" s="155"/>
      <c r="CH49" s="155"/>
      <c r="CI49" s="155"/>
      <c r="CJ49" s="22"/>
      <c r="CK49" s="23"/>
      <c r="CL49" s="26"/>
      <c r="CM49" s="27"/>
      <c r="CN49" s="22"/>
      <c r="CO49" s="23"/>
      <c r="CP49" s="26"/>
      <c r="CQ49" s="27"/>
    </row>
    <row r="50" spans="1:95" ht="22.5" hidden="1" customHeight="1" x14ac:dyDescent="0.55000000000000004">
      <c r="A50" s="7">
        <v>48</v>
      </c>
      <c r="B50" s="41"/>
      <c r="C50" s="31"/>
      <c r="D50" s="32"/>
      <c r="E50" s="33"/>
      <c r="F50" s="41"/>
      <c r="G50" s="31"/>
      <c r="H50" s="32"/>
      <c r="I50" s="33"/>
      <c r="J50" s="41"/>
      <c r="K50" s="31"/>
      <c r="L50" s="32"/>
      <c r="M50" s="33"/>
      <c r="N50" s="41"/>
      <c r="O50" s="31"/>
      <c r="P50" s="32"/>
      <c r="Q50" s="33"/>
      <c r="R50" s="41"/>
      <c r="S50" s="31"/>
      <c r="T50" s="32"/>
      <c r="U50" s="33"/>
      <c r="V50" s="41"/>
      <c r="W50" s="31"/>
      <c r="X50" s="32"/>
      <c r="Y50" s="33"/>
      <c r="Z50" s="41"/>
      <c r="AA50" s="31"/>
      <c r="AB50" s="32"/>
      <c r="AC50" s="33"/>
      <c r="AD50" s="41"/>
      <c r="AE50" s="31"/>
      <c r="AF50" s="32"/>
      <c r="AG50" s="33"/>
      <c r="AH50" s="41"/>
      <c r="AI50" s="31"/>
      <c r="AJ50" s="32"/>
      <c r="AK50" s="33"/>
      <c r="AL50" s="41"/>
      <c r="AM50" s="31"/>
      <c r="AN50" s="32"/>
      <c r="AO50" s="33"/>
      <c r="AP50" s="41"/>
      <c r="AQ50" s="31"/>
      <c r="AR50" s="32"/>
      <c r="AS50" s="33"/>
      <c r="AT50" s="41"/>
      <c r="AU50" s="31"/>
      <c r="AV50" s="32"/>
      <c r="AW50" s="33"/>
      <c r="AX50" s="22"/>
      <c r="AY50" s="23"/>
      <c r="AZ50" s="26"/>
      <c r="BA50" s="27"/>
      <c r="BB50" s="22"/>
      <c r="BC50" s="23"/>
      <c r="BD50" s="26"/>
      <c r="BE50" s="27"/>
      <c r="BF50" s="22"/>
      <c r="BG50" s="23"/>
      <c r="BH50" s="26"/>
      <c r="BI50" s="27"/>
      <c r="BJ50" s="22"/>
      <c r="BK50" s="59"/>
      <c r="BL50" s="59"/>
      <c r="BM50" s="23"/>
      <c r="BN50" s="26"/>
      <c r="BO50" s="27"/>
      <c r="BP50" s="22"/>
      <c r="BQ50" s="23"/>
      <c r="BR50" s="26"/>
      <c r="BS50" s="27"/>
      <c r="BT50" s="12"/>
      <c r="BU50" s="57"/>
      <c r="BV50" s="57"/>
      <c r="BW50" s="13"/>
      <c r="BX50" s="26"/>
      <c r="BY50" s="27"/>
      <c r="BZ50" s="22"/>
      <c r="CA50" s="23"/>
      <c r="CB50" s="26"/>
      <c r="CC50" s="27"/>
      <c r="CD50" s="22"/>
      <c r="CE50" s="23"/>
      <c r="CF50" s="153"/>
      <c r="CG50" s="155"/>
      <c r="CH50" s="155"/>
      <c r="CI50" s="155"/>
      <c r="CJ50" s="22"/>
      <c r="CK50" s="23"/>
      <c r="CL50" s="26"/>
      <c r="CM50" s="27"/>
      <c r="CN50" s="22"/>
      <c r="CO50" s="23"/>
      <c r="CP50" s="26"/>
      <c r="CQ50" s="27"/>
    </row>
    <row r="51" spans="1:95" ht="22.5" hidden="1" customHeight="1" x14ac:dyDescent="0.55000000000000004">
      <c r="A51" s="7">
        <v>49</v>
      </c>
      <c r="B51" s="41"/>
      <c r="C51" s="31"/>
      <c r="D51" s="32"/>
      <c r="E51" s="33"/>
      <c r="F51" s="41"/>
      <c r="G51" s="31"/>
      <c r="H51" s="32"/>
      <c r="I51" s="33"/>
      <c r="J51" s="41"/>
      <c r="K51" s="31"/>
      <c r="L51" s="32"/>
      <c r="M51" s="33"/>
      <c r="N51" s="41"/>
      <c r="O51" s="31"/>
      <c r="P51" s="32"/>
      <c r="Q51" s="33"/>
      <c r="R51" s="41"/>
      <c r="S51" s="31"/>
      <c r="T51" s="32"/>
      <c r="U51" s="33"/>
      <c r="V51" s="41"/>
      <c r="W51" s="31"/>
      <c r="X51" s="32"/>
      <c r="Y51" s="33"/>
      <c r="Z51" s="41"/>
      <c r="AA51" s="31"/>
      <c r="AB51" s="32"/>
      <c r="AC51" s="33"/>
      <c r="AD51" s="41"/>
      <c r="AE51" s="31"/>
      <c r="AF51" s="32"/>
      <c r="AG51" s="33"/>
      <c r="AH51" s="41"/>
      <c r="AI51" s="31"/>
      <c r="AJ51" s="32"/>
      <c r="AK51" s="33"/>
      <c r="AL51" s="41"/>
      <c r="AM51" s="31"/>
      <c r="AN51" s="32"/>
      <c r="AO51" s="33"/>
      <c r="AP51" s="41"/>
      <c r="AQ51" s="31"/>
      <c r="AR51" s="32"/>
      <c r="AS51" s="33"/>
      <c r="AT51" s="41"/>
      <c r="AU51" s="31"/>
      <c r="AV51" s="32"/>
      <c r="AW51" s="33"/>
      <c r="AX51" s="22"/>
      <c r="AY51" s="23"/>
      <c r="AZ51" s="26"/>
      <c r="BA51" s="27"/>
      <c r="BB51" s="22"/>
      <c r="BC51" s="23"/>
      <c r="BD51" s="26"/>
      <c r="BE51" s="27"/>
      <c r="BF51" s="22"/>
      <c r="BG51" s="23"/>
      <c r="BH51" s="26"/>
      <c r="BI51" s="27"/>
      <c r="BJ51" s="22"/>
      <c r="BK51" s="59"/>
      <c r="BL51" s="59"/>
      <c r="BM51" s="23"/>
      <c r="BN51" s="26"/>
      <c r="BO51" s="27"/>
      <c r="BP51" s="22"/>
      <c r="BQ51" s="23"/>
      <c r="BR51" s="26"/>
      <c r="BS51" s="27"/>
      <c r="BT51" s="12"/>
      <c r="BU51" s="57"/>
      <c r="BV51" s="57"/>
      <c r="BW51" s="13"/>
      <c r="BX51" s="26"/>
      <c r="BY51" s="27"/>
      <c r="BZ51" s="22"/>
      <c r="CA51" s="23"/>
      <c r="CB51" s="26"/>
      <c r="CC51" s="27"/>
      <c r="CD51" s="22"/>
      <c r="CE51" s="23"/>
      <c r="CF51" s="153"/>
      <c r="CG51" s="155"/>
      <c r="CH51" s="155"/>
      <c r="CI51" s="155"/>
      <c r="CJ51" s="22"/>
      <c r="CK51" s="23"/>
      <c r="CL51" s="26"/>
      <c r="CM51" s="27"/>
      <c r="CN51" s="22"/>
      <c r="CO51" s="23"/>
      <c r="CP51" s="26"/>
      <c r="CQ51" s="27"/>
    </row>
    <row r="52" spans="1:95" ht="22.5" hidden="1" customHeight="1" x14ac:dyDescent="0.55000000000000004">
      <c r="A52" s="7">
        <v>50</v>
      </c>
      <c r="B52" s="41"/>
      <c r="C52" s="31"/>
      <c r="D52" s="32"/>
      <c r="E52" s="33"/>
      <c r="F52" s="41"/>
      <c r="G52" s="31"/>
      <c r="H52" s="32"/>
      <c r="I52" s="33"/>
      <c r="J52" s="41"/>
      <c r="K52" s="31"/>
      <c r="L52" s="32"/>
      <c r="M52" s="33"/>
      <c r="N52" s="41"/>
      <c r="O52" s="31"/>
      <c r="P52" s="32"/>
      <c r="Q52" s="33"/>
      <c r="R52" s="41"/>
      <c r="S52" s="31"/>
      <c r="T52" s="32"/>
      <c r="U52" s="33"/>
      <c r="V52" s="41"/>
      <c r="W52" s="31"/>
      <c r="X52" s="32"/>
      <c r="Y52" s="33"/>
      <c r="Z52" s="41"/>
      <c r="AA52" s="31"/>
      <c r="AB52" s="32"/>
      <c r="AC52" s="33"/>
      <c r="AD52" s="41"/>
      <c r="AE52" s="31"/>
      <c r="AF52" s="32"/>
      <c r="AG52" s="33"/>
      <c r="AH52" s="41"/>
      <c r="AI52" s="31"/>
      <c r="AJ52" s="32"/>
      <c r="AK52" s="33"/>
      <c r="AL52" s="41"/>
      <c r="AM52" s="31"/>
      <c r="AN52" s="32"/>
      <c r="AO52" s="33"/>
      <c r="AP52" s="41"/>
      <c r="AQ52" s="31"/>
      <c r="AR52" s="32"/>
      <c r="AS52" s="33"/>
      <c r="AT52" s="41"/>
      <c r="AU52" s="31"/>
      <c r="AV52" s="32"/>
      <c r="AW52" s="33"/>
      <c r="AX52" s="22"/>
      <c r="AY52" s="23"/>
      <c r="AZ52" s="26"/>
      <c r="BA52" s="27"/>
      <c r="BB52" s="22"/>
      <c r="BC52" s="23"/>
      <c r="BD52" s="26"/>
      <c r="BE52" s="27"/>
      <c r="BF52" s="22"/>
      <c r="BG52" s="23"/>
      <c r="BH52" s="26"/>
      <c r="BI52" s="27"/>
      <c r="BJ52" s="22"/>
      <c r="BK52" s="59"/>
      <c r="BL52" s="59"/>
      <c r="BM52" s="23"/>
      <c r="BN52" s="26"/>
      <c r="BO52" s="27"/>
      <c r="BP52" s="22"/>
      <c r="BQ52" s="23"/>
      <c r="BR52" s="26"/>
      <c r="BS52" s="27"/>
      <c r="BT52" s="12"/>
      <c r="BU52" s="57"/>
      <c r="BV52" s="57"/>
      <c r="BW52" s="13"/>
      <c r="BX52" s="26"/>
      <c r="BY52" s="27"/>
      <c r="BZ52" s="22"/>
      <c r="CA52" s="23"/>
      <c r="CB52" s="26"/>
      <c r="CC52" s="27"/>
      <c r="CD52" s="22"/>
      <c r="CE52" s="23"/>
      <c r="CF52" s="153"/>
      <c r="CG52" s="155"/>
      <c r="CH52" s="155"/>
      <c r="CI52" s="155"/>
      <c r="CJ52" s="22"/>
      <c r="CK52" s="23"/>
      <c r="CL52" s="26"/>
      <c r="CM52" s="27"/>
      <c r="CN52" s="22"/>
      <c r="CO52" s="23"/>
      <c r="CP52" s="26"/>
      <c r="CQ52" s="27"/>
    </row>
    <row r="53" spans="1:95" ht="22.5" hidden="1" customHeight="1" x14ac:dyDescent="0.55000000000000004">
      <c r="A53" s="7">
        <v>51</v>
      </c>
      <c r="B53" s="41"/>
      <c r="C53" s="31"/>
      <c r="D53" s="32"/>
      <c r="E53" s="33"/>
      <c r="F53" s="41"/>
      <c r="G53" s="31"/>
      <c r="H53" s="32"/>
      <c r="I53" s="33"/>
      <c r="J53" s="41"/>
      <c r="K53" s="31"/>
      <c r="L53" s="32"/>
      <c r="M53" s="33"/>
      <c r="N53" s="41"/>
      <c r="O53" s="31"/>
      <c r="P53" s="32"/>
      <c r="Q53" s="33"/>
      <c r="R53" s="41"/>
      <c r="S53" s="31"/>
      <c r="T53" s="32"/>
      <c r="U53" s="33"/>
      <c r="V53" s="41"/>
      <c r="W53" s="31"/>
      <c r="X53" s="32"/>
      <c r="Y53" s="33"/>
      <c r="Z53" s="41"/>
      <c r="AA53" s="31"/>
      <c r="AB53" s="32"/>
      <c r="AC53" s="33"/>
      <c r="AD53" s="41"/>
      <c r="AE53" s="31"/>
      <c r="AF53" s="32"/>
      <c r="AG53" s="33"/>
      <c r="AH53" s="41"/>
      <c r="AI53" s="31"/>
      <c r="AJ53" s="32"/>
      <c r="AK53" s="33"/>
      <c r="AL53" s="41"/>
      <c r="AM53" s="31"/>
      <c r="AN53" s="32"/>
      <c r="AO53" s="33"/>
      <c r="AP53" s="41"/>
      <c r="AQ53" s="31"/>
      <c r="AR53" s="32"/>
      <c r="AS53" s="33"/>
      <c r="AT53" s="41"/>
      <c r="AU53" s="31"/>
      <c r="AV53" s="32"/>
      <c r="AW53" s="33"/>
      <c r="AX53" s="22"/>
      <c r="AY53" s="23"/>
      <c r="AZ53" s="26"/>
      <c r="BA53" s="27"/>
      <c r="BB53" s="22"/>
      <c r="BC53" s="23"/>
      <c r="BD53" s="26"/>
      <c r="BE53" s="27"/>
      <c r="BF53" s="22"/>
      <c r="BG53" s="23"/>
      <c r="BH53" s="26"/>
      <c r="BI53" s="27"/>
      <c r="BJ53" s="22"/>
      <c r="BK53" s="59"/>
      <c r="BL53" s="59"/>
      <c r="BM53" s="23"/>
      <c r="BN53" s="26"/>
      <c r="BO53" s="27"/>
      <c r="BP53" s="22"/>
      <c r="BQ53" s="23"/>
      <c r="BR53" s="26"/>
      <c r="BS53" s="27"/>
      <c r="BT53" s="12"/>
      <c r="BU53" s="57"/>
      <c r="BV53" s="57"/>
      <c r="BW53" s="13"/>
      <c r="BX53" s="26"/>
      <c r="BY53" s="27"/>
      <c r="BZ53" s="22"/>
      <c r="CA53" s="23"/>
      <c r="CB53" s="26"/>
      <c r="CC53" s="27"/>
      <c r="CD53" s="22"/>
      <c r="CE53" s="23"/>
      <c r="CF53" s="153"/>
      <c r="CG53" s="155"/>
      <c r="CH53" s="155"/>
      <c r="CI53" s="155"/>
      <c r="CJ53" s="22"/>
      <c r="CK53" s="23"/>
      <c r="CL53" s="26"/>
      <c r="CM53" s="27"/>
      <c r="CN53" s="22"/>
      <c r="CO53" s="23"/>
      <c r="CP53" s="26"/>
      <c r="CQ53" s="27"/>
    </row>
    <row r="54" spans="1:95" ht="22.5" hidden="1" customHeight="1" x14ac:dyDescent="0.55000000000000004">
      <c r="A54" s="7">
        <v>52</v>
      </c>
      <c r="B54" s="41"/>
      <c r="C54" s="31"/>
      <c r="D54" s="32"/>
      <c r="E54" s="33"/>
      <c r="F54" s="41"/>
      <c r="G54" s="31"/>
      <c r="H54" s="32"/>
      <c r="I54" s="33"/>
      <c r="J54" s="41"/>
      <c r="K54" s="31"/>
      <c r="L54" s="32"/>
      <c r="M54" s="33"/>
      <c r="N54" s="41"/>
      <c r="O54" s="31"/>
      <c r="P54" s="32"/>
      <c r="Q54" s="33"/>
      <c r="R54" s="41"/>
      <c r="S54" s="31"/>
      <c r="T54" s="32"/>
      <c r="U54" s="33"/>
      <c r="V54" s="41"/>
      <c r="W54" s="31"/>
      <c r="X54" s="32"/>
      <c r="Y54" s="33"/>
      <c r="Z54" s="41"/>
      <c r="AA54" s="31"/>
      <c r="AB54" s="32"/>
      <c r="AC54" s="33"/>
      <c r="AD54" s="41"/>
      <c r="AE54" s="31"/>
      <c r="AF54" s="32"/>
      <c r="AG54" s="33"/>
      <c r="AH54" s="41"/>
      <c r="AI54" s="31"/>
      <c r="AJ54" s="32"/>
      <c r="AK54" s="33"/>
      <c r="AL54" s="41"/>
      <c r="AM54" s="31"/>
      <c r="AN54" s="32"/>
      <c r="AO54" s="33"/>
      <c r="AP54" s="41"/>
      <c r="AQ54" s="31"/>
      <c r="AR54" s="32"/>
      <c r="AS54" s="33"/>
      <c r="AT54" s="41"/>
      <c r="AU54" s="31"/>
      <c r="AV54" s="32"/>
      <c r="AW54" s="33"/>
      <c r="AX54" s="22"/>
      <c r="AY54" s="23"/>
      <c r="AZ54" s="26"/>
      <c r="BA54" s="27"/>
      <c r="BB54" s="22"/>
      <c r="BC54" s="23"/>
      <c r="BD54" s="26"/>
      <c r="BE54" s="27"/>
      <c r="BF54" s="22"/>
      <c r="BG54" s="23"/>
      <c r="BH54" s="26"/>
      <c r="BI54" s="27"/>
      <c r="BJ54" s="22"/>
      <c r="BK54" s="59"/>
      <c r="BL54" s="59"/>
      <c r="BM54" s="23"/>
      <c r="BN54" s="26"/>
      <c r="BO54" s="27"/>
      <c r="BP54" s="22"/>
      <c r="BQ54" s="23"/>
      <c r="BR54" s="26"/>
      <c r="BS54" s="27"/>
      <c r="BT54" s="12"/>
      <c r="BU54" s="57"/>
      <c r="BV54" s="57"/>
      <c r="BW54" s="13"/>
      <c r="BX54" s="26"/>
      <c r="BY54" s="27"/>
      <c r="BZ54" s="22"/>
      <c r="CA54" s="23"/>
      <c r="CB54" s="26"/>
      <c r="CC54" s="27"/>
      <c r="CD54" s="22"/>
      <c r="CE54" s="23"/>
      <c r="CF54" s="153"/>
      <c r="CG54" s="155"/>
      <c r="CH54" s="155"/>
      <c r="CI54" s="155"/>
      <c r="CJ54" s="22"/>
      <c r="CK54" s="23"/>
      <c r="CL54" s="26"/>
      <c r="CM54" s="27"/>
      <c r="CN54" s="22"/>
      <c r="CO54" s="23"/>
      <c r="CP54" s="26"/>
      <c r="CQ54" s="27"/>
    </row>
    <row r="55" spans="1:95" ht="22.5" hidden="1" customHeight="1" x14ac:dyDescent="0.55000000000000004">
      <c r="A55" s="7">
        <v>53</v>
      </c>
      <c r="B55" s="41"/>
      <c r="C55" s="31"/>
      <c r="D55" s="32"/>
      <c r="E55" s="33"/>
      <c r="F55" s="41"/>
      <c r="G55" s="31"/>
      <c r="H55" s="32"/>
      <c r="I55" s="33"/>
      <c r="J55" s="41"/>
      <c r="K55" s="31"/>
      <c r="L55" s="32"/>
      <c r="M55" s="33"/>
      <c r="N55" s="41"/>
      <c r="O55" s="31"/>
      <c r="P55" s="32"/>
      <c r="Q55" s="33"/>
      <c r="R55" s="41"/>
      <c r="S55" s="31"/>
      <c r="T55" s="32"/>
      <c r="U55" s="33"/>
      <c r="V55" s="41"/>
      <c r="W55" s="31"/>
      <c r="X55" s="32"/>
      <c r="Y55" s="33"/>
      <c r="Z55" s="41"/>
      <c r="AA55" s="31"/>
      <c r="AB55" s="32"/>
      <c r="AC55" s="33"/>
      <c r="AD55" s="41"/>
      <c r="AE55" s="31"/>
      <c r="AF55" s="32"/>
      <c r="AG55" s="33"/>
      <c r="AH55" s="41"/>
      <c r="AI55" s="31"/>
      <c r="AJ55" s="32"/>
      <c r="AK55" s="33"/>
      <c r="AL55" s="41"/>
      <c r="AM55" s="31"/>
      <c r="AN55" s="32"/>
      <c r="AO55" s="33"/>
      <c r="AP55" s="41"/>
      <c r="AQ55" s="31"/>
      <c r="AR55" s="32"/>
      <c r="AS55" s="33"/>
      <c r="AT55" s="41"/>
      <c r="AU55" s="31"/>
      <c r="AV55" s="32"/>
      <c r="AW55" s="33"/>
      <c r="AX55" s="22"/>
      <c r="AY55" s="23"/>
      <c r="AZ55" s="26"/>
      <c r="BA55" s="27"/>
      <c r="BB55" s="22"/>
      <c r="BC55" s="23"/>
      <c r="BD55" s="26"/>
      <c r="BE55" s="27"/>
      <c r="BF55" s="22"/>
      <c r="BG55" s="23"/>
      <c r="BH55" s="26"/>
      <c r="BI55" s="27"/>
      <c r="BJ55" s="22"/>
      <c r="BK55" s="59"/>
      <c r="BL55" s="59"/>
      <c r="BM55" s="23"/>
      <c r="BN55" s="26"/>
      <c r="BO55" s="27"/>
      <c r="BP55" s="22"/>
      <c r="BQ55" s="23"/>
      <c r="BR55" s="26"/>
      <c r="BS55" s="27"/>
      <c r="BT55" s="12"/>
      <c r="BU55" s="57"/>
      <c r="BV55" s="57"/>
      <c r="BW55" s="13"/>
      <c r="BX55" s="26"/>
      <c r="BY55" s="27"/>
      <c r="BZ55" s="22"/>
      <c r="CA55" s="23"/>
      <c r="CB55" s="26"/>
      <c r="CC55" s="27"/>
      <c r="CD55" s="22"/>
      <c r="CE55" s="23"/>
      <c r="CF55" s="153"/>
      <c r="CG55" s="155"/>
      <c r="CH55" s="155"/>
      <c r="CI55" s="155"/>
      <c r="CJ55" s="22"/>
      <c r="CK55" s="23"/>
      <c r="CL55" s="26"/>
      <c r="CM55" s="27"/>
      <c r="CN55" s="22"/>
      <c r="CO55" s="23"/>
      <c r="CP55" s="26"/>
      <c r="CQ55" s="27"/>
    </row>
    <row r="56" spans="1:95" ht="22.5" hidden="1" customHeight="1" x14ac:dyDescent="0.55000000000000004">
      <c r="A56" s="7">
        <v>54</v>
      </c>
      <c r="B56" s="41"/>
      <c r="C56" s="31"/>
      <c r="D56" s="32"/>
      <c r="E56" s="33"/>
      <c r="F56" s="41"/>
      <c r="G56" s="31"/>
      <c r="H56" s="32"/>
      <c r="I56" s="33"/>
      <c r="J56" s="41"/>
      <c r="K56" s="31"/>
      <c r="L56" s="32"/>
      <c r="M56" s="33"/>
      <c r="N56" s="41"/>
      <c r="O56" s="31"/>
      <c r="P56" s="32"/>
      <c r="Q56" s="33"/>
      <c r="R56" s="41"/>
      <c r="S56" s="31"/>
      <c r="T56" s="32"/>
      <c r="U56" s="33"/>
      <c r="V56" s="41"/>
      <c r="W56" s="31"/>
      <c r="X56" s="32"/>
      <c r="Y56" s="33"/>
      <c r="Z56" s="41"/>
      <c r="AA56" s="31"/>
      <c r="AB56" s="32"/>
      <c r="AC56" s="33"/>
      <c r="AD56" s="41"/>
      <c r="AE56" s="31"/>
      <c r="AF56" s="32"/>
      <c r="AG56" s="33"/>
      <c r="AH56" s="41"/>
      <c r="AI56" s="31"/>
      <c r="AJ56" s="32"/>
      <c r="AK56" s="33"/>
      <c r="AL56" s="41"/>
      <c r="AM56" s="31"/>
      <c r="AN56" s="32"/>
      <c r="AO56" s="33"/>
      <c r="AP56" s="41"/>
      <c r="AQ56" s="31"/>
      <c r="AR56" s="32"/>
      <c r="AS56" s="33"/>
      <c r="AT56" s="41"/>
      <c r="AU56" s="31"/>
      <c r="AV56" s="32"/>
      <c r="AW56" s="33"/>
      <c r="AX56" s="22"/>
      <c r="AY56" s="23"/>
      <c r="AZ56" s="26"/>
      <c r="BA56" s="27"/>
      <c r="BB56" s="22"/>
      <c r="BC56" s="23"/>
      <c r="BD56" s="26"/>
      <c r="BE56" s="27"/>
      <c r="BF56" s="22"/>
      <c r="BG56" s="23"/>
      <c r="BH56" s="26"/>
      <c r="BI56" s="27"/>
      <c r="BJ56" s="22"/>
      <c r="BK56" s="59"/>
      <c r="BL56" s="59"/>
      <c r="BM56" s="23"/>
      <c r="BN56" s="26"/>
      <c r="BO56" s="27"/>
      <c r="BP56" s="22"/>
      <c r="BQ56" s="23"/>
      <c r="BR56" s="26"/>
      <c r="BS56" s="27"/>
      <c r="BT56" s="12"/>
      <c r="BU56" s="57"/>
      <c r="BV56" s="57"/>
      <c r="BW56" s="13"/>
      <c r="BX56" s="26"/>
      <c r="BY56" s="27"/>
      <c r="BZ56" s="22"/>
      <c r="CA56" s="23"/>
      <c r="CB56" s="26"/>
      <c r="CC56" s="27"/>
      <c r="CD56" s="22"/>
      <c r="CE56" s="23"/>
      <c r="CF56" s="153"/>
      <c r="CG56" s="155"/>
      <c r="CH56" s="155"/>
      <c r="CI56" s="155"/>
      <c r="CJ56" s="22"/>
      <c r="CK56" s="23"/>
      <c r="CL56" s="26"/>
      <c r="CM56" s="27"/>
      <c r="CN56" s="22"/>
      <c r="CO56" s="23"/>
      <c r="CP56" s="26"/>
      <c r="CQ56" s="27"/>
    </row>
    <row r="57" spans="1:95" ht="22.5" hidden="1" customHeight="1" x14ac:dyDescent="0.55000000000000004">
      <c r="A57" s="7">
        <v>55</v>
      </c>
      <c r="B57" s="41"/>
      <c r="C57" s="31"/>
      <c r="D57" s="32"/>
      <c r="E57" s="33"/>
      <c r="F57" s="41"/>
      <c r="G57" s="31"/>
      <c r="H57" s="32"/>
      <c r="I57" s="33"/>
      <c r="J57" s="41"/>
      <c r="K57" s="31"/>
      <c r="L57" s="32"/>
      <c r="M57" s="33"/>
      <c r="N57" s="41"/>
      <c r="O57" s="31"/>
      <c r="P57" s="32"/>
      <c r="Q57" s="33"/>
      <c r="R57" s="41"/>
      <c r="S57" s="31"/>
      <c r="T57" s="32"/>
      <c r="U57" s="33"/>
      <c r="V57" s="41"/>
      <c r="W57" s="31"/>
      <c r="X57" s="32"/>
      <c r="Y57" s="33"/>
      <c r="Z57" s="41"/>
      <c r="AA57" s="31"/>
      <c r="AB57" s="32"/>
      <c r="AC57" s="33"/>
      <c r="AD57" s="41"/>
      <c r="AE57" s="31"/>
      <c r="AF57" s="32"/>
      <c r="AG57" s="33"/>
      <c r="AH57" s="41"/>
      <c r="AI57" s="31"/>
      <c r="AJ57" s="32"/>
      <c r="AK57" s="33"/>
      <c r="AL57" s="41"/>
      <c r="AM57" s="31"/>
      <c r="AN57" s="32"/>
      <c r="AO57" s="33"/>
      <c r="AP57" s="41"/>
      <c r="AQ57" s="31"/>
      <c r="AR57" s="32"/>
      <c r="AS57" s="33"/>
      <c r="AT57" s="41"/>
      <c r="AU57" s="31"/>
      <c r="AV57" s="32"/>
      <c r="AW57" s="33"/>
      <c r="AX57" s="22"/>
      <c r="AY57" s="23"/>
      <c r="AZ57" s="26"/>
      <c r="BA57" s="27"/>
      <c r="BB57" s="22"/>
      <c r="BC57" s="23"/>
      <c r="BD57" s="26"/>
      <c r="BE57" s="27"/>
      <c r="BF57" s="22"/>
      <c r="BG57" s="23"/>
      <c r="BH57" s="26"/>
      <c r="BI57" s="27"/>
      <c r="BJ57" s="22"/>
      <c r="BK57" s="59"/>
      <c r="BL57" s="59"/>
      <c r="BM57" s="23"/>
      <c r="BN57" s="26"/>
      <c r="BO57" s="27"/>
      <c r="BP57" s="22"/>
      <c r="BQ57" s="23"/>
      <c r="BR57" s="26"/>
      <c r="BS57" s="27"/>
      <c r="BT57" s="12"/>
      <c r="BU57" s="57"/>
      <c r="BV57" s="57"/>
      <c r="BW57" s="13"/>
      <c r="BX57" s="26"/>
      <c r="BY57" s="27"/>
      <c r="BZ57" s="22"/>
      <c r="CA57" s="23"/>
      <c r="CB57" s="26"/>
      <c r="CC57" s="27"/>
      <c r="CD57" s="22"/>
      <c r="CE57" s="23"/>
      <c r="CF57" s="153"/>
      <c r="CG57" s="155"/>
      <c r="CH57" s="155"/>
      <c r="CI57" s="155"/>
      <c r="CJ57" s="22"/>
      <c r="CK57" s="23"/>
      <c r="CL57" s="26"/>
      <c r="CM57" s="27"/>
      <c r="CN57" s="22"/>
      <c r="CO57" s="23"/>
      <c r="CP57" s="26"/>
      <c r="CQ57" s="27"/>
    </row>
    <row r="58" spans="1:95" ht="22.5" hidden="1" customHeight="1" x14ac:dyDescent="0.55000000000000004">
      <c r="A58" s="7">
        <v>56</v>
      </c>
      <c r="B58" s="41"/>
      <c r="C58" s="31"/>
      <c r="D58" s="32"/>
      <c r="E58" s="33"/>
      <c r="F58" s="41"/>
      <c r="G58" s="31"/>
      <c r="H58" s="32"/>
      <c r="I58" s="33"/>
      <c r="J58" s="41"/>
      <c r="K58" s="31"/>
      <c r="L58" s="32"/>
      <c r="M58" s="33"/>
      <c r="N58" s="41"/>
      <c r="O58" s="31"/>
      <c r="P58" s="32"/>
      <c r="Q58" s="33"/>
      <c r="R58" s="41"/>
      <c r="S58" s="31"/>
      <c r="T58" s="32"/>
      <c r="U58" s="33"/>
      <c r="V58" s="41"/>
      <c r="W58" s="31"/>
      <c r="X58" s="32"/>
      <c r="Y58" s="33"/>
      <c r="Z58" s="41"/>
      <c r="AA58" s="31"/>
      <c r="AB58" s="32"/>
      <c r="AC58" s="33"/>
      <c r="AD58" s="41"/>
      <c r="AE58" s="31"/>
      <c r="AF58" s="32"/>
      <c r="AG58" s="33"/>
      <c r="AH58" s="41"/>
      <c r="AI58" s="31"/>
      <c r="AJ58" s="32"/>
      <c r="AK58" s="33"/>
      <c r="AL58" s="41"/>
      <c r="AM58" s="31"/>
      <c r="AN58" s="32"/>
      <c r="AO58" s="33"/>
      <c r="AP58" s="41"/>
      <c r="AQ58" s="31"/>
      <c r="AR58" s="32"/>
      <c r="AS58" s="33"/>
      <c r="AT58" s="41"/>
      <c r="AU58" s="31"/>
      <c r="AV58" s="32"/>
      <c r="AW58" s="33"/>
      <c r="AX58" s="22"/>
      <c r="AY58" s="23"/>
      <c r="AZ58" s="26"/>
      <c r="BA58" s="27"/>
      <c r="BB58" s="22"/>
      <c r="BC58" s="23"/>
      <c r="BD58" s="26"/>
      <c r="BE58" s="27"/>
      <c r="BF58" s="22"/>
      <c r="BG58" s="23"/>
      <c r="BH58" s="26"/>
      <c r="BI58" s="27"/>
      <c r="BJ58" s="22"/>
      <c r="BK58" s="59"/>
      <c r="BL58" s="59"/>
      <c r="BM58" s="23"/>
      <c r="BN58" s="26"/>
      <c r="BO58" s="27"/>
      <c r="BP58" s="22"/>
      <c r="BQ58" s="23"/>
      <c r="BR58" s="26"/>
      <c r="BS58" s="27"/>
      <c r="BT58" s="12"/>
      <c r="BU58" s="57"/>
      <c r="BV58" s="57"/>
      <c r="BW58" s="13"/>
      <c r="BX58" s="26"/>
      <c r="BY58" s="27"/>
      <c r="BZ58" s="22"/>
      <c r="CA58" s="23"/>
      <c r="CB58" s="26"/>
      <c r="CC58" s="27"/>
      <c r="CD58" s="22"/>
      <c r="CE58" s="23"/>
      <c r="CF58" s="153"/>
      <c r="CG58" s="155"/>
      <c r="CH58" s="155"/>
      <c r="CI58" s="155"/>
      <c r="CJ58" s="22"/>
      <c r="CK58" s="23"/>
      <c r="CL58" s="26"/>
      <c r="CM58" s="27"/>
      <c r="CN58" s="22"/>
      <c r="CO58" s="23"/>
      <c r="CP58" s="26"/>
      <c r="CQ58" s="27"/>
    </row>
    <row r="59" spans="1:95" ht="22.5" hidden="1" customHeight="1" x14ac:dyDescent="0.55000000000000004">
      <c r="A59" s="7">
        <v>57</v>
      </c>
      <c r="B59" s="41"/>
      <c r="C59" s="31"/>
      <c r="D59" s="32"/>
      <c r="E59" s="33"/>
      <c r="F59" s="41"/>
      <c r="G59" s="31"/>
      <c r="H59" s="32"/>
      <c r="I59" s="33"/>
      <c r="J59" s="41"/>
      <c r="K59" s="31"/>
      <c r="L59" s="32"/>
      <c r="M59" s="33"/>
      <c r="N59" s="41"/>
      <c r="O59" s="31"/>
      <c r="P59" s="32"/>
      <c r="Q59" s="33"/>
      <c r="R59" s="41"/>
      <c r="S59" s="31"/>
      <c r="T59" s="32"/>
      <c r="U59" s="33"/>
      <c r="V59" s="41"/>
      <c r="W59" s="31"/>
      <c r="X59" s="32"/>
      <c r="Y59" s="33"/>
      <c r="Z59" s="41"/>
      <c r="AA59" s="31"/>
      <c r="AB59" s="32"/>
      <c r="AC59" s="33"/>
      <c r="AD59" s="41"/>
      <c r="AE59" s="31"/>
      <c r="AF59" s="32"/>
      <c r="AG59" s="33"/>
      <c r="AH59" s="41"/>
      <c r="AI59" s="31"/>
      <c r="AJ59" s="32"/>
      <c r="AK59" s="33"/>
      <c r="AL59" s="41"/>
      <c r="AM59" s="31"/>
      <c r="AN59" s="32"/>
      <c r="AO59" s="33"/>
      <c r="AP59" s="41"/>
      <c r="AQ59" s="31"/>
      <c r="AR59" s="32"/>
      <c r="AS59" s="33"/>
      <c r="AT59" s="41"/>
      <c r="AU59" s="31"/>
      <c r="AV59" s="32"/>
      <c r="AW59" s="33"/>
      <c r="AX59" s="22"/>
      <c r="AY59" s="23"/>
      <c r="AZ59" s="26"/>
      <c r="BA59" s="27"/>
      <c r="BB59" s="22"/>
      <c r="BC59" s="23"/>
      <c r="BD59" s="26"/>
      <c r="BE59" s="27"/>
      <c r="BF59" s="22"/>
      <c r="BG59" s="23"/>
      <c r="BH59" s="26"/>
      <c r="BI59" s="27"/>
      <c r="BJ59" s="22"/>
      <c r="BK59" s="59"/>
      <c r="BL59" s="59"/>
      <c r="BM59" s="23"/>
      <c r="BN59" s="26"/>
      <c r="BO59" s="27"/>
      <c r="BP59" s="22"/>
      <c r="BQ59" s="23"/>
      <c r="BR59" s="26"/>
      <c r="BS59" s="27"/>
      <c r="BT59" s="12"/>
      <c r="BU59" s="57"/>
      <c r="BV59" s="57"/>
      <c r="BW59" s="13"/>
      <c r="BX59" s="26"/>
      <c r="BY59" s="27"/>
      <c r="BZ59" s="22"/>
      <c r="CA59" s="23"/>
      <c r="CB59" s="26"/>
      <c r="CC59" s="27"/>
      <c r="CD59" s="22"/>
      <c r="CE59" s="23"/>
      <c r="CF59" s="153"/>
      <c r="CG59" s="155"/>
      <c r="CH59" s="155"/>
      <c r="CI59" s="155"/>
      <c r="CJ59" s="22"/>
      <c r="CK59" s="23"/>
      <c r="CL59" s="26"/>
      <c r="CM59" s="27"/>
      <c r="CN59" s="22"/>
      <c r="CO59" s="23"/>
      <c r="CP59" s="26"/>
      <c r="CQ59" s="27"/>
    </row>
    <row r="60" spans="1:95" ht="22.5" hidden="1" customHeight="1" x14ac:dyDescent="0.55000000000000004">
      <c r="A60" s="7">
        <v>58</v>
      </c>
      <c r="B60" s="41"/>
      <c r="C60" s="31"/>
      <c r="D60" s="32"/>
      <c r="E60" s="33"/>
      <c r="F60" s="41"/>
      <c r="G60" s="31"/>
      <c r="H60" s="32"/>
      <c r="I60" s="33"/>
      <c r="J60" s="41"/>
      <c r="K60" s="31"/>
      <c r="L60" s="32"/>
      <c r="M60" s="33"/>
      <c r="N60" s="41"/>
      <c r="O60" s="31"/>
      <c r="P60" s="32"/>
      <c r="Q60" s="33"/>
      <c r="R60" s="41"/>
      <c r="S60" s="31"/>
      <c r="T60" s="32"/>
      <c r="U60" s="33"/>
      <c r="V60" s="41"/>
      <c r="W60" s="31"/>
      <c r="X60" s="32"/>
      <c r="Y60" s="33"/>
      <c r="Z60" s="41"/>
      <c r="AA60" s="31"/>
      <c r="AB60" s="32"/>
      <c r="AC60" s="33"/>
      <c r="AD60" s="41"/>
      <c r="AE60" s="31"/>
      <c r="AF60" s="32"/>
      <c r="AG60" s="33"/>
      <c r="AH60" s="41"/>
      <c r="AI60" s="31"/>
      <c r="AJ60" s="32"/>
      <c r="AK60" s="33"/>
      <c r="AL60" s="41"/>
      <c r="AM60" s="31"/>
      <c r="AN60" s="32"/>
      <c r="AO60" s="33"/>
      <c r="AP60" s="41"/>
      <c r="AQ60" s="31"/>
      <c r="AR60" s="32"/>
      <c r="AS60" s="33"/>
      <c r="AT60" s="41"/>
      <c r="AU60" s="31"/>
      <c r="AV60" s="32"/>
      <c r="AW60" s="33"/>
      <c r="AX60" s="22"/>
      <c r="AY60" s="23"/>
      <c r="AZ60" s="26"/>
      <c r="BA60" s="27"/>
      <c r="BB60" s="22"/>
      <c r="BC60" s="23"/>
      <c r="BD60" s="26"/>
      <c r="BE60" s="27"/>
      <c r="BF60" s="22"/>
      <c r="BG60" s="23"/>
      <c r="BH60" s="26"/>
      <c r="BI60" s="27"/>
      <c r="BJ60" s="22"/>
      <c r="BK60" s="59"/>
      <c r="BL60" s="59"/>
      <c r="BM60" s="23"/>
      <c r="BN60" s="26"/>
      <c r="BO60" s="27"/>
      <c r="BP60" s="22"/>
      <c r="BQ60" s="23"/>
      <c r="BR60" s="26"/>
      <c r="BS60" s="27"/>
      <c r="BT60" s="12"/>
      <c r="BU60" s="57"/>
      <c r="BV60" s="57"/>
      <c r="BW60" s="13"/>
      <c r="BX60" s="26"/>
      <c r="BY60" s="27"/>
      <c r="BZ60" s="22"/>
      <c r="CA60" s="23"/>
      <c r="CB60" s="26"/>
      <c r="CC60" s="27"/>
      <c r="CD60" s="22"/>
      <c r="CE60" s="23"/>
      <c r="CF60" s="153"/>
      <c r="CG60" s="155"/>
      <c r="CH60" s="155"/>
      <c r="CI60" s="155"/>
      <c r="CJ60" s="22"/>
      <c r="CK60" s="23"/>
      <c r="CL60" s="26"/>
      <c r="CM60" s="27"/>
      <c r="CN60" s="22"/>
      <c r="CO60" s="23"/>
      <c r="CP60" s="26"/>
      <c r="CQ60" s="27"/>
    </row>
    <row r="61" spans="1:95" ht="22.5" hidden="1" customHeight="1" x14ac:dyDescent="0.55000000000000004">
      <c r="A61" s="7">
        <v>59</v>
      </c>
      <c r="B61" s="41"/>
      <c r="C61" s="31"/>
      <c r="D61" s="32"/>
      <c r="E61" s="33"/>
      <c r="F61" s="41"/>
      <c r="G61" s="31"/>
      <c r="H61" s="32"/>
      <c r="I61" s="33"/>
      <c r="J61" s="41"/>
      <c r="K61" s="31"/>
      <c r="L61" s="32"/>
      <c r="M61" s="33"/>
      <c r="N61" s="41"/>
      <c r="O61" s="31"/>
      <c r="P61" s="32"/>
      <c r="Q61" s="33"/>
      <c r="R61" s="41"/>
      <c r="S61" s="31"/>
      <c r="T61" s="32"/>
      <c r="U61" s="33"/>
      <c r="V61" s="41"/>
      <c r="W61" s="31"/>
      <c r="X61" s="32"/>
      <c r="Y61" s="33"/>
      <c r="Z61" s="41"/>
      <c r="AA61" s="31"/>
      <c r="AB61" s="32"/>
      <c r="AC61" s="33"/>
      <c r="AD61" s="41"/>
      <c r="AE61" s="31"/>
      <c r="AF61" s="32"/>
      <c r="AG61" s="33"/>
      <c r="AH61" s="41"/>
      <c r="AI61" s="31"/>
      <c r="AJ61" s="32"/>
      <c r="AK61" s="33"/>
      <c r="AL61" s="41"/>
      <c r="AM61" s="31"/>
      <c r="AN61" s="32"/>
      <c r="AO61" s="33"/>
      <c r="AP61" s="41"/>
      <c r="AQ61" s="31"/>
      <c r="AR61" s="32"/>
      <c r="AS61" s="33"/>
      <c r="AT61" s="41"/>
      <c r="AU61" s="31"/>
      <c r="AV61" s="32"/>
      <c r="AW61" s="33"/>
      <c r="AX61" s="22"/>
      <c r="AY61" s="23"/>
      <c r="AZ61" s="26"/>
      <c r="BA61" s="27"/>
      <c r="BB61" s="22"/>
      <c r="BC61" s="23"/>
      <c r="BD61" s="26"/>
      <c r="BE61" s="27"/>
      <c r="BF61" s="22"/>
      <c r="BG61" s="23"/>
      <c r="BH61" s="26"/>
      <c r="BI61" s="27"/>
      <c r="BJ61" s="22"/>
      <c r="BK61" s="59"/>
      <c r="BL61" s="59"/>
      <c r="BM61" s="23"/>
      <c r="BN61" s="26"/>
      <c r="BO61" s="27"/>
      <c r="BP61" s="22"/>
      <c r="BQ61" s="23"/>
      <c r="BR61" s="26"/>
      <c r="BS61" s="27"/>
      <c r="BT61" s="12"/>
      <c r="BU61" s="57"/>
      <c r="BV61" s="57"/>
      <c r="BW61" s="13"/>
      <c r="BX61" s="26"/>
      <c r="BY61" s="27"/>
      <c r="BZ61" s="22"/>
      <c r="CA61" s="23"/>
      <c r="CB61" s="26"/>
      <c r="CC61" s="27"/>
      <c r="CD61" s="22"/>
      <c r="CE61" s="23"/>
      <c r="CF61" s="153"/>
      <c r="CG61" s="155"/>
      <c r="CH61" s="155"/>
      <c r="CI61" s="155"/>
      <c r="CJ61" s="22"/>
      <c r="CK61" s="23"/>
      <c r="CL61" s="26"/>
      <c r="CM61" s="27"/>
      <c r="CN61" s="22"/>
      <c r="CO61" s="23"/>
      <c r="CP61" s="26"/>
      <c r="CQ61" s="27"/>
    </row>
    <row r="62" spans="1:95" ht="22.5" hidden="1" customHeight="1" x14ac:dyDescent="0.55000000000000004">
      <c r="A62" s="7">
        <v>60</v>
      </c>
      <c r="B62" s="41"/>
      <c r="C62" s="31"/>
      <c r="D62" s="32"/>
      <c r="E62" s="33"/>
      <c r="F62" s="41"/>
      <c r="G62" s="31"/>
      <c r="H62" s="32"/>
      <c r="I62" s="33"/>
      <c r="J62" s="41"/>
      <c r="K62" s="31"/>
      <c r="L62" s="32"/>
      <c r="M62" s="33"/>
      <c r="N62" s="41"/>
      <c r="O62" s="31"/>
      <c r="P62" s="32"/>
      <c r="Q62" s="33"/>
      <c r="R62" s="41"/>
      <c r="S62" s="31"/>
      <c r="T62" s="32"/>
      <c r="U62" s="33"/>
      <c r="V62" s="41"/>
      <c r="W62" s="31"/>
      <c r="X62" s="32"/>
      <c r="Y62" s="33"/>
      <c r="Z62" s="41"/>
      <c r="AA62" s="31"/>
      <c r="AB62" s="32"/>
      <c r="AC62" s="33"/>
      <c r="AD62" s="41"/>
      <c r="AE62" s="31"/>
      <c r="AF62" s="32"/>
      <c r="AG62" s="33"/>
      <c r="AH62" s="41"/>
      <c r="AI62" s="31"/>
      <c r="AJ62" s="32"/>
      <c r="AK62" s="33"/>
      <c r="AL62" s="41"/>
      <c r="AM62" s="31"/>
      <c r="AN62" s="32"/>
      <c r="AO62" s="33"/>
      <c r="AP62" s="41"/>
      <c r="AQ62" s="31"/>
      <c r="AR62" s="32"/>
      <c r="AS62" s="33"/>
      <c r="AT62" s="41"/>
      <c r="AU62" s="31"/>
      <c r="AV62" s="32"/>
      <c r="AW62" s="33"/>
      <c r="AX62" s="22"/>
      <c r="AY62" s="23"/>
      <c r="AZ62" s="26"/>
      <c r="BA62" s="27"/>
      <c r="BB62" s="22"/>
      <c r="BC62" s="23"/>
      <c r="BD62" s="26"/>
      <c r="BE62" s="27"/>
      <c r="BF62" s="22"/>
      <c r="BG62" s="23"/>
      <c r="BH62" s="26"/>
      <c r="BI62" s="27"/>
      <c r="BJ62" s="22"/>
      <c r="BK62" s="59"/>
      <c r="BL62" s="59"/>
      <c r="BM62" s="23"/>
      <c r="BN62" s="26"/>
      <c r="BO62" s="27"/>
      <c r="BP62" s="22"/>
      <c r="BQ62" s="23"/>
      <c r="BR62" s="26"/>
      <c r="BS62" s="27"/>
      <c r="BT62" s="12"/>
      <c r="BU62" s="57"/>
      <c r="BV62" s="57"/>
      <c r="BW62" s="13"/>
      <c r="BX62" s="26"/>
      <c r="BY62" s="27"/>
      <c r="BZ62" s="22"/>
      <c r="CA62" s="23"/>
      <c r="CB62" s="26"/>
      <c r="CC62" s="27"/>
      <c r="CD62" s="22"/>
      <c r="CE62" s="23"/>
      <c r="CF62" s="153"/>
      <c r="CG62" s="155"/>
      <c r="CH62" s="155"/>
      <c r="CI62" s="155"/>
      <c r="CJ62" s="22"/>
      <c r="CK62" s="23"/>
      <c r="CL62" s="26"/>
      <c r="CM62" s="27"/>
      <c r="CN62" s="22"/>
      <c r="CO62" s="23"/>
      <c r="CP62" s="26"/>
      <c r="CQ62" s="27"/>
    </row>
    <row r="63" spans="1:95" ht="22.5" hidden="1" customHeight="1" x14ac:dyDescent="0.55000000000000004">
      <c r="A63" s="7">
        <v>61</v>
      </c>
      <c r="B63" s="41"/>
      <c r="C63" s="31"/>
      <c r="D63" s="32"/>
      <c r="E63" s="33"/>
      <c r="F63" s="41"/>
      <c r="G63" s="31"/>
      <c r="H63" s="32"/>
      <c r="I63" s="33"/>
      <c r="J63" s="41"/>
      <c r="K63" s="31"/>
      <c r="L63" s="32"/>
      <c r="M63" s="33"/>
      <c r="N63" s="41"/>
      <c r="O63" s="31"/>
      <c r="P63" s="32"/>
      <c r="Q63" s="33"/>
      <c r="R63" s="41"/>
      <c r="S63" s="31"/>
      <c r="T63" s="32"/>
      <c r="U63" s="33"/>
      <c r="V63" s="41"/>
      <c r="W63" s="31"/>
      <c r="X63" s="32"/>
      <c r="Y63" s="33"/>
      <c r="Z63" s="41"/>
      <c r="AA63" s="31"/>
      <c r="AB63" s="32"/>
      <c r="AC63" s="33"/>
      <c r="AD63" s="41"/>
      <c r="AE63" s="31"/>
      <c r="AF63" s="32"/>
      <c r="AG63" s="33"/>
      <c r="AH63" s="41"/>
      <c r="AI63" s="31"/>
      <c r="AJ63" s="32"/>
      <c r="AK63" s="33"/>
      <c r="AL63" s="41"/>
      <c r="AM63" s="31"/>
      <c r="AN63" s="32"/>
      <c r="AO63" s="33"/>
      <c r="AP63" s="41"/>
      <c r="AQ63" s="31"/>
      <c r="AR63" s="32"/>
      <c r="AS63" s="33"/>
      <c r="AT63" s="41"/>
      <c r="AU63" s="31"/>
      <c r="AV63" s="32"/>
      <c r="AW63" s="33"/>
      <c r="AX63" s="22"/>
      <c r="AY63" s="23"/>
      <c r="AZ63" s="26"/>
      <c r="BA63" s="27"/>
      <c r="BB63" s="22"/>
      <c r="BC63" s="23"/>
      <c r="BD63" s="26"/>
      <c r="BE63" s="27"/>
      <c r="BF63" s="22"/>
      <c r="BG63" s="23"/>
      <c r="BH63" s="26"/>
      <c r="BI63" s="27"/>
      <c r="BJ63" s="22"/>
      <c r="BK63" s="59"/>
      <c r="BL63" s="59"/>
      <c r="BM63" s="23"/>
      <c r="BN63" s="26"/>
      <c r="BO63" s="27"/>
      <c r="BP63" s="22"/>
      <c r="BQ63" s="23"/>
      <c r="BR63" s="26"/>
      <c r="BS63" s="27"/>
      <c r="BT63" s="12"/>
      <c r="BU63" s="57"/>
      <c r="BV63" s="57"/>
      <c r="BW63" s="13"/>
      <c r="BX63" s="26"/>
      <c r="BY63" s="27"/>
      <c r="BZ63" s="22"/>
      <c r="CA63" s="23"/>
      <c r="CB63" s="26"/>
      <c r="CC63" s="27"/>
      <c r="CD63" s="22"/>
      <c r="CE63" s="23"/>
      <c r="CF63" s="153"/>
      <c r="CG63" s="155"/>
      <c r="CH63" s="155"/>
      <c r="CI63" s="155"/>
      <c r="CJ63" s="22"/>
      <c r="CK63" s="23"/>
      <c r="CL63" s="26"/>
      <c r="CM63" s="27"/>
      <c r="CN63" s="22"/>
      <c r="CO63" s="23"/>
      <c r="CP63" s="26"/>
      <c r="CQ63" s="27"/>
    </row>
    <row r="64" spans="1:95" ht="22.5" hidden="1" customHeight="1" x14ac:dyDescent="0.55000000000000004">
      <c r="A64" s="7">
        <v>62</v>
      </c>
      <c r="B64" s="41"/>
      <c r="C64" s="31"/>
      <c r="D64" s="32"/>
      <c r="E64" s="33"/>
      <c r="F64" s="41"/>
      <c r="G64" s="31"/>
      <c r="H64" s="32"/>
      <c r="I64" s="33"/>
      <c r="J64" s="41"/>
      <c r="K64" s="31"/>
      <c r="L64" s="32"/>
      <c r="M64" s="33"/>
      <c r="N64" s="41"/>
      <c r="O64" s="31"/>
      <c r="P64" s="32"/>
      <c r="Q64" s="33"/>
      <c r="R64" s="41"/>
      <c r="S64" s="31"/>
      <c r="T64" s="32"/>
      <c r="U64" s="33"/>
      <c r="V64" s="41"/>
      <c r="W64" s="31"/>
      <c r="X64" s="32"/>
      <c r="Y64" s="33"/>
      <c r="Z64" s="41"/>
      <c r="AA64" s="31"/>
      <c r="AB64" s="32"/>
      <c r="AC64" s="33"/>
      <c r="AD64" s="41"/>
      <c r="AE64" s="31"/>
      <c r="AF64" s="32"/>
      <c r="AG64" s="33"/>
      <c r="AH64" s="41"/>
      <c r="AI64" s="31"/>
      <c r="AJ64" s="32"/>
      <c r="AK64" s="33"/>
      <c r="AL64" s="41"/>
      <c r="AM64" s="31"/>
      <c r="AN64" s="32"/>
      <c r="AO64" s="33"/>
      <c r="AP64" s="41"/>
      <c r="AQ64" s="31"/>
      <c r="AR64" s="32"/>
      <c r="AS64" s="33"/>
      <c r="AT64" s="41"/>
      <c r="AU64" s="31"/>
      <c r="AV64" s="32"/>
      <c r="AW64" s="33"/>
      <c r="AX64" s="22"/>
      <c r="AY64" s="23"/>
      <c r="AZ64" s="26"/>
      <c r="BA64" s="27"/>
      <c r="BB64" s="22"/>
      <c r="BC64" s="23"/>
      <c r="BD64" s="26"/>
      <c r="BE64" s="27"/>
      <c r="BF64" s="22"/>
      <c r="BG64" s="23"/>
      <c r="BH64" s="26"/>
      <c r="BI64" s="27"/>
      <c r="BJ64" s="22"/>
      <c r="BK64" s="59"/>
      <c r="BL64" s="59"/>
      <c r="BM64" s="23"/>
      <c r="BN64" s="26"/>
      <c r="BO64" s="27"/>
      <c r="BP64" s="22"/>
      <c r="BQ64" s="23"/>
      <c r="BR64" s="26"/>
      <c r="BS64" s="27"/>
      <c r="BT64" s="12"/>
      <c r="BU64" s="57"/>
      <c r="BV64" s="57"/>
      <c r="BW64" s="13"/>
      <c r="BX64" s="26"/>
      <c r="BY64" s="27"/>
      <c r="BZ64" s="22"/>
      <c r="CA64" s="23"/>
      <c r="CB64" s="26"/>
      <c r="CC64" s="27"/>
      <c r="CD64" s="22"/>
      <c r="CE64" s="23"/>
      <c r="CF64" s="153"/>
      <c r="CG64" s="155"/>
      <c r="CH64" s="155"/>
      <c r="CI64" s="155"/>
      <c r="CJ64" s="22"/>
      <c r="CK64" s="23"/>
      <c r="CL64" s="26"/>
      <c r="CM64" s="27"/>
      <c r="CN64" s="22"/>
      <c r="CO64" s="23"/>
      <c r="CP64" s="26"/>
      <c r="CQ64" s="27"/>
    </row>
    <row r="65" spans="1:95" ht="22.5" hidden="1" customHeight="1" x14ac:dyDescent="0.55000000000000004">
      <c r="A65" s="7">
        <v>63</v>
      </c>
      <c r="B65" s="41"/>
      <c r="C65" s="31"/>
      <c r="D65" s="32"/>
      <c r="E65" s="33"/>
      <c r="F65" s="41"/>
      <c r="G65" s="31"/>
      <c r="H65" s="32"/>
      <c r="I65" s="33"/>
      <c r="J65" s="41"/>
      <c r="K65" s="31"/>
      <c r="L65" s="32"/>
      <c r="M65" s="33"/>
      <c r="N65" s="41"/>
      <c r="O65" s="31"/>
      <c r="P65" s="32"/>
      <c r="Q65" s="33"/>
      <c r="R65" s="41"/>
      <c r="S65" s="31"/>
      <c r="T65" s="32"/>
      <c r="U65" s="33"/>
      <c r="V65" s="41"/>
      <c r="W65" s="31"/>
      <c r="X65" s="32"/>
      <c r="Y65" s="33"/>
      <c r="Z65" s="41"/>
      <c r="AA65" s="31"/>
      <c r="AB65" s="32"/>
      <c r="AC65" s="33"/>
      <c r="AD65" s="41"/>
      <c r="AE65" s="31"/>
      <c r="AF65" s="32"/>
      <c r="AG65" s="33"/>
      <c r="AH65" s="41"/>
      <c r="AI65" s="31"/>
      <c r="AJ65" s="32"/>
      <c r="AK65" s="33"/>
      <c r="AL65" s="41"/>
      <c r="AM65" s="31"/>
      <c r="AN65" s="32"/>
      <c r="AO65" s="33"/>
      <c r="AP65" s="41"/>
      <c r="AQ65" s="31"/>
      <c r="AR65" s="32"/>
      <c r="AS65" s="33"/>
      <c r="AT65" s="41"/>
      <c r="AU65" s="31"/>
      <c r="AV65" s="32"/>
      <c r="AW65" s="33"/>
      <c r="AX65" s="22"/>
      <c r="AY65" s="23"/>
      <c r="AZ65" s="26"/>
      <c r="BA65" s="27"/>
      <c r="BB65" s="22"/>
      <c r="BC65" s="23"/>
      <c r="BD65" s="26"/>
      <c r="BE65" s="27"/>
      <c r="BF65" s="22"/>
      <c r="BG65" s="23"/>
      <c r="BH65" s="26"/>
      <c r="BI65" s="27"/>
      <c r="BJ65" s="22"/>
      <c r="BK65" s="59"/>
      <c r="BL65" s="59"/>
      <c r="BM65" s="23"/>
      <c r="BN65" s="26"/>
      <c r="BO65" s="27"/>
      <c r="BP65" s="22"/>
      <c r="BQ65" s="23"/>
      <c r="BR65" s="26"/>
      <c r="BS65" s="27"/>
      <c r="BT65" s="12"/>
      <c r="BU65" s="57"/>
      <c r="BV65" s="57"/>
      <c r="BW65" s="13"/>
      <c r="BX65" s="26"/>
      <c r="BY65" s="27"/>
      <c r="BZ65" s="22"/>
      <c r="CA65" s="23"/>
      <c r="CB65" s="26"/>
      <c r="CC65" s="27"/>
      <c r="CD65" s="22"/>
      <c r="CE65" s="23"/>
      <c r="CF65" s="153"/>
      <c r="CG65" s="155"/>
      <c r="CH65" s="155"/>
      <c r="CI65" s="155"/>
      <c r="CJ65" s="22"/>
      <c r="CK65" s="23"/>
      <c r="CL65" s="26"/>
      <c r="CM65" s="27"/>
      <c r="CN65" s="22"/>
      <c r="CO65" s="23"/>
      <c r="CP65" s="26"/>
      <c r="CQ65" s="27"/>
    </row>
    <row r="66" spans="1:95" ht="22.5" hidden="1" customHeight="1" x14ac:dyDescent="0.55000000000000004">
      <c r="A66" s="7">
        <v>64</v>
      </c>
      <c r="B66" s="41"/>
      <c r="C66" s="31"/>
      <c r="D66" s="32"/>
      <c r="E66" s="33"/>
      <c r="F66" s="41"/>
      <c r="G66" s="31"/>
      <c r="H66" s="32"/>
      <c r="I66" s="33"/>
      <c r="J66" s="41"/>
      <c r="K66" s="31"/>
      <c r="L66" s="32"/>
      <c r="M66" s="33"/>
      <c r="N66" s="41"/>
      <c r="O66" s="31"/>
      <c r="P66" s="32"/>
      <c r="Q66" s="33"/>
      <c r="R66" s="41"/>
      <c r="S66" s="31"/>
      <c r="T66" s="32"/>
      <c r="U66" s="33"/>
      <c r="V66" s="41"/>
      <c r="W66" s="31"/>
      <c r="X66" s="32"/>
      <c r="Y66" s="33"/>
      <c r="Z66" s="41"/>
      <c r="AA66" s="31"/>
      <c r="AB66" s="32"/>
      <c r="AC66" s="33"/>
      <c r="AD66" s="41"/>
      <c r="AE66" s="31"/>
      <c r="AF66" s="32"/>
      <c r="AG66" s="33"/>
      <c r="AH66" s="41"/>
      <c r="AI66" s="31"/>
      <c r="AJ66" s="32"/>
      <c r="AK66" s="33"/>
      <c r="AL66" s="41"/>
      <c r="AM66" s="31"/>
      <c r="AN66" s="32"/>
      <c r="AO66" s="33"/>
      <c r="AP66" s="41"/>
      <c r="AQ66" s="31"/>
      <c r="AR66" s="32"/>
      <c r="AS66" s="33"/>
      <c r="AT66" s="41"/>
      <c r="AU66" s="31"/>
      <c r="AV66" s="32"/>
      <c r="AW66" s="33"/>
      <c r="AX66" s="22"/>
      <c r="AY66" s="23"/>
      <c r="AZ66" s="26"/>
      <c r="BA66" s="27"/>
      <c r="BB66" s="22"/>
      <c r="BC66" s="23"/>
      <c r="BD66" s="26"/>
      <c r="BE66" s="27"/>
      <c r="BF66" s="22"/>
      <c r="BG66" s="23"/>
      <c r="BH66" s="26"/>
      <c r="BI66" s="27"/>
      <c r="BJ66" s="22"/>
      <c r="BK66" s="59"/>
      <c r="BL66" s="59"/>
      <c r="BM66" s="23"/>
      <c r="BN66" s="26"/>
      <c r="BO66" s="27"/>
      <c r="BP66" s="22"/>
      <c r="BQ66" s="23"/>
      <c r="BR66" s="26"/>
      <c r="BS66" s="27"/>
      <c r="BT66" s="12"/>
      <c r="BU66" s="57"/>
      <c r="BV66" s="57"/>
      <c r="BW66" s="13"/>
      <c r="BX66" s="26"/>
      <c r="BY66" s="27"/>
      <c r="BZ66" s="22"/>
      <c r="CA66" s="23"/>
      <c r="CB66" s="26"/>
      <c r="CC66" s="27"/>
      <c r="CD66" s="22"/>
      <c r="CE66" s="23"/>
      <c r="CF66" s="153"/>
      <c r="CG66" s="155"/>
      <c r="CH66" s="155"/>
      <c r="CI66" s="155"/>
      <c r="CJ66" s="22"/>
      <c r="CK66" s="23"/>
      <c r="CL66" s="26"/>
      <c r="CM66" s="27"/>
      <c r="CN66" s="22"/>
      <c r="CO66" s="23"/>
      <c r="CP66" s="26"/>
      <c r="CQ66" s="27"/>
    </row>
    <row r="67" spans="1:95" ht="22.5" hidden="1" customHeight="1" x14ac:dyDescent="0.55000000000000004">
      <c r="A67" s="7">
        <v>65</v>
      </c>
      <c r="B67" s="41"/>
      <c r="C67" s="31"/>
      <c r="D67" s="32"/>
      <c r="E67" s="33"/>
      <c r="F67" s="41"/>
      <c r="G67" s="31"/>
      <c r="H67" s="32"/>
      <c r="I67" s="33"/>
      <c r="J67" s="41"/>
      <c r="K67" s="31"/>
      <c r="L67" s="32"/>
      <c r="M67" s="33"/>
      <c r="N67" s="41"/>
      <c r="O67" s="31"/>
      <c r="P67" s="32"/>
      <c r="Q67" s="33"/>
      <c r="R67" s="41"/>
      <c r="S67" s="31"/>
      <c r="T67" s="32"/>
      <c r="U67" s="33"/>
      <c r="V67" s="41"/>
      <c r="W67" s="31"/>
      <c r="X67" s="32"/>
      <c r="Y67" s="33"/>
      <c r="Z67" s="41"/>
      <c r="AA67" s="31"/>
      <c r="AB67" s="32"/>
      <c r="AC67" s="33"/>
      <c r="AD67" s="41"/>
      <c r="AE67" s="31"/>
      <c r="AF67" s="32"/>
      <c r="AG67" s="33"/>
      <c r="AH67" s="41"/>
      <c r="AI67" s="31"/>
      <c r="AJ67" s="32"/>
      <c r="AK67" s="33"/>
      <c r="AL67" s="41"/>
      <c r="AM67" s="31"/>
      <c r="AN67" s="32"/>
      <c r="AO67" s="33"/>
      <c r="AP67" s="41"/>
      <c r="AQ67" s="31"/>
      <c r="AR67" s="32"/>
      <c r="AS67" s="33"/>
      <c r="AT67" s="41"/>
      <c r="AU67" s="31"/>
      <c r="AV67" s="32"/>
      <c r="AW67" s="33"/>
      <c r="AX67" s="22"/>
      <c r="AY67" s="23"/>
      <c r="AZ67" s="26"/>
      <c r="BA67" s="27"/>
      <c r="BB67" s="22"/>
      <c r="BC67" s="23"/>
      <c r="BD67" s="26"/>
      <c r="BE67" s="27"/>
      <c r="BF67" s="22"/>
      <c r="BG67" s="23"/>
      <c r="BH67" s="26"/>
      <c r="BI67" s="27"/>
      <c r="BJ67" s="22"/>
      <c r="BK67" s="59"/>
      <c r="BL67" s="59"/>
      <c r="BM67" s="23"/>
      <c r="BN67" s="26"/>
      <c r="BO67" s="27"/>
      <c r="BP67" s="22"/>
      <c r="BQ67" s="23"/>
      <c r="BR67" s="26"/>
      <c r="BS67" s="27"/>
      <c r="BT67" s="12"/>
      <c r="BU67" s="57"/>
      <c r="BV67" s="57"/>
      <c r="BW67" s="13"/>
      <c r="BX67" s="26"/>
      <c r="BY67" s="27"/>
      <c r="BZ67" s="22"/>
      <c r="CA67" s="23"/>
      <c r="CB67" s="26"/>
      <c r="CC67" s="27"/>
      <c r="CD67" s="22"/>
      <c r="CE67" s="23"/>
      <c r="CF67" s="153"/>
      <c r="CG67" s="155"/>
      <c r="CH67" s="155"/>
      <c r="CI67" s="155"/>
      <c r="CJ67" s="22"/>
      <c r="CK67" s="23"/>
      <c r="CL67" s="26"/>
      <c r="CM67" s="27"/>
      <c r="CN67" s="22"/>
      <c r="CO67" s="23"/>
      <c r="CP67" s="26"/>
      <c r="CQ67" s="27"/>
    </row>
    <row r="68" spans="1:95" ht="22.5" hidden="1" customHeight="1" x14ac:dyDescent="0.55000000000000004">
      <c r="A68" s="7">
        <v>66</v>
      </c>
      <c r="B68" s="41"/>
      <c r="C68" s="31"/>
      <c r="D68" s="32"/>
      <c r="E68" s="33"/>
      <c r="F68" s="41"/>
      <c r="G68" s="31"/>
      <c r="H68" s="32"/>
      <c r="I68" s="33"/>
      <c r="J68" s="41"/>
      <c r="K68" s="31"/>
      <c r="L68" s="32"/>
      <c r="M68" s="33"/>
      <c r="N68" s="41"/>
      <c r="O68" s="31"/>
      <c r="P68" s="32"/>
      <c r="Q68" s="33"/>
      <c r="R68" s="41"/>
      <c r="S68" s="31"/>
      <c r="T68" s="32"/>
      <c r="U68" s="33"/>
      <c r="V68" s="41"/>
      <c r="W68" s="31"/>
      <c r="X68" s="32"/>
      <c r="Y68" s="33"/>
      <c r="Z68" s="41"/>
      <c r="AA68" s="31"/>
      <c r="AB68" s="32"/>
      <c r="AC68" s="33"/>
      <c r="AD68" s="41"/>
      <c r="AE68" s="31"/>
      <c r="AF68" s="32"/>
      <c r="AG68" s="33"/>
      <c r="AH68" s="41"/>
      <c r="AI68" s="31"/>
      <c r="AJ68" s="32"/>
      <c r="AK68" s="33"/>
      <c r="AL68" s="41"/>
      <c r="AM68" s="31"/>
      <c r="AN68" s="32"/>
      <c r="AO68" s="33"/>
      <c r="AP68" s="41"/>
      <c r="AQ68" s="31"/>
      <c r="AR68" s="32"/>
      <c r="AS68" s="33"/>
      <c r="AT68" s="41"/>
      <c r="AU68" s="31"/>
      <c r="AV68" s="32"/>
      <c r="AW68" s="33"/>
      <c r="AX68" s="22"/>
      <c r="AY68" s="23"/>
      <c r="AZ68" s="26"/>
      <c r="BA68" s="27"/>
      <c r="BB68" s="22"/>
      <c r="BC68" s="23"/>
      <c r="BD68" s="26"/>
      <c r="BE68" s="27"/>
      <c r="BF68" s="22"/>
      <c r="BG68" s="23"/>
      <c r="BH68" s="26"/>
      <c r="BI68" s="27"/>
      <c r="BJ68" s="22"/>
      <c r="BK68" s="59"/>
      <c r="BL68" s="59"/>
      <c r="BM68" s="23"/>
      <c r="BN68" s="26"/>
      <c r="BO68" s="27"/>
      <c r="BP68" s="22"/>
      <c r="BQ68" s="23"/>
      <c r="BR68" s="26"/>
      <c r="BS68" s="27"/>
      <c r="BT68" s="12"/>
      <c r="BU68" s="57"/>
      <c r="BV68" s="57"/>
      <c r="BW68" s="13"/>
      <c r="BX68" s="26"/>
      <c r="BY68" s="27"/>
      <c r="BZ68" s="22"/>
      <c r="CA68" s="23"/>
      <c r="CB68" s="26"/>
      <c r="CC68" s="27"/>
      <c r="CD68" s="22"/>
      <c r="CE68" s="23"/>
      <c r="CF68" s="153"/>
      <c r="CG68" s="155"/>
      <c r="CH68" s="155"/>
      <c r="CI68" s="155"/>
      <c r="CJ68" s="22"/>
      <c r="CK68" s="23"/>
      <c r="CL68" s="26"/>
      <c r="CM68" s="27"/>
      <c r="CN68" s="22"/>
      <c r="CO68" s="23"/>
      <c r="CP68" s="26"/>
      <c r="CQ68" s="27"/>
    </row>
    <row r="69" spans="1:95" ht="22.5" hidden="1" customHeight="1" x14ac:dyDescent="0.55000000000000004">
      <c r="A69" s="7">
        <v>67</v>
      </c>
      <c r="B69" s="41"/>
      <c r="C69" s="31"/>
      <c r="D69" s="32"/>
      <c r="E69" s="33"/>
      <c r="F69" s="41"/>
      <c r="G69" s="31"/>
      <c r="H69" s="32"/>
      <c r="I69" s="33"/>
      <c r="J69" s="41"/>
      <c r="K69" s="31"/>
      <c r="L69" s="32"/>
      <c r="M69" s="33"/>
      <c r="N69" s="41"/>
      <c r="O69" s="31"/>
      <c r="P69" s="32"/>
      <c r="Q69" s="33"/>
      <c r="R69" s="41"/>
      <c r="S69" s="31"/>
      <c r="T69" s="32"/>
      <c r="U69" s="33"/>
      <c r="V69" s="41"/>
      <c r="W69" s="31"/>
      <c r="X69" s="32"/>
      <c r="Y69" s="33"/>
      <c r="Z69" s="41"/>
      <c r="AA69" s="31"/>
      <c r="AB69" s="32"/>
      <c r="AC69" s="33"/>
      <c r="AD69" s="41"/>
      <c r="AE69" s="31"/>
      <c r="AF69" s="32"/>
      <c r="AG69" s="33"/>
      <c r="AH69" s="41"/>
      <c r="AI69" s="31"/>
      <c r="AJ69" s="32"/>
      <c r="AK69" s="33"/>
      <c r="AL69" s="41"/>
      <c r="AM69" s="31"/>
      <c r="AN69" s="32"/>
      <c r="AO69" s="33"/>
      <c r="AP69" s="41"/>
      <c r="AQ69" s="31"/>
      <c r="AR69" s="32"/>
      <c r="AS69" s="33"/>
      <c r="AT69" s="41"/>
      <c r="AU69" s="31"/>
      <c r="AV69" s="32"/>
      <c r="AW69" s="33"/>
      <c r="AX69" s="22"/>
      <c r="AY69" s="23"/>
      <c r="AZ69" s="26"/>
      <c r="BA69" s="27"/>
      <c r="BB69" s="22"/>
      <c r="BC69" s="23"/>
      <c r="BD69" s="26"/>
      <c r="BE69" s="27"/>
      <c r="BF69" s="22"/>
      <c r="BG69" s="23"/>
      <c r="BH69" s="26"/>
      <c r="BI69" s="27"/>
      <c r="BJ69" s="22"/>
      <c r="BK69" s="59"/>
      <c r="BL69" s="59"/>
      <c r="BM69" s="23"/>
      <c r="BN69" s="26"/>
      <c r="BO69" s="27"/>
      <c r="BP69" s="22"/>
      <c r="BQ69" s="23"/>
      <c r="BR69" s="26"/>
      <c r="BS69" s="27"/>
      <c r="BT69" s="12"/>
      <c r="BU69" s="57"/>
      <c r="BV69" s="57"/>
      <c r="BW69" s="13"/>
      <c r="BX69" s="26"/>
      <c r="BY69" s="27"/>
      <c r="BZ69" s="22"/>
      <c r="CA69" s="23"/>
      <c r="CB69" s="26"/>
      <c r="CC69" s="27"/>
      <c r="CD69" s="22"/>
      <c r="CE69" s="23"/>
      <c r="CF69" s="153"/>
      <c r="CG69" s="155"/>
      <c r="CH69" s="155"/>
      <c r="CI69" s="155"/>
      <c r="CJ69" s="22"/>
      <c r="CK69" s="23"/>
      <c r="CL69" s="26"/>
      <c r="CM69" s="27"/>
      <c r="CN69" s="22"/>
      <c r="CO69" s="23"/>
      <c r="CP69" s="26"/>
      <c r="CQ69" s="27"/>
    </row>
    <row r="70" spans="1:95" ht="22.5" hidden="1" customHeight="1" x14ac:dyDescent="0.55000000000000004">
      <c r="A70" s="7">
        <v>68</v>
      </c>
      <c r="B70" s="41"/>
      <c r="C70" s="31"/>
      <c r="D70" s="32"/>
      <c r="E70" s="33"/>
      <c r="F70" s="41"/>
      <c r="G70" s="31"/>
      <c r="H70" s="32"/>
      <c r="I70" s="33"/>
      <c r="J70" s="41"/>
      <c r="K70" s="31"/>
      <c r="L70" s="32"/>
      <c r="M70" s="33"/>
      <c r="N70" s="41"/>
      <c r="O70" s="31"/>
      <c r="P70" s="32"/>
      <c r="Q70" s="33"/>
      <c r="R70" s="41"/>
      <c r="S70" s="31"/>
      <c r="T70" s="32"/>
      <c r="U70" s="33"/>
      <c r="V70" s="41"/>
      <c r="W70" s="31"/>
      <c r="X70" s="32"/>
      <c r="Y70" s="33"/>
      <c r="Z70" s="41"/>
      <c r="AA70" s="31"/>
      <c r="AB70" s="32"/>
      <c r="AC70" s="33"/>
      <c r="AD70" s="41"/>
      <c r="AE70" s="31"/>
      <c r="AF70" s="32"/>
      <c r="AG70" s="33"/>
      <c r="AH70" s="41"/>
      <c r="AI70" s="31"/>
      <c r="AJ70" s="32"/>
      <c r="AK70" s="33"/>
      <c r="AL70" s="41"/>
      <c r="AM70" s="31"/>
      <c r="AN70" s="32"/>
      <c r="AO70" s="33"/>
      <c r="AP70" s="41"/>
      <c r="AQ70" s="31"/>
      <c r="AR70" s="32"/>
      <c r="AS70" s="33"/>
      <c r="AT70" s="41"/>
      <c r="AU70" s="31"/>
      <c r="AV70" s="32"/>
      <c r="AW70" s="33"/>
      <c r="AX70" s="22"/>
      <c r="AY70" s="23"/>
      <c r="AZ70" s="26"/>
      <c r="BA70" s="27"/>
      <c r="BB70" s="22"/>
      <c r="BC70" s="23"/>
      <c r="BD70" s="26"/>
      <c r="BE70" s="27"/>
      <c r="BF70" s="22"/>
      <c r="BG70" s="23"/>
      <c r="BH70" s="26"/>
      <c r="BI70" s="27"/>
      <c r="BJ70" s="22"/>
      <c r="BK70" s="59"/>
      <c r="BL70" s="59"/>
      <c r="BM70" s="23"/>
      <c r="BN70" s="26"/>
      <c r="BO70" s="27"/>
      <c r="BP70" s="22"/>
      <c r="BQ70" s="23"/>
      <c r="BR70" s="26"/>
      <c r="BS70" s="27"/>
      <c r="BT70" s="12"/>
      <c r="BU70" s="57"/>
      <c r="BV70" s="57"/>
      <c r="BW70" s="13"/>
      <c r="BX70" s="26"/>
      <c r="BY70" s="27"/>
      <c r="BZ70" s="22"/>
      <c r="CA70" s="23"/>
      <c r="CB70" s="26"/>
      <c r="CC70" s="27"/>
      <c r="CD70" s="22"/>
      <c r="CE70" s="23"/>
      <c r="CF70" s="153"/>
      <c r="CG70" s="155"/>
      <c r="CH70" s="155"/>
      <c r="CI70" s="155"/>
      <c r="CJ70" s="22"/>
      <c r="CK70" s="23"/>
      <c r="CL70" s="26"/>
      <c r="CM70" s="27"/>
      <c r="CN70" s="22"/>
      <c r="CO70" s="23"/>
      <c r="CP70" s="26"/>
      <c r="CQ70" s="27"/>
    </row>
    <row r="71" spans="1:95" ht="22.5" hidden="1" customHeight="1" x14ac:dyDescent="0.55000000000000004">
      <c r="A71" s="7">
        <v>69</v>
      </c>
      <c r="B71" s="41"/>
      <c r="C71" s="31"/>
      <c r="D71" s="32"/>
      <c r="E71" s="33"/>
      <c r="F71" s="41"/>
      <c r="G71" s="31"/>
      <c r="H71" s="32"/>
      <c r="I71" s="33"/>
      <c r="J71" s="41"/>
      <c r="K71" s="31"/>
      <c r="L71" s="32"/>
      <c r="M71" s="33"/>
      <c r="N71" s="41"/>
      <c r="O71" s="31"/>
      <c r="P71" s="32"/>
      <c r="Q71" s="33"/>
      <c r="R71" s="41"/>
      <c r="S71" s="31"/>
      <c r="T71" s="32"/>
      <c r="U71" s="33"/>
      <c r="V71" s="41"/>
      <c r="W71" s="31"/>
      <c r="X71" s="32"/>
      <c r="Y71" s="33"/>
      <c r="Z71" s="41"/>
      <c r="AA71" s="31"/>
      <c r="AB71" s="32"/>
      <c r="AC71" s="33"/>
      <c r="AD71" s="41"/>
      <c r="AE71" s="31"/>
      <c r="AF71" s="32"/>
      <c r="AG71" s="33"/>
      <c r="AH71" s="41"/>
      <c r="AI71" s="31"/>
      <c r="AJ71" s="32"/>
      <c r="AK71" s="33"/>
      <c r="AL71" s="41"/>
      <c r="AM71" s="31"/>
      <c r="AN71" s="32"/>
      <c r="AO71" s="33"/>
      <c r="AP71" s="41"/>
      <c r="AQ71" s="31"/>
      <c r="AR71" s="32"/>
      <c r="AS71" s="33"/>
      <c r="AT71" s="41"/>
      <c r="AU71" s="31"/>
      <c r="AV71" s="32"/>
      <c r="AW71" s="33"/>
      <c r="AX71" s="22"/>
      <c r="AY71" s="23"/>
      <c r="AZ71" s="26"/>
      <c r="BA71" s="27"/>
      <c r="BB71" s="22"/>
      <c r="BC71" s="23"/>
      <c r="BD71" s="26"/>
      <c r="BE71" s="27"/>
      <c r="BF71" s="22"/>
      <c r="BG71" s="23"/>
      <c r="BH71" s="26"/>
      <c r="BI71" s="27"/>
      <c r="BJ71" s="22"/>
      <c r="BK71" s="59"/>
      <c r="BL71" s="59"/>
      <c r="BM71" s="23"/>
      <c r="BN71" s="26"/>
      <c r="BO71" s="27"/>
      <c r="BP71" s="22"/>
      <c r="BQ71" s="23"/>
      <c r="BR71" s="26"/>
      <c r="BS71" s="27"/>
      <c r="BT71" s="12"/>
      <c r="BU71" s="57"/>
      <c r="BV71" s="57"/>
      <c r="BW71" s="13"/>
      <c r="BX71" s="26"/>
      <c r="BY71" s="27"/>
      <c r="BZ71" s="22"/>
      <c r="CA71" s="23"/>
      <c r="CB71" s="26"/>
      <c r="CC71" s="27"/>
      <c r="CD71" s="22"/>
      <c r="CE71" s="23"/>
      <c r="CF71" s="153"/>
      <c r="CG71" s="155"/>
      <c r="CH71" s="155"/>
      <c r="CI71" s="155"/>
      <c r="CJ71" s="22"/>
      <c r="CK71" s="23"/>
      <c r="CL71" s="26"/>
      <c r="CM71" s="27"/>
      <c r="CN71" s="22"/>
      <c r="CO71" s="23"/>
      <c r="CP71" s="26"/>
      <c r="CQ71" s="27"/>
    </row>
    <row r="72" spans="1:95" ht="22.5" hidden="1" customHeight="1" x14ac:dyDescent="0.55000000000000004">
      <c r="A72" s="7">
        <v>70</v>
      </c>
      <c r="B72" s="41"/>
      <c r="C72" s="31"/>
      <c r="D72" s="32"/>
      <c r="E72" s="33"/>
      <c r="F72" s="41"/>
      <c r="G72" s="31"/>
      <c r="H72" s="32"/>
      <c r="I72" s="33"/>
      <c r="J72" s="41"/>
      <c r="K72" s="31"/>
      <c r="L72" s="32"/>
      <c r="M72" s="33"/>
      <c r="N72" s="41"/>
      <c r="O72" s="31"/>
      <c r="P72" s="32"/>
      <c r="Q72" s="33"/>
      <c r="R72" s="41"/>
      <c r="S72" s="31"/>
      <c r="T72" s="32"/>
      <c r="U72" s="33"/>
      <c r="V72" s="41"/>
      <c r="W72" s="31"/>
      <c r="X72" s="32"/>
      <c r="Y72" s="33"/>
      <c r="Z72" s="41"/>
      <c r="AA72" s="31"/>
      <c r="AB72" s="32"/>
      <c r="AC72" s="33"/>
      <c r="AD72" s="41"/>
      <c r="AE72" s="31"/>
      <c r="AF72" s="32"/>
      <c r="AG72" s="33"/>
      <c r="AH72" s="41"/>
      <c r="AI72" s="31"/>
      <c r="AJ72" s="32"/>
      <c r="AK72" s="33"/>
      <c r="AL72" s="41"/>
      <c r="AM72" s="31"/>
      <c r="AN72" s="32"/>
      <c r="AO72" s="33"/>
      <c r="AP72" s="41"/>
      <c r="AQ72" s="31"/>
      <c r="AR72" s="32"/>
      <c r="AS72" s="33"/>
      <c r="AT72" s="41"/>
      <c r="AU72" s="31"/>
      <c r="AV72" s="32"/>
      <c r="AW72" s="33"/>
      <c r="AX72" s="22"/>
      <c r="AY72" s="23"/>
      <c r="AZ72" s="26"/>
      <c r="BA72" s="27"/>
      <c r="BB72" s="22"/>
      <c r="BC72" s="23"/>
      <c r="BD72" s="26"/>
      <c r="BE72" s="27"/>
      <c r="BF72" s="22"/>
      <c r="BG72" s="23"/>
      <c r="BH72" s="26"/>
      <c r="BI72" s="27"/>
      <c r="BJ72" s="22"/>
      <c r="BK72" s="59"/>
      <c r="BL72" s="59"/>
      <c r="BM72" s="23"/>
      <c r="BN72" s="26"/>
      <c r="BO72" s="27"/>
      <c r="BP72" s="22"/>
      <c r="BQ72" s="23"/>
      <c r="BR72" s="26"/>
      <c r="BS72" s="27"/>
      <c r="BT72" s="12"/>
      <c r="BU72" s="57"/>
      <c r="BV72" s="57"/>
      <c r="BW72" s="13"/>
      <c r="BX72" s="26"/>
      <c r="BY72" s="27"/>
      <c r="BZ72" s="22"/>
      <c r="CA72" s="23"/>
      <c r="CB72" s="26"/>
      <c r="CC72" s="27"/>
      <c r="CD72" s="22"/>
      <c r="CE72" s="23"/>
      <c r="CF72" s="153"/>
      <c r="CG72" s="155"/>
      <c r="CH72" s="155"/>
      <c r="CI72" s="155"/>
      <c r="CJ72" s="22"/>
      <c r="CK72" s="23"/>
      <c r="CL72" s="26"/>
      <c r="CM72" s="27"/>
      <c r="CN72" s="22"/>
      <c r="CO72" s="23"/>
      <c r="CP72" s="26"/>
      <c r="CQ72" s="27"/>
    </row>
    <row r="73" spans="1:95" ht="22.5" hidden="1" customHeight="1" x14ac:dyDescent="0.55000000000000004">
      <c r="A73" s="7">
        <v>71</v>
      </c>
      <c r="B73" s="41"/>
      <c r="C73" s="31"/>
      <c r="D73" s="32"/>
      <c r="E73" s="33"/>
      <c r="F73" s="41"/>
      <c r="G73" s="31"/>
      <c r="H73" s="32"/>
      <c r="I73" s="33"/>
      <c r="J73" s="41"/>
      <c r="K73" s="31"/>
      <c r="L73" s="32"/>
      <c r="M73" s="33"/>
      <c r="N73" s="41"/>
      <c r="O73" s="31"/>
      <c r="P73" s="32"/>
      <c r="Q73" s="33"/>
      <c r="R73" s="41"/>
      <c r="S73" s="31"/>
      <c r="T73" s="32"/>
      <c r="U73" s="33"/>
      <c r="V73" s="41"/>
      <c r="W73" s="31"/>
      <c r="X73" s="32"/>
      <c r="Y73" s="33"/>
      <c r="Z73" s="41"/>
      <c r="AA73" s="31"/>
      <c r="AB73" s="32"/>
      <c r="AC73" s="33"/>
      <c r="AD73" s="41"/>
      <c r="AE73" s="31"/>
      <c r="AF73" s="32"/>
      <c r="AG73" s="33"/>
      <c r="AH73" s="41"/>
      <c r="AI73" s="31"/>
      <c r="AJ73" s="32"/>
      <c r="AK73" s="33"/>
      <c r="AL73" s="41"/>
      <c r="AM73" s="31"/>
      <c r="AN73" s="32"/>
      <c r="AO73" s="33"/>
      <c r="AP73" s="41"/>
      <c r="AQ73" s="31"/>
      <c r="AR73" s="32"/>
      <c r="AS73" s="33"/>
      <c r="AT73" s="41"/>
      <c r="AU73" s="31"/>
      <c r="AV73" s="32"/>
      <c r="AW73" s="33"/>
      <c r="AX73" s="22"/>
      <c r="AY73" s="23"/>
      <c r="AZ73" s="26"/>
      <c r="BA73" s="27"/>
      <c r="BB73" s="22"/>
      <c r="BC73" s="23"/>
      <c r="BD73" s="26"/>
      <c r="BE73" s="27"/>
      <c r="BF73" s="22"/>
      <c r="BG73" s="23"/>
      <c r="BH73" s="26"/>
      <c r="BI73" s="27"/>
      <c r="BJ73" s="22"/>
      <c r="BK73" s="59"/>
      <c r="BL73" s="59"/>
      <c r="BM73" s="23"/>
      <c r="BN73" s="26"/>
      <c r="BO73" s="27"/>
      <c r="BP73" s="22"/>
      <c r="BQ73" s="23"/>
      <c r="BR73" s="26"/>
      <c r="BS73" s="27"/>
      <c r="BT73" s="12"/>
      <c r="BU73" s="57"/>
      <c r="BV73" s="57"/>
      <c r="BW73" s="13"/>
      <c r="BX73" s="26"/>
      <c r="BY73" s="27"/>
      <c r="BZ73" s="22"/>
      <c r="CA73" s="23"/>
      <c r="CB73" s="26"/>
      <c r="CC73" s="27"/>
      <c r="CD73" s="22"/>
      <c r="CE73" s="23"/>
      <c r="CF73" s="153"/>
      <c r="CG73" s="155"/>
      <c r="CH73" s="155"/>
      <c r="CI73" s="155"/>
      <c r="CJ73" s="22"/>
      <c r="CK73" s="23"/>
      <c r="CL73" s="26"/>
      <c r="CM73" s="27"/>
      <c r="CN73" s="22"/>
      <c r="CO73" s="23"/>
      <c r="CP73" s="26"/>
      <c r="CQ73" s="27"/>
    </row>
    <row r="74" spans="1:95" ht="22.5" hidden="1" customHeight="1" x14ac:dyDescent="0.55000000000000004">
      <c r="A74" s="7">
        <v>72</v>
      </c>
      <c r="B74" s="41"/>
      <c r="C74" s="31"/>
      <c r="D74" s="32"/>
      <c r="E74" s="33"/>
      <c r="F74" s="41"/>
      <c r="G74" s="31"/>
      <c r="H74" s="32"/>
      <c r="I74" s="33"/>
      <c r="J74" s="41"/>
      <c r="K74" s="31"/>
      <c r="L74" s="32"/>
      <c r="M74" s="33"/>
      <c r="N74" s="41"/>
      <c r="O74" s="31"/>
      <c r="P74" s="32"/>
      <c r="Q74" s="33"/>
      <c r="R74" s="41"/>
      <c r="S74" s="31"/>
      <c r="T74" s="32"/>
      <c r="U74" s="33"/>
      <c r="V74" s="41"/>
      <c r="W74" s="31"/>
      <c r="X74" s="32"/>
      <c r="Y74" s="33"/>
      <c r="Z74" s="41"/>
      <c r="AA74" s="31"/>
      <c r="AB74" s="32"/>
      <c r="AC74" s="33"/>
      <c r="AD74" s="41"/>
      <c r="AE74" s="31"/>
      <c r="AF74" s="32"/>
      <c r="AG74" s="33"/>
      <c r="AH74" s="41"/>
      <c r="AI74" s="31"/>
      <c r="AJ74" s="32"/>
      <c r="AK74" s="33"/>
      <c r="AL74" s="41"/>
      <c r="AM74" s="31"/>
      <c r="AN74" s="32"/>
      <c r="AO74" s="33"/>
      <c r="AP74" s="41"/>
      <c r="AQ74" s="31"/>
      <c r="AR74" s="32"/>
      <c r="AS74" s="33"/>
      <c r="AT74" s="41"/>
      <c r="AU74" s="31"/>
      <c r="AV74" s="32"/>
      <c r="AW74" s="33"/>
      <c r="AX74" s="22"/>
      <c r="AY74" s="23"/>
      <c r="AZ74" s="26"/>
      <c r="BA74" s="27"/>
      <c r="BB74" s="22"/>
      <c r="BC74" s="23"/>
      <c r="BD74" s="26"/>
      <c r="BE74" s="27"/>
      <c r="BF74" s="22"/>
      <c r="BG74" s="23"/>
      <c r="BH74" s="26"/>
      <c r="BI74" s="27"/>
      <c r="BJ74" s="22"/>
      <c r="BK74" s="59"/>
      <c r="BL74" s="59"/>
      <c r="BM74" s="23"/>
      <c r="BN74" s="26"/>
      <c r="BO74" s="27"/>
      <c r="BP74" s="22"/>
      <c r="BQ74" s="23"/>
      <c r="BR74" s="26"/>
      <c r="BS74" s="27"/>
      <c r="BT74" s="12"/>
      <c r="BU74" s="57"/>
      <c r="BV74" s="57"/>
      <c r="BW74" s="13"/>
      <c r="BX74" s="26"/>
      <c r="BY74" s="27"/>
      <c r="BZ74" s="22"/>
      <c r="CA74" s="23"/>
      <c r="CB74" s="26"/>
      <c r="CC74" s="27"/>
      <c r="CD74" s="22"/>
      <c r="CE74" s="23"/>
      <c r="CF74" s="153"/>
      <c r="CG74" s="155"/>
      <c r="CH74" s="155"/>
      <c r="CI74" s="155"/>
      <c r="CJ74" s="22"/>
      <c r="CK74" s="23"/>
      <c r="CL74" s="26"/>
      <c r="CM74" s="27"/>
      <c r="CN74" s="22"/>
      <c r="CO74" s="23"/>
      <c r="CP74" s="26"/>
      <c r="CQ74" s="27"/>
    </row>
    <row r="75" spans="1:95" ht="22.5" hidden="1" customHeight="1" x14ac:dyDescent="0.55000000000000004">
      <c r="A75" s="7">
        <v>73</v>
      </c>
      <c r="B75" s="41"/>
      <c r="C75" s="31"/>
      <c r="D75" s="32"/>
      <c r="E75" s="33"/>
      <c r="F75" s="41"/>
      <c r="G75" s="31"/>
      <c r="H75" s="32"/>
      <c r="I75" s="33"/>
      <c r="J75" s="41"/>
      <c r="K75" s="31"/>
      <c r="L75" s="32"/>
      <c r="M75" s="33"/>
      <c r="N75" s="41"/>
      <c r="O75" s="31"/>
      <c r="P75" s="32"/>
      <c r="Q75" s="33"/>
      <c r="R75" s="41"/>
      <c r="S75" s="31"/>
      <c r="T75" s="32"/>
      <c r="U75" s="33"/>
      <c r="V75" s="41"/>
      <c r="W75" s="31"/>
      <c r="X75" s="32"/>
      <c r="Y75" s="33"/>
      <c r="Z75" s="41"/>
      <c r="AA75" s="31"/>
      <c r="AB75" s="32"/>
      <c r="AC75" s="33"/>
      <c r="AD75" s="41"/>
      <c r="AE75" s="31"/>
      <c r="AF75" s="32"/>
      <c r="AG75" s="33"/>
      <c r="AH75" s="41"/>
      <c r="AI75" s="31"/>
      <c r="AJ75" s="32"/>
      <c r="AK75" s="33"/>
      <c r="AL75" s="41"/>
      <c r="AM75" s="31"/>
      <c r="AN75" s="32"/>
      <c r="AO75" s="33"/>
      <c r="AP75" s="41"/>
      <c r="AQ75" s="31"/>
      <c r="AR75" s="32"/>
      <c r="AS75" s="33"/>
      <c r="AT75" s="41"/>
      <c r="AU75" s="31"/>
      <c r="AV75" s="32"/>
      <c r="AW75" s="33"/>
      <c r="AX75" s="22"/>
      <c r="AY75" s="23"/>
      <c r="AZ75" s="26"/>
      <c r="BA75" s="27"/>
      <c r="BB75" s="22"/>
      <c r="BC75" s="23"/>
      <c r="BD75" s="26"/>
      <c r="BE75" s="27"/>
      <c r="BF75" s="22"/>
      <c r="BG75" s="23"/>
      <c r="BH75" s="26"/>
      <c r="BI75" s="27"/>
      <c r="BJ75" s="22"/>
      <c r="BK75" s="59"/>
      <c r="BL75" s="59"/>
      <c r="BM75" s="23"/>
      <c r="BN75" s="26"/>
      <c r="BO75" s="27"/>
      <c r="BP75" s="22"/>
      <c r="BQ75" s="23"/>
      <c r="BR75" s="26"/>
      <c r="BS75" s="27"/>
      <c r="BT75" s="12"/>
      <c r="BU75" s="57"/>
      <c r="BV75" s="57"/>
      <c r="BW75" s="13"/>
      <c r="BX75" s="26"/>
      <c r="BY75" s="27"/>
      <c r="BZ75" s="22"/>
      <c r="CA75" s="23"/>
      <c r="CB75" s="26"/>
      <c r="CC75" s="27"/>
      <c r="CD75" s="22"/>
      <c r="CE75" s="23"/>
      <c r="CF75" s="153"/>
      <c r="CG75" s="155"/>
      <c r="CH75" s="155"/>
      <c r="CI75" s="155"/>
      <c r="CJ75" s="22"/>
      <c r="CK75" s="23"/>
      <c r="CL75" s="26"/>
      <c r="CM75" s="27"/>
      <c r="CN75" s="22"/>
      <c r="CO75" s="23"/>
      <c r="CP75" s="26"/>
      <c r="CQ75" s="27"/>
    </row>
    <row r="76" spans="1:95" ht="22.5" hidden="1" customHeight="1" x14ac:dyDescent="0.55000000000000004">
      <c r="A76" s="7">
        <v>74</v>
      </c>
      <c r="B76" s="41"/>
      <c r="C76" s="31"/>
      <c r="D76" s="32"/>
      <c r="E76" s="33"/>
      <c r="F76" s="41"/>
      <c r="G76" s="31"/>
      <c r="H76" s="32"/>
      <c r="I76" s="33"/>
      <c r="J76" s="41"/>
      <c r="K76" s="31"/>
      <c r="L76" s="32"/>
      <c r="M76" s="33"/>
      <c r="N76" s="41"/>
      <c r="O76" s="31"/>
      <c r="P76" s="32"/>
      <c r="Q76" s="33"/>
      <c r="R76" s="41"/>
      <c r="S76" s="31"/>
      <c r="T76" s="32"/>
      <c r="U76" s="33"/>
      <c r="V76" s="41"/>
      <c r="W76" s="31"/>
      <c r="X76" s="32"/>
      <c r="Y76" s="33"/>
      <c r="Z76" s="41"/>
      <c r="AA76" s="31"/>
      <c r="AB76" s="32"/>
      <c r="AC76" s="33"/>
      <c r="AD76" s="41"/>
      <c r="AE76" s="31"/>
      <c r="AF76" s="32"/>
      <c r="AG76" s="33"/>
      <c r="AH76" s="41"/>
      <c r="AI76" s="31"/>
      <c r="AJ76" s="32"/>
      <c r="AK76" s="33"/>
      <c r="AL76" s="41"/>
      <c r="AM76" s="31"/>
      <c r="AN76" s="32"/>
      <c r="AO76" s="33"/>
      <c r="AP76" s="41"/>
      <c r="AQ76" s="31"/>
      <c r="AR76" s="32"/>
      <c r="AS76" s="33"/>
      <c r="AT76" s="41"/>
      <c r="AU76" s="31"/>
      <c r="AV76" s="32"/>
      <c r="AW76" s="33"/>
      <c r="AX76" s="22"/>
      <c r="AY76" s="23"/>
      <c r="AZ76" s="26"/>
      <c r="BA76" s="27"/>
      <c r="BB76" s="22"/>
      <c r="BC76" s="23"/>
      <c r="BD76" s="26"/>
      <c r="BE76" s="27"/>
      <c r="BF76" s="22"/>
      <c r="BG76" s="23"/>
      <c r="BH76" s="26"/>
      <c r="BI76" s="27"/>
      <c r="BJ76" s="22"/>
      <c r="BK76" s="59"/>
      <c r="BL76" s="59"/>
      <c r="BM76" s="23"/>
      <c r="BN76" s="26"/>
      <c r="BO76" s="27"/>
      <c r="BP76" s="22"/>
      <c r="BQ76" s="23"/>
      <c r="BR76" s="26"/>
      <c r="BS76" s="27"/>
      <c r="BT76" s="12"/>
      <c r="BU76" s="57"/>
      <c r="BV76" s="57"/>
      <c r="BW76" s="13"/>
      <c r="BX76" s="26"/>
      <c r="BY76" s="27"/>
      <c r="BZ76" s="22"/>
      <c r="CA76" s="23"/>
      <c r="CB76" s="26"/>
      <c r="CC76" s="27"/>
      <c r="CD76" s="22"/>
      <c r="CE76" s="23"/>
      <c r="CF76" s="153"/>
      <c r="CG76" s="155"/>
      <c r="CH76" s="155"/>
      <c r="CI76" s="155"/>
      <c r="CJ76" s="22"/>
      <c r="CK76" s="23"/>
      <c r="CL76" s="26"/>
      <c r="CM76" s="27"/>
      <c r="CN76" s="22"/>
      <c r="CO76" s="23"/>
      <c r="CP76" s="26"/>
      <c r="CQ76" s="27"/>
    </row>
    <row r="77" spans="1:95" ht="22.5" hidden="1" customHeight="1" x14ac:dyDescent="0.55000000000000004">
      <c r="A77" s="7">
        <v>75</v>
      </c>
      <c r="B77" s="41"/>
      <c r="C77" s="31"/>
      <c r="D77" s="32"/>
      <c r="E77" s="33"/>
      <c r="F77" s="41"/>
      <c r="G77" s="31"/>
      <c r="H77" s="32"/>
      <c r="I77" s="33"/>
      <c r="J77" s="41"/>
      <c r="K77" s="31"/>
      <c r="L77" s="32"/>
      <c r="M77" s="33"/>
      <c r="N77" s="41"/>
      <c r="O77" s="31"/>
      <c r="P77" s="32"/>
      <c r="Q77" s="33"/>
      <c r="R77" s="41"/>
      <c r="S77" s="31"/>
      <c r="T77" s="32"/>
      <c r="U77" s="33"/>
      <c r="V77" s="41"/>
      <c r="W77" s="31"/>
      <c r="X77" s="32"/>
      <c r="Y77" s="33"/>
      <c r="Z77" s="41"/>
      <c r="AA77" s="31"/>
      <c r="AB77" s="32"/>
      <c r="AC77" s="33"/>
      <c r="AD77" s="41"/>
      <c r="AE77" s="31"/>
      <c r="AF77" s="32"/>
      <c r="AG77" s="33"/>
      <c r="AH77" s="41"/>
      <c r="AI77" s="31"/>
      <c r="AJ77" s="32"/>
      <c r="AK77" s="33"/>
      <c r="AL77" s="41"/>
      <c r="AM77" s="31"/>
      <c r="AN77" s="32"/>
      <c r="AO77" s="33"/>
      <c r="AP77" s="41"/>
      <c r="AQ77" s="31"/>
      <c r="AR77" s="32"/>
      <c r="AS77" s="33"/>
      <c r="AT77" s="41"/>
      <c r="AU77" s="31"/>
      <c r="AV77" s="32"/>
      <c r="AW77" s="33"/>
      <c r="AX77" s="22"/>
      <c r="AY77" s="23"/>
      <c r="AZ77" s="26"/>
      <c r="BA77" s="27"/>
      <c r="BB77" s="22"/>
      <c r="BC77" s="23"/>
      <c r="BD77" s="26"/>
      <c r="BE77" s="27"/>
      <c r="BF77" s="22"/>
      <c r="BG77" s="23"/>
      <c r="BH77" s="26"/>
      <c r="BI77" s="27"/>
      <c r="BJ77" s="22"/>
      <c r="BK77" s="59"/>
      <c r="BL77" s="59"/>
      <c r="BM77" s="23"/>
      <c r="BN77" s="26"/>
      <c r="BO77" s="27"/>
      <c r="BP77" s="22"/>
      <c r="BQ77" s="23"/>
      <c r="BR77" s="26"/>
      <c r="BS77" s="27"/>
      <c r="BT77" s="12"/>
      <c r="BU77" s="57"/>
      <c r="BV77" s="57"/>
      <c r="BW77" s="13"/>
      <c r="BX77" s="26"/>
      <c r="BY77" s="27"/>
      <c r="BZ77" s="22"/>
      <c r="CA77" s="23"/>
      <c r="CB77" s="26"/>
      <c r="CC77" s="27"/>
      <c r="CD77" s="22"/>
      <c r="CE77" s="23"/>
      <c r="CF77" s="153"/>
      <c r="CG77" s="155"/>
      <c r="CH77" s="155"/>
      <c r="CI77" s="155"/>
      <c r="CJ77" s="22"/>
      <c r="CK77" s="23"/>
      <c r="CL77" s="26"/>
      <c r="CM77" s="27"/>
      <c r="CN77" s="22"/>
      <c r="CO77" s="23"/>
      <c r="CP77" s="26"/>
      <c r="CQ77" s="27"/>
    </row>
    <row r="78" spans="1:95" ht="22.5" hidden="1" customHeight="1" x14ac:dyDescent="0.55000000000000004">
      <c r="A78" s="7">
        <v>76</v>
      </c>
      <c r="B78" s="41"/>
      <c r="C78" s="31"/>
      <c r="D78" s="32"/>
      <c r="E78" s="33"/>
      <c r="F78" s="41"/>
      <c r="G78" s="31"/>
      <c r="H78" s="32"/>
      <c r="I78" s="33"/>
      <c r="J78" s="41"/>
      <c r="K78" s="31"/>
      <c r="L78" s="32"/>
      <c r="M78" s="33"/>
      <c r="N78" s="41"/>
      <c r="O78" s="31"/>
      <c r="P78" s="32"/>
      <c r="Q78" s="33"/>
      <c r="R78" s="41"/>
      <c r="S78" s="31"/>
      <c r="T78" s="32"/>
      <c r="U78" s="33"/>
      <c r="V78" s="41"/>
      <c r="W78" s="31"/>
      <c r="X78" s="32"/>
      <c r="Y78" s="33"/>
      <c r="Z78" s="41"/>
      <c r="AA78" s="31"/>
      <c r="AB78" s="32"/>
      <c r="AC78" s="33"/>
      <c r="AD78" s="41"/>
      <c r="AE78" s="31"/>
      <c r="AF78" s="32"/>
      <c r="AG78" s="33"/>
      <c r="AH78" s="41"/>
      <c r="AI78" s="31"/>
      <c r="AJ78" s="32"/>
      <c r="AK78" s="33"/>
      <c r="AL78" s="41"/>
      <c r="AM78" s="31"/>
      <c r="AN78" s="32"/>
      <c r="AO78" s="33"/>
      <c r="AP78" s="41"/>
      <c r="AQ78" s="31"/>
      <c r="AR78" s="32"/>
      <c r="AS78" s="33"/>
      <c r="AT78" s="41"/>
      <c r="AU78" s="31"/>
      <c r="AV78" s="32"/>
      <c r="AW78" s="33"/>
      <c r="AX78" s="22"/>
      <c r="AY78" s="23"/>
      <c r="AZ78" s="26"/>
      <c r="BA78" s="27"/>
      <c r="BB78" s="22"/>
      <c r="BC78" s="23"/>
      <c r="BD78" s="26"/>
      <c r="BE78" s="27"/>
      <c r="BF78" s="22"/>
      <c r="BG78" s="23"/>
      <c r="BH78" s="26"/>
      <c r="BI78" s="27"/>
      <c r="BJ78" s="22"/>
      <c r="BK78" s="59"/>
      <c r="BL78" s="59"/>
      <c r="BM78" s="23"/>
      <c r="BN78" s="26"/>
      <c r="BO78" s="27"/>
      <c r="BP78" s="22"/>
      <c r="BQ78" s="23"/>
      <c r="BR78" s="26"/>
      <c r="BS78" s="27"/>
      <c r="BT78" s="12"/>
      <c r="BU78" s="57"/>
      <c r="BV78" s="57"/>
      <c r="BW78" s="13"/>
      <c r="BX78" s="26"/>
      <c r="BY78" s="27"/>
      <c r="BZ78" s="22"/>
      <c r="CA78" s="23"/>
      <c r="CB78" s="26"/>
      <c r="CC78" s="27"/>
      <c r="CD78" s="22"/>
      <c r="CE78" s="23"/>
      <c r="CF78" s="153"/>
      <c r="CG78" s="155"/>
      <c r="CH78" s="155"/>
      <c r="CI78" s="155"/>
      <c r="CJ78" s="22"/>
      <c r="CK78" s="23"/>
      <c r="CL78" s="26"/>
      <c r="CM78" s="27"/>
      <c r="CN78" s="22"/>
      <c r="CO78" s="23"/>
      <c r="CP78" s="26"/>
      <c r="CQ78" s="27"/>
    </row>
    <row r="79" spans="1:95" ht="22.5" hidden="1" customHeight="1" x14ac:dyDescent="0.55000000000000004">
      <c r="A79" s="7">
        <v>77</v>
      </c>
      <c r="B79" s="41"/>
      <c r="C79" s="31"/>
      <c r="D79" s="32"/>
      <c r="E79" s="33"/>
      <c r="F79" s="41"/>
      <c r="G79" s="31"/>
      <c r="H79" s="32"/>
      <c r="I79" s="33"/>
      <c r="J79" s="41"/>
      <c r="K79" s="31"/>
      <c r="L79" s="32"/>
      <c r="M79" s="33"/>
      <c r="N79" s="41"/>
      <c r="O79" s="31"/>
      <c r="P79" s="32"/>
      <c r="Q79" s="33"/>
      <c r="R79" s="41"/>
      <c r="S79" s="31"/>
      <c r="T79" s="32"/>
      <c r="U79" s="33"/>
      <c r="V79" s="41"/>
      <c r="W79" s="31"/>
      <c r="X79" s="32"/>
      <c r="Y79" s="33"/>
      <c r="Z79" s="41"/>
      <c r="AA79" s="31"/>
      <c r="AB79" s="32"/>
      <c r="AC79" s="33"/>
      <c r="AD79" s="41"/>
      <c r="AE79" s="31"/>
      <c r="AF79" s="32"/>
      <c r="AG79" s="33"/>
      <c r="AH79" s="41"/>
      <c r="AI79" s="31"/>
      <c r="AJ79" s="32"/>
      <c r="AK79" s="33"/>
      <c r="AL79" s="41"/>
      <c r="AM79" s="31"/>
      <c r="AN79" s="32"/>
      <c r="AO79" s="33"/>
      <c r="AP79" s="41"/>
      <c r="AQ79" s="31"/>
      <c r="AR79" s="32"/>
      <c r="AS79" s="33"/>
      <c r="AT79" s="41"/>
      <c r="AU79" s="31"/>
      <c r="AV79" s="32"/>
      <c r="AW79" s="33"/>
      <c r="AX79" s="22"/>
      <c r="AY79" s="23"/>
      <c r="AZ79" s="26"/>
      <c r="BA79" s="27"/>
      <c r="BB79" s="22"/>
      <c r="BC79" s="23"/>
      <c r="BD79" s="26"/>
      <c r="BE79" s="27"/>
      <c r="BF79" s="22"/>
      <c r="BG79" s="23"/>
      <c r="BH79" s="26"/>
      <c r="BI79" s="27"/>
      <c r="BJ79" s="22"/>
      <c r="BK79" s="59"/>
      <c r="BL79" s="59"/>
      <c r="BM79" s="23"/>
      <c r="BN79" s="26"/>
      <c r="BO79" s="27"/>
      <c r="BP79" s="22"/>
      <c r="BQ79" s="23"/>
      <c r="BR79" s="26"/>
      <c r="BS79" s="27"/>
      <c r="BT79" s="12"/>
      <c r="BU79" s="57"/>
      <c r="BV79" s="57"/>
      <c r="BW79" s="13"/>
      <c r="BX79" s="26"/>
      <c r="BY79" s="27"/>
      <c r="BZ79" s="22"/>
      <c r="CA79" s="23"/>
      <c r="CB79" s="26"/>
      <c r="CC79" s="27"/>
      <c r="CD79" s="22"/>
      <c r="CE79" s="23"/>
      <c r="CF79" s="153"/>
      <c r="CG79" s="155"/>
      <c r="CH79" s="155"/>
      <c r="CI79" s="155"/>
      <c r="CJ79" s="22"/>
      <c r="CK79" s="23"/>
      <c r="CL79" s="26"/>
      <c r="CM79" s="27"/>
      <c r="CN79" s="22"/>
      <c r="CO79" s="23"/>
      <c r="CP79" s="26"/>
      <c r="CQ79" s="27"/>
    </row>
    <row r="80" spans="1:95" ht="22.5" hidden="1" customHeight="1" x14ac:dyDescent="0.55000000000000004">
      <c r="A80" s="7">
        <v>78</v>
      </c>
      <c r="B80" s="41"/>
      <c r="C80" s="31"/>
      <c r="D80" s="32"/>
      <c r="E80" s="33"/>
      <c r="F80" s="41"/>
      <c r="G80" s="31"/>
      <c r="H80" s="32"/>
      <c r="I80" s="33"/>
      <c r="J80" s="41"/>
      <c r="K80" s="31"/>
      <c r="L80" s="32"/>
      <c r="M80" s="33"/>
      <c r="N80" s="41"/>
      <c r="O80" s="31"/>
      <c r="P80" s="32"/>
      <c r="Q80" s="33"/>
      <c r="R80" s="41"/>
      <c r="S80" s="31"/>
      <c r="T80" s="32"/>
      <c r="U80" s="33"/>
      <c r="V80" s="41"/>
      <c r="W80" s="31"/>
      <c r="X80" s="32"/>
      <c r="Y80" s="33"/>
      <c r="Z80" s="41"/>
      <c r="AA80" s="31"/>
      <c r="AB80" s="32"/>
      <c r="AC80" s="33"/>
      <c r="AD80" s="41"/>
      <c r="AE80" s="31"/>
      <c r="AF80" s="32"/>
      <c r="AG80" s="33"/>
      <c r="AH80" s="41"/>
      <c r="AI80" s="31"/>
      <c r="AJ80" s="32"/>
      <c r="AK80" s="33"/>
      <c r="AL80" s="41"/>
      <c r="AM80" s="31"/>
      <c r="AN80" s="32"/>
      <c r="AO80" s="33"/>
      <c r="AP80" s="41"/>
      <c r="AQ80" s="31"/>
      <c r="AR80" s="32"/>
      <c r="AS80" s="33"/>
      <c r="AT80" s="41"/>
      <c r="AU80" s="31"/>
      <c r="AV80" s="32"/>
      <c r="AW80" s="33"/>
      <c r="AX80" s="22"/>
      <c r="AY80" s="23"/>
      <c r="AZ80" s="26"/>
      <c r="BA80" s="27"/>
      <c r="BB80" s="22"/>
      <c r="BC80" s="23"/>
      <c r="BD80" s="26"/>
      <c r="BE80" s="27"/>
      <c r="BF80" s="22"/>
      <c r="BG80" s="23"/>
      <c r="BH80" s="26"/>
      <c r="BI80" s="27"/>
      <c r="BJ80" s="22"/>
      <c r="BK80" s="59"/>
      <c r="BL80" s="59"/>
      <c r="BM80" s="23"/>
      <c r="BN80" s="26"/>
      <c r="BO80" s="27"/>
      <c r="BP80" s="22"/>
      <c r="BQ80" s="23"/>
      <c r="BR80" s="26"/>
      <c r="BS80" s="27"/>
      <c r="BT80" s="12"/>
      <c r="BU80" s="57"/>
      <c r="BV80" s="57"/>
      <c r="BW80" s="13"/>
      <c r="BX80" s="26"/>
      <c r="BY80" s="27"/>
      <c r="BZ80" s="22"/>
      <c r="CA80" s="23"/>
      <c r="CB80" s="26"/>
      <c r="CC80" s="27"/>
      <c r="CD80" s="22"/>
      <c r="CE80" s="23"/>
      <c r="CF80" s="153"/>
      <c r="CG80" s="155"/>
      <c r="CH80" s="155"/>
      <c r="CI80" s="155"/>
      <c r="CJ80" s="22"/>
      <c r="CK80" s="23"/>
      <c r="CL80" s="26"/>
      <c r="CM80" s="27"/>
      <c r="CN80" s="22"/>
      <c r="CO80" s="23"/>
      <c r="CP80" s="26"/>
      <c r="CQ80" s="27"/>
    </row>
    <row r="81" spans="1:95" ht="22.5" hidden="1" customHeight="1" x14ac:dyDescent="0.55000000000000004">
      <c r="A81" s="7">
        <v>79</v>
      </c>
      <c r="B81" s="41"/>
      <c r="C81" s="31"/>
      <c r="D81" s="32"/>
      <c r="E81" s="33"/>
      <c r="F81" s="41"/>
      <c r="G81" s="31"/>
      <c r="H81" s="32"/>
      <c r="I81" s="33"/>
      <c r="J81" s="41"/>
      <c r="K81" s="31"/>
      <c r="L81" s="32"/>
      <c r="M81" s="33"/>
      <c r="N81" s="41"/>
      <c r="O81" s="31"/>
      <c r="P81" s="32"/>
      <c r="Q81" s="33"/>
      <c r="R81" s="41"/>
      <c r="S81" s="31"/>
      <c r="T81" s="32"/>
      <c r="U81" s="33"/>
      <c r="V81" s="41"/>
      <c r="W81" s="31"/>
      <c r="X81" s="32"/>
      <c r="Y81" s="33"/>
      <c r="Z81" s="41"/>
      <c r="AA81" s="31"/>
      <c r="AB81" s="32"/>
      <c r="AC81" s="33"/>
      <c r="AD81" s="41"/>
      <c r="AE81" s="31"/>
      <c r="AF81" s="32"/>
      <c r="AG81" s="33"/>
      <c r="AH81" s="41"/>
      <c r="AI81" s="31"/>
      <c r="AJ81" s="32"/>
      <c r="AK81" s="33"/>
      <c r="AL81" s="41"/>
      <c r="AM81" s="31"/>
      <c r="AN81" s="32"/>
      <c r="AO81" s="33"/>
      <c r="AP81" s="41"/>
      <c r="AQ81" s="31"/>
      <c r="AR81" s="32"/>
      <c r="AS81" s="33"/>
      <c r="AT81" s="41"/>
      <c r="AU81" s="31"/>
      <c r="AV81" s="32"/>
      <c r="AW81" s="33"/>
      <c r="AX81" s="22"/>
      <c r="AY81" s="23"/>
      <c r="AZ81" s="26"/>
      <c r="BA81" s="27"/>
      <c r="BB81" s="22"/>
      <c r="BC81" s="23"/>
      <c r="BD81" s="26"/>
      <c r="BE81" s="27"/>
      <c r="BF81" s="22"/>
      <c r="BG81" s="23"/>
      <c r="BH81" s="26"/>
      <c r="BI81" s="27"/>
      <c r="BJ81" s="22"/>
      <c r="BK81" s="59"/>
      <c r="BL81" s="59"/>
      <c r="BM81" s="23"/>
      <c r="BN81" s="26"/>
      <c r="BO81" s="27"/>
      <c r="BP81" s="22"/>
      <c r="BQ81" s="23"/>
      <c r="BR81" s="26"/>
      <c r="BS81" s="27"/>
      <c r="BT81" s="12"/>
      <c r="BU81" s="57"/>
      <c r="BV81" s="57"/>
      <c r="BW81" s="13"/>
      <c r="BX81" s="26"/>
      <c r="BY81" s="27"/>
      <c r="BZ81" s="22"/>
      <c r="CA81" s="23"/>
      <c r="CB81" s="26"/>
      <c r="CC81" s="27"/>
      <c r="CD81" s="22"/>
      <c r="CE81" s="23"/>
      <c r="CF81" s="153"/>
      <c r="CG81" s="155"/>
      <c r="CH81" s="155"/>
      <c r="CI81" s="155"/>
      <c r="CJ81" s="22"/>
      <c r="CK81" s="23"/>
      <c r="CL81" s="26"/>
      <c r="CM81" s="27"/>
      <c r="CN81" s="22"/>
      <c r="CO81" s="23"/>
      <c r="CP81" s="26"/>
      <c r="CQ81" s="27"/>
    </row>
    <row r="82" spans="1:95" ht="22.5" hidden="1" customHeight="1" x14ac:dyDescent="0.55000000000000004">
      <c r="A82" s="7">
        <v>80</v>
      </c>
      <c r="B82" s="41"/>
      <c r="C82" s="31"/>
      <c r="D82" s="32"/>
      <c r="E82" s="33"/>
      <c r="F82" s="41"/>
      <c r="G82" s="31"/>
      <c r="H82" s="32"/>
      <c r="I82" s="33"/>
      <c r="J82" s="41"/>
      <c r="K82" s="31"/>
      <c r="L82" s="32"/>
      <c r="M82" s="33"/>
      <c r="N82" s="41"/>
      <c r="O82" s="31"/>
      <c r="P82" s="32"/>
      <c r="Q82" s="33"/>
      <c r="R82" s="41"/>
      <c r="S82" s="31"/>
      <c r="T82" s="32"/>
      <c r="U82" s="33"/>
      <c r="V82" s="41"/>
      <c r="W82" s="31"/>
      <c r="X82" s="32"/>
      <c r="Y82" s="33"/>
      <c r="Z82" s="41"/>
      <c r="AA82" s="31"/>
      <c r="AB82" s="32"/>
      <c r="AC82" s="33"/>
      <c r="AD82" s="41"/>
      <c r="AE82" s="31"/>
      <c r="AF82" s="32"/>
      <c r="AG82" s="33"/>
      <c r="AH82" s="41"/>
      <c r="AI82" s="31"/>
      <c r="AJ82" s="32"/>
      <c r="AK82" s="33"/>
      <c r="AL82" s="41"/>
      <c r="AM82" s="31"/>
      <c r="AN82" s="32"/>
      <c r="AO82" s="33"/>
      <c r="AP82" s="41"/>
      <c r="AQ82" s="31"/>
      <c r="AR82" s="32"/>
      <c r="AS82" s="33"/>
      <c r="AT82" s="41"/>
      <c r="AU82" s="31"/>
      <c r="AV82" s="32"/>
      <c r="AW82" s="33"/>
      <c r="AX82" s="22"/>
      <c r="AY82" s="23"/>
      <c r="AZ82" s="26"/>
      <c r="BA82" s="27"/>
      <c r="BB82" s="22"/>
      <c r="BC82" s="23"/>
      <c r="BD82" s="26"/>
      <c r="BE82" s="27"/>
      <c r="BF82" s="22"/>
      <c r="BG82" s="23"/>
      <c r="BH82" s="26"/>
      <c r="BI82" s="27"/>
      <c r="BJ82" s="22"/>
      <c r="BK82" s="59"/>
      <c r="BL82" s="59"/>
      <c r="BM82" s="23"/>
      <c r="BN82" s="26"/>
      <c r="BO82" s="27"/>
      <c r="BP82" s="22"/>
      <c r="BQ82" s="23"/>
      <c r="BR82" s="26"/>
      <c r="BS82" s="27"/>
      <c r="BT82" s="12"/>
      <c r="BU82" s="57"/>
      <c r="BV82" s="57"/>
      <c r="BW82" s="13"/>
      <c r="BX82" s="26"/>
      <c r="BY82" s="27"/>
      <c r="BZ82" s="22"/>
      <c r="CA82" s="23"/>
      <c r="CB82" s="26"/>
      <c r="CC82" s="27"/>
      <c r="CD82" s="22"/>
      <c r="CE82" s="23"/>
      <c r="CF82" s="153"/>
      <c r="CG82" s="155"/>
      <c r="CH82" s="155"/>
      <c r="CI82" s="155"/>
      <c r="CJ82" s="22"/>
      <c r="CK82" s="23"/>
      <c r="CL82" s="26"/>
      <c r="CM82" s="27"/>
      <c r="CN82" s="22"/>
      <c r="CO82" s="23"/>
      <c r="CP82" s="26"/>
      <c r="CQ82" s="27"/>
    </row>
    <row r="83" spans="1:95" ht="22.5" hidden="1" customHeight="1" x14ac:dyDescent="0.55000000000000004">
      <c r="A83" s="7">
        <v>81</v>
      </c>
      <c r="B83" s="41"/>
      <c r="C83" s="31"/>
      <c r="D83" s="32"/>
      <c r="E83" s="33"/>
      <c r="F83" s="41"/>
      <c r="G83" s="31"/>
      <c r="H83" s="32"/>
      <c r="I83" s="33"/>
      <c r="J83" s="41"/>
      <c r="K83" s="31"/>
      <c r="L83" s="32"/>
      <c r="M83" s="33"/>
      <c r="N83" s="41"/>
      <c r="O83" s="31"/>
      <c r="P83" s="32"/>
      <c r="Q83" s="33"/>
      <c r="R83" s="41"/>
      <c r="S83" s="31"/>
      <c r="T83" s="32"/>
      <c r="U83" s="33"/>
      <c r="V83" s="41"/>
      <c r="W83" s="31"/>
      <c r="X83" s="32"/>
      <c r="Y83" s="33"/>
      <c r="Z83" s="41"/>
      <c r="AA83" s="31"/>
      <c r="AB83" s="32"/>
      <c r="AC83" s="33"/>
      <c r="AD83" s="41"/>
      <c r="AE83" s="31"/>
      <c r="AF83" s="32"/>
      <c r="AG83" s="33"/>
      <c r="AH83" s="41"/>
      <c r="AI83" s="31"/>
      <c r="AJ83" s="32"/>
      <c r="AK83" s="33"/>
      <c r="AL83" s="41"/>
      <c r="AM83" s="31"/>
      <c r="AN83" s="32"/>
      <c r="AO83" s="33"/>
      <c r="AP83" s="41"/>
      <c r="AQ83" s="31"/>
      <c r="AR83" s="32"/>
      <c r="AS83" s="33"/>
      <c r="AT83" s="41"/>
      <c r="AU83" s="31"/>
      <c r="AV83" s="32"/>
      <c r="AW83" s="33"/>
      <c r="AX83" s="22"/>
      <c r="AY83" s="23"/>
      <c r="AZ83" s="26"/>
      <c r="BA83" s="27"/>
      <c r="BB83" s="22"/>
      <c r="BC83" s="23"/>
      <c r="BD83" s="26"/>
      <c r="BE83" s="27"/>
      <c r="BF83" s="22"/>
      <c r="BG83" s="23"/>
      <c r="BH83" s="26"/>
      <c r="BI83" s="27"/>
      <c r="BJ83" s="22"/>
      <c r="BK83" s="59"/>
      <c r="BL83" s="59"/>
      <c r="BM83" s="23"/>
      <c r="BN83" s="26"/>
      <c r="BO83" s="27"/>
      <c r="BP83" s="22"/>
      <c r="BQ83" s="23"/>
      <c r="BR83" s="26"/>
      <c r="BS83" s="27"/>
      <c r="BT83" s="12"/>
      <c r="BU83" s="57"/>
      <c r="BV83" s="57"/>
      <c r="BW83" s="13"/>
      <c r="BX83" s="26"/>
      <c r="BY83" s="27"/>
      <c r="BZ83" s="22"/>
      <c r="CA83" s="23"/>
      <c r="CB83" s="26"/>
      <c r="CC83" s="27"/>
      <c r="CD83" s="22"/>
      <c r="CE83" s="23"/>
      <c r="CF83" s="153"/>
      <c r="CG83" s="155"/>
      <c r="CH83" s="155"/>
      <c r="CI83" s="155"/>
      <c r="CJ83" s="22"/>
      <c r="CK83" s="23"/>
      <c r="CL83" s="26"/>
      <c r="CM83" s="27"/>
      <c r="CN83" s="22"/>
      <c r="CO83" s="23"/>
      <c r="CP83" s="26"/>
      <c r="CQ83" s="27"/>
    </row>
    <row r="84" spans="1:95" ht="22.5" hidden="1" customHeight="1" x14ac:dyDescent="0.55000000000000004">
      <c r="A84" s="7">
        <v>82</v>
      </c>
      <c r="B84" s="41"/>
      <c r="C84" s="31"/>
      <c r="D84" s="32"/>
      <c r="E84" s="33"/>
      <c r="F84" s="41"/>
      <c r="G84" s="31"/>
      <c r="H84" s="32"/>
      <c r="I84" s="33"/>
      <c r="J84" s="41"/>
      <c r="K84" s="31"/>
      <c r="L84" s="32"/>
      <c r="M84" s="33"/>
      <c r="N84" s="41"/>
      <c r="O84" s="31"/>
      <c r="P84" s="32"/>
      <c r="Q84" s="33"/>
      <c r="R84" s="41"/>
      <c r="S84" s="31"/>
      <c r="T84" s="32"/>
      <c r="U84" s="33"/>
      <c r="V84" s="41"/>
      <c r="W84" s="31"/>
      <c r="X84" s="32"/>
      <c r="Y84" s="33"/>
      <c r="Z84" s="41"/>
      <c r="AA84" s="31"/>
      <c r="AB84" s="32"/>
      <c r="AC84" s="33"/>
      <c r="AD84" s="41"/>
      <c r="AE84" s="31"/>
      <c r="AF84" s="32"/>
      <c r="AG84" s="33"/>
      <c r="AH84" s="41"/>
      <c r="AI84" s="31"/>
      <c r="AJ84" s="32"/>
      <c r="AK84" s="33"/>
      <c r="AL84" s="41"/>
      <c r="AM84" s="31"/>
      <c r="AN84" s="32"/>
      <c r="AO84" s="33"/>
      <c r="AP84" s="41"/>
      <c r="AQ84" s="31"/>
      <c r="AR84" s="32"/>
      <c r="AS84" s="33"/>
      <c r="AT84" s="41"/>
      <c r="AU84" s="31"/>
      <c r="AV84" s="32"/>
      <c r="AW84" s="33"/>
      <c r="AX84" s="22"/>
      <c r="AY84" s="23"/>
      <c r="AZ84" s="26"/>
      <c r="BA84" s="27"/>
      <c r="BB84" s="22"/>
      <c r="BC84" s="23"/>
      <c r="BD84" s="26"/>
      <c r="BE84" s="27"/>
      <c r="BF84" s="22"/>
      <c r="BG84" s="23"/>
      <c r="BH84" s="26"/>
      <c r="BI84" s="27"/>
      <c r="BJ84" s="22"/>
      <c r="BK84" s="59"/>
      <c r="BL84" s="59"/>
      <c r="BM84" s="23"/>
      <c r="BN84" s="26"/>
      <c r="BO84" s="27"/>
      <c r="BP84" s="22"/>
      <c r="BQ84" s="23"/>
      <c r="BR84" s="26"/>
      <c r="BS84" s="27"/>
      <c r="BT84" s="12"/>
      <c r="BU84" s="57"/>
      <c r="BV84" s="57"/>
      <c r="BW84" s="13"/>
      <c r="BX84" s="26"/>
      <c r="BY84" s="27"/>
      <c r="BZ84" s="22"/>
      <c r="CA84" s="23"/>
      <c r="CB84" s="26"/>
      <c r="CC84" s="27"/>
      <c r="CD84" s="22"/>
      <c r="CE84" s="23"/>
      <c r="CF84" s="153"/>
      <c r="CG84" s="155"/>
      <c r="CH84" s="155"/>
      <c r="CI84" s="155"/>
      <c r="CJ84" s="22"/>
      <c r="CK84" s="23"/>
      <c r="CL84" s="26"/>
      <c r="CM84" s="27"/>
      <c r="CN84" s="22"/>
      <c r="CO84" s="23"/>
      <c r="CP84" s="26"/>
      <c r="CQ84" s="27"/>
    </row>
    <row r="85" spans="1:95" ht="22.5" hidden="1" customHeight="1" x14ac:dyDescent="0.55000000000000004">
      <c r="A85" s="7">
        <v>83</v>
      </c>
      <c r="B85" s="41"/>
      <c r="C85" s="31"/>
      <c r="D85" s="32"/>
      <c r="E85" s="33"/>
      <c r="F85" s="41"/>
      <c r="G85" s="31"/>
      <c r="H85" s="32"/>
      <c r="I85" s="33"/>
      <c r="J85" s="41"/>
      <c r="K85" s="31"/>
      <c r="L85" s="32"/>
      <c r="M85" s="33"/>
      <c r="N85" s="41"/>
      <c r="O85" s="31"/>
      <c r="P85" s="32"/>
      <c r="Q85" s="33"/>
      <c r="R85" s="41"/>
      <c r="S85" s="31"/>
      <c r="T85" s="32"/>
      <c r="U85" s="33"/>
      <c r="V85" s="41"/>
      <c r="W85" s="31"/>
      <c r="X85" s="32"/>
      <c r="Y85" s="33"/>
      <c r="Z85" s="41"/>
      <c r="AA85" s="31"/>
      <c r="AB85" s="32"/>
      <c r="AC85" s="33"/>
      <c r="AD85" s="41"/>
      <c r="AE85" s="31"/>
      <c r="AF85" s="32"/>
      <c r="AG85" s="33"/>
      <c r="AH85" s="41"/>
      <c r="AI85" s="31"/>
      <c r="AJ85" s="32"/>
      <c r="AK85" s="33"/>
      <c r="AL85" s="41"/>
      <c r="AM85" s="31"/>
      <c r="AN85" s="32"/>
      <c r="AO85" s="33"/>
      <c r="AP85" s="41"/>
      <c r="AQ85" s="31"/>
      <c r="AR85" s="32"/>
      <c r="AS85" s="33"/>
      <c r="AT85" s="41"/>
      <c r="AU85" s="31"/>
      <c r="AV85" s="32"/>
      <c r="AW85" s="33"/>
      <c r="AX85" s="22"/>
      <c r="AY85" s="23"/>
      <c r="AZ85" s="26"/>
      <c r="BA85" s="27"/>
      <c r="BB85" s="22"/>
      <c r="BC85" s="23"/>
      <c r="BD85" s="26"/>
      <c r="BE85" s="27"/>
      <c r="BF85" s="22"/>
      <c r="BG85" s="23"/>
      <c r="BH85" s="26"/>
      <c r="BI85" s="27"/>
      <c r="BJ85" s="22"/>
      <c r="BK85" s="59"/>
      <c r="BL85" s="59"/>
      <c r="BM85" s="23"/>
      <c r="BN85" s="26"/>
      <c r="BO85" s="27"/>
      <c r="BP85" s="22"/>
      <c r="BQ85" s="23"/>
      <c r="BR85" s="26"/>
      <c r="BS85" s="27"/>
      <c r="BT85" s="12"/>
      <c r="BU85" s="57"/>
      <c r="BV85" s="57"/>
      <c r="BW85" s="13"/>
      <c r="BX85" s="26"/>
      <c r="BY85" s="27"/>
      <c r="BZ85" s="22"/>
      <c r="CA85" s="23"/>
      <c r="CB85" s="26"/>
      <c r="CC85" s="27"/>
      <c r="CD85" s="22"/>
      <c r="CE85" s="23"/>
      <c r="CF85" s="153"/>
      <c r="CG85" s="155"/>
      <c r="CH85" s="155"/>
      <c r="CI85" s="155"/>
      <c r="CJ85" s="22"/>
      <c r="CK85" s="23"/>
      <c r="CL85" s="26"/>
      <c r="CM85" s="27"/>
      <c r="CN85" s="22"/>
      <c r="CO85" s="23"/>
      <c r="CP85" s="26"/>
      <c r="CQ85" s="27"/>
    </row>
    <row r="86" spans="1:95" ht="22.5" hidden="1" customHeight="1" x14ac:dyDescent="0.55000000000000004">
      <c r="A86" s="7">
        <v>84</v>
      </c>
      <c r="B86" s="41"/>
      <c r="C86" s="31"/>
      <c r="D86" s="32"/>
      <c r="E86" s="33"/>
      <c r="F86" s="41"/>
      <c r="G86" s="31"/>
      <c r="H86" s="32"/>
      <c r="I86" s="33"/>
      <c r="J86" s="41"/>
      <c r="K86" s="31"/>
      <c r="L86" s="32"/>
      <c r="M86" s="33"/>
      <c r="N86" s="41"/>
      <c r="O86" s="31"/>
      <c r="P86" s="32"/>
      <c r="Q86" s="33"/>
      <c r="R86" s="41"/>
      <c r="S86" s="31"/>
      <c r="T86" s="32"/>
      <c r="U86" s="33"/>
      <c r="V86" s="41"/>
      <c r="W86" s="31"/>
      <c r="X86" s="32"/>
      <c r="Y86" s="33"/>
      <c r="Z86" s="41"/>
      <c r="AA86" s="31"/>
      <c r="AB86" s="32"/>
      <c r="AC86" s="33"/>
      <c r="AD86" s="41"/>
      <c r="AE86" s="31"/>
      <c r="AF86" s="32"/>
      <c r="AG86" s="33"/>
      <c r="AH86" s="41"/>
      <c r="AI86" s="31"/>
      <c r="AJ86" s="32"/>
      <c r="AK86" s="33"/>
      <c r="AL86" s="41"/>
      <c r="AM86" s="31"/>
      <c r="AN86" s="32"/>
      <c r="AO86" s="33"/>
      <c r="AP86" s="41"/>
      <c r="AQ86" s="31"/>
      <c r="AR86" s="32"/>
      <c r="AS86" s="33"/>
      <c r="AT86" s="41"/>
      <c r="AU86" s="31"/>
      <c r="AV86" s="32"/>
      <c r="AW86" s="33"/>
      <c r="AX86" s="22"/>
      <c r="AY86" s="23"/>
      <c r="AZ86" s="26"/>
      <c r="BA86" s="27"/>
      <c r="BB86" s="22"/>
      <c r="BC86" s="23"/>
      <c r="BD86" s="26"/>
      <c r="BE86" s="27"/>
      <c r="BF86" s="22"/>
      <c r="BG86" s="23"/>
      <c r="BH86" s="26"/>
      <c r="BI86" s="27"/>
      <c r="BJ86" s="22"/>
      <c r="BK86" s="59"/>
      <c r="BL86" s="59"/>
      <c r="BM86" s="23"/>
      <c r="BN86" s="26"/>
      <c r="BO86" s="27"/>
      <c r="BP86" s="22"/>
      <c r="BQ86" s="23"/>
      <c r="BR86" s="26"/>
      <c r="BS86" s="27"/>
      <c r="BT86" s="12"/>
      <c r="BU86" s="57"/>
      <c r="BV86" s="57"/>
      <c r="BW86" s="13"/>
      <c r="BX86" s="26"/>
      <c r="BY86" s="27"/>
      <c r="BZ86" s="22"/>
      <c r="CA86" s="23"/>
      <c r="CB86" s="26"/>
      <c r="CC86" s="27"/>
      <c r="CD86" s="22"/>
      <c r="CE86" s="23"/>
      <c r="CF86" s="153"/>
      <c r="CG86" s="155"/>
      <c r="CH86" s="155"/>
      <c r="CI86" s="155"/>
      <c r="CJ86" s="22"/>
      <c r="CK86" s="23"/>
      <c r="CL86" s="26"/>
      <c r="CM86" s="27"/>
      <c r="CN86" s="22"/>
      <c r="CO86" s="23"/>
      <c r="CP86" s="26"/>
      <c r="CQ86" s="27"/>
    </row>
    <row r="87" spans="1:95" ht="22.5" hidden="1" customHeight="1" x14ac:dyDescent="0.55000000000000004">
      <c r="A87" s="7">
        <v>85</v>
      </c>
      <c r="B87" s="41"/>
      <c r="C87" s="31"/>
      <c r="D87" s="32"/>
      <c r="E87" s="33"/>
      <c r="F87" s="41"/>
      <c r="G87" s="31"/>
      <c r="H87" s="32"/>
      <c r="I87" s="33"/>
      <c r="J87" s="41"/>
      <c r="K87" s="31"/>
      <c r="L87" s="32"/>
      <c r="M87" s="33"/>
      <c r="N87" s="41"/>
      <c r="O87" s="31"/>
      <c r="P87" s="32"/>
      <c r="Q87" s="33"/>
      <c r="R87" s="41"/>
      <c r="S87" s="31"/>
      <c r="T87" s="32"/>
      <c r="U87" s="33"/>
      <c r="V87" s="41"/>
      <c r="W87" s="31"/>
      <c r="X87" s="32"/>
      <c r="Y87" s="33"/>
      <c r="Z87" s="41"/>
      <c r="AA87" s="31"/>
      <c r="AB87" s="32"/>
      <c r="AC87" s="33"/>
      <c r="AD87" s="41"/>
      <c r="AE87" s="31"/>
      <c r="AF87" s="32"/>
      <c r="AG87" s="33"/>
      <c r="AH87" s="41"/>
      <c r="AI87" s="31"/>
      <c r="AJ87" s="32"/>
      <c r="AK87" s="33"/>
      <c r="AL87" s="41"/>
      <c r="AM87" s="31"/>
      <c r="AN87" s="32"/>
      <c r="AO87" s="33"/>
      <c r="AP87" s="41"/>
      <c r="AQ87" s="31"/>
      <c r="AR87" s="32"/>
      <c r="AS87" s="33"/>
      <c r="AT87" s="41"/>
      <c r="AU87" s="31"/>
      <c r="AV87" s="32"/>
      <c r="AW87" s="33"/>
      <c r="AX87" s="22"/>
      <c r="AY87" s="23"/>
      <c r="AZ87" s="26"/>
      <c r="BA87" s="27"/>
      <c r="BB87" s="22"/>
      <c r="BC87" s="23"/>
      <c r="BD87" s="26"/>
      <c r="BE87" s="27"/>
      <c r="BF87" s="22"/>
      <c r="BG87" s="23"/>
      <c r="BH87" s="26"/>
      <c r="BI87" s="27"/>
      <c r="BJ87" s="22"/>
      <c r="BK87" s="59"/>
      <c r="BL87" s="59"/>
      <c r="BM87" s="23"/>
      <c r="BN87" s="26"/>
      <c r="BO87" s="27"/>
      <c r="BP87" s="22"/>
      <c r="BQ87" s="23"/>
      <c r="BR87" s="26"/>
      <c r="BS87" s="27"/>
      <c r="BT87" s="12"/>
      <c r="BU87" s="57"/>
      <c r="BV87" s="57"/>
      <c r="BW87" s="13"/>
      <c r="BX87" s="26"/>
      <c r="BY87" s="27"/>
      <c r="BZ87" s="22"/>
      <c r="CA87" s="23"/>
      <c r="CB87" s="26"/>
      <c r="CC87" s="27"/>
      <c r="CD87" s="22"/>
      <c r="CE87" s="23"/>
      <c r="CF87" s="153"/>
      <c r="CG87" s="155"/>
      <c r="CH87" s="155"/>
      <c r="CI87" s="155"/>
      <c r="CJ87" s="22"/>
      <c r="CK87" s="23"/>
      <c r="CL87" s="26"/>
      <c r="CM87" s="27"/>
      <c r="CN87" s="22"/>
      <c r="CO87" s="23"/>
      <c r="CP87" s="26"/>
      <c r="CQ87" s="27"/>
    </row>
    <row r="88" spans="1:95" ht="22.5" hidden="1" customHeight="1" x14ac:dyDescent="0.55000000000000004">
      <c r="A88" s="7">
        <v>86</v>
      </c>
      <c r="B88" s="41"/>
      <c r="C88" s="31"/>
      <c r="D88" s="32"/>
      <c r="E88" s="33"/>
      <c r="F88" s="41"/>
      <c r="G88" s="31"/>
      <c r="H88" s="32"/>
      <c r="I88" s="33"/>
      <c r="J88" s="41"/>
      <c r="K88" s="31"/>
      <c r="L88" s="32"/>
      <c r="M88" s="33"/>
      <c r="N88" s="41"/>
      <c r="O88" s="31"/>
      <c r="P88" s="32"/>
      <c r="Q88" s="33"/>
      <c r="R88" s="41"/>
      <c r="S88" s="31"/>
      <c r="T88" s="32"/>
      <c r="U88" s="33"/>
      <c r="V88" s="41"/>
      <c r="W88" s="31"/>
      <c r="X88" s="32"/>
      <c r="Y88" s="33"/>
      <c r="Z88" s="41"/>
      <c r="AA88" s="31"/>
      <c r="AB88" s="32"/>
      <c r="AC88" s="33"/>
      <c r="AD88" s="41"/>
      <c r="AE88" s="31"/>
      <c r="AF88" s="32"/>
      <c r="AG88" s="33"/>
      <c r="AH88" s="41"/>
      <c r="AI88" s="31"/>
      <c r="AJ88" s="32"/>
      <c r="AK88" s="33"/>
      <c r="AL88" s="41"/>
      <c r="AM88" s="31"/>
      <c r="AN88" s="32"/>
      <c r="AO88" s="33"/>
      <c r="AP88" s="41"/>
      <c r="AQ88" s="31"/>
      <c r="AR88" s="32"/>
      <c r="AS88" s="33"/>
      <c r="AT88" s="41"/>
      <c r="AU88" s="31"/>
      <c r="AV88" s="32"/>
      <c r="AW88" s="33"/>
      <c r="AX88" s="22"/>
      <c r="AY88" s="23"/>
      <c r="AZ88" s="26"/>
      <c r="BA88" s="27"/>
      <c r="BB88" s="22"/>
      <c r="BC88" s="23"/>
      <c r="BD88" s="26"/>
      <c r="BE88" s="27"/>
      <c r="BF88" s="22"/>
      <c r="BG88" s="23"/>
      <c r="BH88" s="26"/>
      <c r="BI88" s="27"/>
      <c r="BJ88" s="22"/>
      <c r="BK88" s="59"/>
      <c r="BL88" s="59"/>
      <c r="BM88" s="23"/>
      <c r="BN88" s="26"/>
      <c r="BO88" s="27"/>
      <c r="BP88" s="22"/>
      <c r="BQ88" s="23"/>
      <c r="BR88" s="26"/>
      <c r="BS88" s="27"/>
      <c r="BT88" s="12"/>
      <c r="BU88" s="57"/>
      <c r="BV88" s="57"/>
      <c r="BW88" s="13"/>
      <c r="BX88" s="26"/>
      <c r="BY88" s="27"/>
      <c r="BZ88" s="22"/>
      <c r="CA88" s="23"/>
      <c r="CB88" s="26"/>
      <c r="CC88" s="27"/>
      <c r="CD88" s="22"/>
      <c r="CE88" s="23"/>
      <c r="CF88" s="153"/>
      <c r="CG88" s="155"/>
      <c r="CH88" s="155"/>
      <c r="CI88" s="155"/>
      <c r="CJ88" s="22"/>
      <c r="CK88" s="23"/>
      <c r="CL88" s="26"/>
      <c r="CM88" s="27"/>
      <c r="CN88" s="22"/>
      <c r="CO88" s="23"/>
      <c r="CP88" s="26"/>
      <c r="CQ88" s="27"/>
    </row>
    <row r="89" spans="1:95" ht="22.5" hidden="1" customHeight="1" x14ac:dyDescent="0.55000000000000004">
      <c r="A89" s="7">
        <v>87</v>
      </c>
      <c r="B89" s="41"/>
      <c r="C89" s="31"/>
      <c r="D89" s="32"/>
      <c r="E89" s="33"/>
      <c r="F89" s="41"/>
      <c r="G89" s="31"/>
      <c r="H89" s="32"/>
      <c r="I89" s="33"/>
      <c r="J89" s="41"/>
      <c r="K89" s="31"/>
      <c r="L89" s="32"/>
      <c r="M89" s="33"/>
      <c r="N89" s="41"/>
      <c r="O89" s="31"/>
      <c r="P89" s="32"/>
      <c r="Q89" s="33"/>
      <c r="R89" s="41"/>
      <c r="S89" s="31"/>
      <c r="T89" s="32"/>
      <c r="U89" s="33"/>
      <c r="V89" s="41"/>
      <c r="W89" s="31"/>
      <c r="X89" s="32"/>
      <c r="Y89" s="33"/>
      <c r="Z89" s="41"/>
      <c r="AA89" s="31"/>
      <c r="AB89" s="32"/>
      <c r="AC89" s="33"/>
      <c r="AD89" s="41"/>
      <c r="AE89" s="31"/>
      <c r="AF89" s="32"/>
      <c r="AG89" s="33"/>
      <c r="AH89" s="41"/>
      <c r="AI89" s="31"/>
      <c r="AJ89" s="32"/>
      <c r="AK89" s="33"/>
      <c r="AL89" s="41"/>
      <c r="AM89" s="31"/>
      <c r="AN89" s="32"/>
      <c r="AO89" s="33"/>
      <c r="AP89" s="41"/>
      <c r="AQ89" s="31"/>
      <c r="AR89" s="32"/>
      <c r="AS89" s="33"/>
      <c r="AT89" s="41"/>
      <c r="AU89" s="31"/>
      <c r="AV89" s="32"/>
      <c r="AW89" s="33"/>
      <c r="AX89" s="22"/>
      <c r="AY89" s="23"/>
      <c r="AZ89" s="26"/>
      <c r="BA89" s="27"/>
      <c r="BB89" s="22"/>
      <c r="BC89" s="23"/>
      <c r="BD89" s="26"/>
      <c r="BE89" s="27"/>
      <c r="BF89" s="22"/>
      <c r="BG89" s="23"/>
      <c r="BH89" s="26"/>
      <c r="BI89" s="27"/>
      <c r="BJ89" s="22"/>
      <c r="BK89" s="59"/>
      <c r="BL89" s="59"/>
      <c r="BM89" s="23"/>
      <c r="BN89" s="26"/>
      <c r="BO89" s="27"/>
      <c r="BP89" s="22"/>
      <c r="BQ89" s="23"/>
      <c r="BR89" s="26"/>
      <c r="BS89" s="27"/>
      <c r="BT89" s="12"/>
      <c r="BU89" s="57"/>
      <c r="BV89" s="57"/>
      <c r="BW89" s="13"/>
      <c r="BX89" s="26"/>
      <c r="BY89" s="27"/>
      <c r="BZ89" s="22"/>
      <c r="CA89" s="23"/>
      <c r="CB89" s="26"/>
      <c r="CC89" s="27"/>
      <c r="CD89" s="22"/>
      <c r="CE89" s="23"/>
      <c r="CF89" s="153"/>
      <c r="CG89" s="155"/>
      <c r="CH89" s="155"/>
      <c r="CI89" s="155"/>
      <c r="CJ89" s="22"/>
      <c r="CK89" s="23"/>
      <c r="CL89" s="26"/>
      <c r="CM89" s="27"/>
      <c r="CN89" s="22"/>
      <c r="CO89" s="23"/>
      <c r="CP89" s="26"/>
      <c r="CQ89" s="27"/>
    </row>
    <row r="90" spans="1:95" ht="22.5" hidden="1" customHeight="1" x14ac:dyDescent="0.55000000000000004">
      <c r="A90" s="7">
        <v>88</v>
      </c>
      <c r="B90" s="41"/>
      <c r="C90" s="31"/>
      <c r="D90" s="32"/>
      <c r="E90" s="33"/>
      <c r="F90" s="41"/>
      <c r="G90" s="31"/>
      <c r="H90" s="32"/>
      <c r="I90" s="33"/>
      <c r="J90" s="41"/>
      <c r="K90" s="31"/>
      <c r="L90" s="32"/>
      <c r="M90" s="33"/>
      <c r="N90" s="41"/>
      <c r="O90" s="31"/>
      <c r="P90" s="32"/>
      <c r="Q90" s="33"/>
      <c r="R90" s="41"/>
      <c r="S90" s="31"/>
      <c r="T90" s="32"/>
      <c r="U90" s="33"/>
      <c r="V90" s="41"/>
      <c r="W90" s="31"/>
      <c r="X90" s="32"/>
      <c r="Y90" s="33"/>
      <c r="Z90" s="41"/>
      <c r="AA90" s="31"/>
      <c r="AB90" s="32"/>
      <c r="AC90" s="33"/>
      <c r="AD90" s="41"/>
      <c r="AE90" s="31"/>
      <c r="AF90" s="32"/>
      <c r="AG90" s="33"/>
      <c r="AH90" s="41"/>
      <c r="AI90" s="31"/>
      <c r="AJ90" s="32"/>
      <c r="AK90" s="33"/>
      <c r="AL90" s="41"/>
      <c r="AM90" s="31"/>
      <c r="AN90" s="32"/>
      <c r="AO90" s="33"/>
      <c r="AP90" s="41"/>
      <c r="AQ90" s="31"/>
      <c r="AR90" s="32"/>
      <c r="AS90" s="33"/>
      <c r="AT90" s="41"/>
      <c r="AU90" s="31"/>
      <c r="AV90" s="32"/>
      <c r="AW90" s="33"/>
      <c r="AX90" s="22"/>
      <c r="AY90" s="23"/>
      <c r="AZ90" s="26"/>
      <c r="BA90" s="27"/>
      <c r="BB90" s="22"/>
      <c r="BC90" s="23"/>
      <c r="BD90" s="26"/>
      <c r="BE90" s="27"/>
      <c r="BF90" s="22"/>
      <c r="BG90" s="23"/>
      <c r="BH90" s="26"/>
      <c r="BI90" s="27"/>
      <c r="BJ90" s="22"/>
      <c r="BK90" s="59"/>
      <c r="BL90" s="59"/>
      <c r="BM90" s="23"/>
      <c r="BN90" s="26"/>
      <c r="BO90" s="27"/>
      <c r="BP90" s="22"/>
      <c r="BQ90" s="23"/>
      <c r="BR90" s="26"/>
      <c r="BS90" s="27"/>
      <c r="BT90" s="12"/>
      <c r="BU90" s="57"/>
      <c r="BV90" s="57"/>
      <c r="BW90" s="13"/>
      <c r="BX90" s="26"/>
      <c r="BY90" s="27"/>
      <c r="BZ90" s="22"/>
      <c r="CA90" s="23"/>
      <c r="CB90" s="26"/>
      <c r="CC90" s="27"/>
      <c r="CD90" s="22"/>
      <c r="CE90" s="23"/>
      <c r="CF90" s="153"/>
      <c r="CG90" s="155"/>
      <c r="CH90" s="155"/>
      <c r="CI90" s="155"/>
      <c r="CJ90" s="22"/>
      <c r="CK90" s="23"/>
      <c r="CL90" s="26"/>
      <c r="CM90" s="27"/>
      <c r="CN90" s="22"/>
      <c r="CO90" s="23"/>
      <c r="CP90" s="26"/>
      <c r="CQ90" s="27"/>
    </row>
    <row r="91" spans="1:95" ht="22.5" hidden="1" customHeight="1" x14ac:dyDescent="0.55000000000000004">
      <c r="A91" s="7">
        <v>89</v>
      </c>
      <c r="B91" s="41"/>
      <c r="C91" s="31"/>
      <c r="D91" s="32"/>
      <c r="E91" s="33"/>
      <c r="F91" s="41"/>
      <c r="G91" s="31"/>
      <c r="H91" s="32"/>
      <c r="I91" s="33"/>
      <c r="J91" s="41"/>
      <c r="K91" s="31"/>
      <c r="L91" s="32"/>
      <c r="M91" s="33"/>
      <c r="N91" s="41"/>
      <c r="O91" s="31"/>
      <c r="P91" s="32"/>
      <c r="Q91" s="33"/>
      <c r="R91" s="41"/>
      <c r="S91" s="31"/>
      <c r="T91" s="32"/>
      <c r="U91" s="33"/>
      <c r="V91" s="41"/>
      <c r="W91" s="31"/>
      <c r="X91" s="32"/>
      <c r="Y91" s="33"/>
      <c r="Z91" s="41"/>
      <c r="AA91" s="31"/>
      <c r="AB91" s="32"/>
      <c r="AC91" s="33"/>
      <c r="AD91" s="41"/>
      <c r="AE91" s="31"/>
      <c r="AF91" s="32"/>
      <c r="AG91" s="33"/>
      <c r="AH91" s="41"/>
      <c r="AI91" s="31"/>
      <c r="AJ91" s="32"/>
      <c r="AK91" s="33"/>
      <c r="AL91" s="41"/>
      <c r="AM91" s="31"/>
      <c r="AN91" s="32"/>
      <c r="AO91" s="33"/>
      <c r="AP91" s="41"/>
      <c r="AQ91" s="31"/>
      <c r="AR91" s="32"/>
      <c r="AS91" s="33"/>
      <c r="AT91" s="41"/>
      <c r="AU91" s="31"/>
      <c r="AV91" s="32"/>
      <c r="AW91" s="33"/>
      <c r="AX91" s="22"/>
      <c r="AY91" s="23"/>
      <c r="AZ91" s="26"/>
      <c r="BA91" s="27"/>
      <c r="BB91" s="22"/>
      <c r="BC91" s="23"/>
      <c r="BD91" s="26"/>
      <c r="BE91" s="27"/>
      <c r="BF91" s="22"/>
      <c r="BG91" s="23"/>
      <c r="BH91" s="26"/>
      <c r="BI91" s="27"/>
      <c r="BJ91" s="22"/>
      <c r="BK91" s="59"/>
      <c r="BL91" s="59"/>
      <c r="BM91" s="23"/>
      <c r="BN91" s="26"/>
      <c r="BO91" s="27"/>
      <c r="BP91" s="22"/>
      <c r="BQ91" s="23"/>
      <c r="BR91" s="26"/>
      <c r="BS91" s="27"/>
      <c r="BT91" s="12"/>
      <c r="BU91" s="57"/>
      <c r="BV91" s="57"/>
      <c r="BW91" s="13"/>
      <c r="BX91" s="26"/>
      <c r="BY91" s="27"/>
      <c r="BZ91" s="22"/>
      <c r="CA91" s="23"/>
      <c r="CB91" s="26"/>
      <c r="CC91" s="27"/>
      <c r="CD91" s="22"/>
      <c r="CE91" s="23"/>
      <c r="CF91" s="153"/>
      <c r="CG91" s="155"/>
      <c r="CH91" s="155"/>
      <c r="CI91" s="155"/>
      <c r="CJ91" s="22"/>
      <c r="CK91" s="23"/>
      <c r="CL91" s="26"/>
      <c r="CM91" s="27"/>
      <c r="CN91" s="22"/>
      <c r="CO91" s="23"/>
      <c r="CP91" s="26"/>
      <c r="CQ91" s="27"/>
    </row>
    <row r="92" spans="1:95" ht="22.5" hidden="1" customHeight="1" x14ac:dyDescent="0.55000000000000004">
      <c r="A92" s="7">
        <v>90</v>
      </c>
      <c r="B92" s="41"/>
      <c r="C92" s="31"/>
      <c r="D92" s="32"/>
      <c r="E92" s="33"/>
      <c r="F92" s="41"/>
      <c r="G92" s="31"/>
      <c r="H92" s="32"/>
      <c r="I92" s="33"/>
      <c r="J92" s="41"/>
      <c r="K92" s="31"/>
      <c r="L92" s="32"/>
      <c r="M92" s="33"/>
      <c r="N92" s="41"/>
      <c r="O92" s="31"/>
      <c r="P92" s="32"/>
      <c r="Q92" s="33"/>
      <c r="R92" s="41"/>
      <c r="S92" s="31"/>
      <c r="T92" s="32"/>
      <c r="U92" s="33"/>
      <c r="V92" s="41"/>
      <c r="W92" s="31"/>
      <c r="X92" s="32"/>
      <c r="Y92" s="33"/>
      <c r="Z92" s="41"/>
      <c r="AA92" s="31"/>
      <c r="AB92" s="32"/>
      <c r="AC92" s="33"/>
      <c r="AD92" s="41"/>
      <c r="AE92" s="31"/>
      <c r="AF92" s="32"/>
      <c r="AG92" s="33"/>
      <c r="AH92" s="41"/>
      <c r="AI92" s="31"/>
      <c r="AJ92" s="32"/>
      <c r="AK92" s="33"/>
      <c r="AL92" s="41"/>
      <c r="AM92" s="31"/>
      <c r="AN92" s="32"/>
      <c r="AO92" s="33"/>
      <c r="AP92" s="41"/>
      <c r="AQ92" s="31"/>
      <c r="AR92" s="32"/>
      <c r="AS92" s="33"/>
      <c r="AT92" s="41"/>
      <c r="AU92" s="31"/>
      <c r="AV92" s="32"/>
      <c r="AW92" s="33"/>
      <c r="AX92" s="22"/>
      <c r="AY92" s="23"/>
      <c r="AZ92" s="26"/>
      <c r="BA92" s="27"/>
      <c r="BB92" s="22"/>
      <c r="BC92" s="23"/>
      <c r="BD92" s="26"/>
      <c r="BE92" s="27"/>
      <c r="BF92" s="22"/>
      <c r="BG92" s="23"/>
      <c r="BH92" s="26"/>
      <c r="BI92" s="27"/>
      <c r="BJ92" s="22"/>
      <c r="BK92" s="59"/>
      <c r="BL92" s="59"/>
      <c r="BM92" s="23"/>
      <c r="BN92" s="26"/>
      <c r="BO92" s="27"/>
      <c r="BP92" s="22"/>
      <c r="BQ92" s="23"/>
      <c r="BR92" s="26"/>
      <c r="BS92" s="27"/>
      <c r="BT92" s="12"/>
      <c r="BU92" s="57"/>
      <c r="BV92" s="57"/>
      <c r="BW92" s="13"/>
      <c r="BX92" s="26"/>
      <c r="BY92" s="27"/>
      <c r="BZ92" s="22"/>
      <c r="CA92" s="23"/>
      <c r="CB92" s="26"/>
      <c r="CC92" s="27"/>
      <c r="CD92" s="22"/>
      <c r="CE92" s="23"/>
      <c r="CF92" s="153"/>
      <c r="CG92" s="155"/>
      <c r="CH92" s="155"/>
      <c r="CI92" s="155"/>
      <c r="CJ92" s="22"/>
      <c r="CK92" s="23"/>
      <c r="CL92" s="26"/>
      <c r="CM92" s="27"/>
      <c r="CN92" s="22"/>
      <c r="CO92" s="23"/>
      <c r="CP92" s="26"/>
      <c r="CQ92" s="27"/>
    </row>
    <row r="93" spans="1:95" ht="22.5" hidden="1" customHeight="1" x14ac:dyDescent="0.55000000000000004">
      <c r="A93" s="7">
        <v>91</v>
      </c>
      <c r="B93" s="41"/>
      <c r="C93" s="31"/>
      <c r="D93" s="32"/>
      <c r="E93" s="33"/>
      <c r="F93" s="41"/>
      <c r="G93" s="31"/>
      <c r="H93" s="32"/>
      <c r="I93" s="33"/>
      <c r="J93" s="41"/>
      <c r="K93" s="31"/>
      <c r="L93" s="32"/>
      <c r="M93" s="33"/>
      <c r="N93" s="41"/>
      <c r="O93" s="31"/>
      <c r="P93" s="32"/>
      <c r="Q93" s="33"/>
      <c r="R93" s="41"/>
      <c r="S93" s="31"/>
      <c r="T93" s="32"/>
      <c r="U93" s="33"/>
      <c r="V93" s="41"/>
      <c r="W93" s="31"/>
      <c r="X93" s="32"/>
      <c r="Y93" s="33"/>
      <c r="Z93" s="41"/>
      <c r="AA93" s="31"/>
      <c r="AB93" s="32"/>
      <c r="AC93" s="33"/>
      <c r="AD93" s="41"/>
      <c r="AE93" s="31"/>
      <c r="AF93" s="32"/>
      <c r="AG93" s="33"/>
      <c r="AH93" s="41"/>
      <c r="AI93" s="31"/>
      <c r="AJ93" s="32"/>
      <c r="AK93" s="33"/>
      <c r="AL93" s="41"/>
      <c r="AM93" s="31"/>
      <c r="AN93" s="32"/>
      <c r="AO93" s="33"/>
      <c r="AP93" s="41"/>
      <c r="AQ93" s="31"/>
      <c r="AR93" s="32"/>
      <c r="AS93" s="33"/>
      <c r="AT93" s="41"/>
      <c r="AU93" s="31"/>
      <c r="AV93" s="32"/>
      <c r="AW93" s="33"/>
      <c r="AX93" s="22"/>
      <c r="AY93" s="23"/>
      <c r="AZ93" s="26"/>
      <c r="BA93" s="27"/>
      <c r="BB93" s="22"/>
      <c r="BC93" s="23"/>
      <c r="BD93" s="26"/>
      <c r="BE93" s="27"/>
      <c r="BF93" s="22"/>
      <c r="BG93" s="23"/>
      <c r="BH93" s="26"/>
      <c r="BI93" s="27"/>
      <c r="BJ93" s="22"/>
      <c r="BK93" s="59"/>
      <c r="BL93" s="59"/>
      <c r="BM93" s="23"/>
      <c r="BN93" s="26"/>
      <c r="BO93" s="27"/>
      <c r="BP93" s="22"/>
      <c r="BQ93" s="23"/>
      <c r="BR93" s="26"/>
      <c r="BS93" s="27"/>
      <c r="BT93" s="12"/>
      <c r="BU93" s="57"/>
      <c r="BV93" s="57"/>
      <c r="BW93" s="13"/>
      <c r="BX93" s="26"/>
      <c r="BY93" s="27"/>
      <c r="BZ93" s="22"/>
      <c r="CA93" s="23"/>
      <c r="CB93" s="26"/>
      <c r="CC93" s="27"/>
      <c r="CD93" s="22"/>
      <c r="CE93" s="23"/>
      <c r="CF93" s="153"/>
      <c r="CG93" s="155"/>
      <c r="CH93" s="155"/>
      <c r="CI93" s="155"/>
      <c r="CJ93" s="22"/>
      <c r="CK93" s="23"/>
      <c r="CL93" s="26"/>
      <c r="CM93" s="27"/>
      <c r="CN93" s="22"/>
      <c r="CO93" s="23"/>
      <c r="CP93" s="26"/>
      <c r="CQ93" s="27"/>
    </row>
    <row r="94" spans="1:95" ht="22.5" hidden="1" customHeight="1" x14ac:dyDescent="0.55000000000000004">
      <c r="A94" s="7">
        <v>92</v>
      </c>
      <c r="B94" s="41"/>
      <c r="C94" s="31"/>
      <c r="D94" s="32"/>
      <c r="E94" s="33"/>
      <c r="F94" s="41"/>
      <c r="G94" s="31"/>
      <c r="H94" s="32"/>
      <c r="I94" s="33"/>
      <c r="J94" s="41"/>
      <c r="K94" s="31"/>
      <c r="L94" s="32"/>
      <c r="M94" s="33"/>
      <c r="N94" s="41"/>
      <c r="O94" s="31"/>
      <c r="P94" s="32"/>
      <c r="Q94" s="33"/>
      <c r="R94" s="41"/>
      <c r="S94" s="31"/>
      <c r="T94" s="32"/>
      <c r="U94" s="33"/>
      <c r="V94" s="41"/>
      <c r="W94" s="31"/>
      <c r="X94" s="32"/>
      <c r="Y94" s="33"/>
      <c r="Z94" s="41"/>
      <c r="AA94" s="31"/>
      <c r="AB94" s="32"/>
      <c r="AC94" s="33"/>
      <c r="AD94" s="41"/>
      <c r="AE94" s="31"/>
      <c r="AF94" s="32"/>
      <c r="AG94" s="33"/>
      <c r="AH94" s="41"/>
      <c r="AI94" s="31"/>
      <c r="AJ94" s="32"/>
      <c r="AK94" s="33"/>
      <c r="AL94" s="41"/>
      <c r="AM94" s="31"/>
      <c r="AN94" s="32"/>
      <c r="AO94" s="33"/>
      <c r="AP94" s="41"/>
      <c r="AQ94" s="31"/>
      <c r="AR94" s="32"/>
      <c r="AS94" s="33"/>
      <c r="AT94" s="41"/>
      <c r="AU94" s="31"/>
      <c r="AV94" s="32"/>
      <c r="AW94" s="33"/>
      <c r="AX94" s="22"/>
      <c r="AY94" s="23"/>
      <c r="AZ94" s="26"/>
      <c r="BA94" s="27"/>
      <c r="BB94" s="22"/>
      <c r="BC94" s="23"/>
      <c r="BD94" s="26"/>
      <c r="BE94" s="27"/>
      <c r="BF94" s="22"/>
      <c r="BG94" s="23"/>
      <c r="BH94" s="26"/>
      <c r="BI94" s="27"/>
      <c r="BJ94" s="22"/>
      <c r="BK94" s="59"/>
      <c r="BL94" s="59"/>
      <c r="BM94" s="23"/>
      <c r="BN94" s="26"/>
      <c r="BO94" s="27"/>
      <c r="BP94" s="22"/>
      <c r="BQ94" s="23"/>
      <c r="BR94" s="26"/>
      <c r="BS94" s="27"/>
      <c r="BT94" s="12"/>
      <c r="BU94" s="57"/>
      <c r="BV94" s="57"/>
      <c r="BW94" s="13"/>
      <c r="BX94" s="26"/>
      <c r="BY94" s="27"/>
      <c r="BZ94" s="22"/>
      <c r="CA94" s="23"/>
      <c r="CB94" s="26"/>
      <c r="CC94" s="27"/>
      <c r="CD94" s="22"/>
      <c r="CE94" s="23"/>
      <c r="CF94" s="153"/>
      <c r="CG94" s="155"/>
      <c r="CH94" s="155"/>
      <c r="CI94" s="155"/>
      <c r="CJ94" s="22"/>
      <c r="CK94" s="23"/>
      <c r="CL94" s="26"/>
      <c r="CM94" s="27"/>
      <c r="CN94" s="22"/>
      <c r="CO94" s="23"/>
      <c r="CP94" s="26"/>
      <c r="CQ94" s="27"/>
    </row>
    <row r="95" spans="1:95" ht="22.5" hidden="1" customHeight="1" x14ac:dyDescent="0.55000000000000004">
      <c r="A95" s="7">
        <v>93</v>
      </c>
      <c r="B95" s="41"/>
      <c r="C95" s="31"/>
      <c r="D95" s="32"/>
      <c r="E95" s="33"/>
      <c r="F95" s="41"/>
      <c r="G95" s="31"/>
      <c r="H95" s="32"/>
      <c r="I95" s="33"/>
      <c r="J95" s="41"/>
      <c r="K95" s="31"/>
      <c r="L95" s="32"/>
      <c r="M95" s="33"/>
      <c r="N95" s="41"/>
      <c r="O95" s="31"/>
      <c r="P95" s="32"/>
      <c r="Q95" s="33"/>
      <c r="R95" s="41"/>
      <c r="S95" s="31"/>
      <c r="T95" s="32"/>
      <c r="U95" s="33"/>
      <c r="V95" s="41"/>
      <c r="W95" s="31"/>
      <c r="X95" s="32"/>
      <c r="Y95" s="33"/>
      <c r="Z95" s="41"/>
      <c r="AA95" s="31"/>
      <c r="AB95" s="32"/>
      <c r="AC95" s="33"/>
      <c r="AD95" s="41"/>
      <c r="AE95" s="31"/>
      <c r="AF95" s="32"/>
      <c r="AG95" s="33"/>
      <c r="AH95" s="41"/>
      <c r="AI95" s="31"/>
      <c r="AJ95" s="32"/>
      <c r="AK95" s="33"/>
      <c r="AL95" s="41"/>
      <c r="AM95" s="31"/>
      <c r="AN95" s="32"/>
      <c r="AO95" s="33"/>
      <c r="AP95" s="41"/>
      <c r="AQ95" s="31"/>
      <c r="AR95" s="32"/>
      <c r="AS95" s="33"/>
      <c r="AT95" s="41"/>
      <c r="AU95" s="31"/>
      <c r="AV95" s="32"/>
      <c r="AW95" s="33"/>
      <c r="AX95" s="22"/>
      <c r="AY95" s="23"/>
      <c r="AZ95" s="26"/>
      <c r="BA95" s="27"/>
      <c r="BB95" s="22"/>
      <c r="BC95" s="23"/>
      <c r="BD95" s="26"/>
      <c r="BE95" s="27"/>
      <c r="BF95" s="22"/>
      <c r="BG95" s="23"/>
      <c r="BH95" s="26"/>
      <c r="BI95" s="27"/>
      <c r="BJ95" s="22"/>
      <c r="BK95" s="59"/>
      <c r="BL95" s="59"/>
      <c r="BM95" s="23"/>
      <c r="BN95" s="26"/>
      <c r="BO95" s="27"/>
      <c r="BP95" s="22"/>
      <c r="BQ95" s="23"/>
      <c r="BR95" s="26"/>
      <c r="BS95" s="27"/>
      <c r="BT95" s="12"/>
      <c r="BU95" s="57"/>
      <c r="BV95" s="57"/>
      <c r="BW95" s="13"/>
      <c r="BX95" s="26"/>
      <c r="BY95" s="27"/>
      <c r="BZ95" s="22"/>
      <c r="CA95" s="23"/>
      <c r="CB95" s="26"/>
      <c r="CC95" s="27"/>
      <c r="CD95" s="22"/>
      <c r="CE95" s="23"/>
      <c r="CF95" s="153"/>
      <c r="CG95" s="155"/>
      <c r="CH95" s="155"/>
      <c r="CI95" s="155"/>
      <c r="CJ95" s="22"/>
      <c r="CK95" s="23"/>
      <c r="CL95" s="26"/>
      <c r="CM95" s="27"/>
      <c r="CN95" s="22"/>
      <c r="CO95" s="23"/>
      <c r="CP95" s="26"/>
      <c r="CQ95" s="27"/>
    </row>
    <row r="96" spans="1:95" ht="22.5" hidden="1" customHeight="1" x14ac:dyDescent="0.55000000000000004">
      <c r="A96" s="7">
        <v>94</v>
      </c>
      <c r="B96" s="41"/>
      <c r="C96" s="31"/>
      <c r="D96" s="32"/>
      <c r="E96" s="33"/>
      <c r="F96" s="41"/>
      <c r="G96" s="31"/>
      <c r="H96" s="32"/>
      <c r="I96" s="33"/>
      <c r="J96" s="41"/>
      <c r="K96" s="31"/>
      <c r="L96" s="32"/>
      <c r="M96" s="33"/>
      <c r="N96" s="41"/>
      <c r="O96" s="31"/>
      <c r="P96" s="32"/>
      <c r="Q96" s="33"/>
      <c r="R96" s="41"/>
      <c r="S96" s="31"/>
      <c r="T96" s="32"/>
      <c r="U96" s="33"/>
      <c r="V96" s="41"/>
      <c r="W96" s="31"/>
      <c r="X96" s="32"/>
      <c r="Y96" s="33"/>
      <c r="Z96" s="41"/>
      <c r="AA96" s="31"/>
      <c r="AB96" s="32"/>
      <c r="AC96" s="33"/>
      <c r="AD96" s="41"/>
      <c r="AE96" s="31"/>
      <c r="AF96" s="32"/>
      <c r="AG96" s="33"/>
      <c r="AH96" s="41"/>
      <c r="AI96" s="31"/>
      <c r="AJ96" s="32"/>
      <c r="AK96" s="33"/>
      <c r="AL96" s="41"/>
      <c r="AM96" s="31"/>
      <c r="AN96" s="32"/>
      <c r="AO96" s="33"/>
      <c r="AP96" s="41"/>
      <c r="AQ96" s="31"/>
      <c r="AR96" s="32"/>
      <c r="AS96" s="33"/>
      <c r="AT96" s="41"/>
      <c r="AU96" s="31"/>
      <c r="AV96" s="32"/>
      <c r="AW96" s="33"/>
      <c r="AX96" s="22"/>
      <c r="AY96" s="23"/>
      <c r="AZ96" s="26"/>
      <c r="BA96" s="27"/>
      <c r="BB96" s="22"/>
      <c r="BC96" s="23"/>
      <c r="BD96" s="26"/>
      <c r="BE96" s="27"/>
      <c r="BF96" s="22"/>
      <c r="BG96" s="23"/>
      <c r="BH96" s="26"/>
      <c r="BI96" s="27"/>
      <c r="BJ96" s="22"/>
      <c r="BK96" s="59"/>
      <c r="BL96" s="59"/>
      <c r="BM96" s="23"/>
      <c r="BN96" s="26"/>
      <c r="BO96" s="27"/>
      <c r="BP96" s="22"/>
      <c r="BQ96" s="23"/>
      <c r="BR96" s="26"/>
      <c r="BS96" s="27"/>
      <c r="BT96" s="12"/>
      <c r="BU96" s="57"/>
      <c r="BV96" s="57"/>
      <c r="BW96" s="13"/>
      <c r="BX96" s="26"/>
      <c r="BY96" s="27"/>
      <c r="BZ96" s="22"/>
      <c r="CA96" s="23"/>
      <c r="CB96" s="26"/>
      <c r="CC96" s="27"/>
      <c r="CD96" s="22"/>
      <c r="CE96" s="23"/>
      <c r="CF96" s="153"/>
      <c r="CG96" s="155"/>
      <c r="CH96" s="155"/>
      <c r="CI96" s="155"/>
      <c r="CJ96" s="22"/>
      <c r="CK96" s="23"/>
      <c r="CL96" s="26"/>
      <c r="CM96" s="27"/>
      <c r="CN96" s="22"/>
      <c r="CO96" s="23"/>
      <c r="CP96" s="26"/>
      <c r="CQ96" s="27"/>
    </row>
    <row r="97" spans="1:95" ht="22.5" hidden="1" customHeight="1" x14ac:dyDescent="0.55000000000000004">
      <c r="A97" s="7">
        <v>95</v>
      </c>
      <c r="B97" s="41"/>
      <c r="C97" s="31"/>
      <c r="D97" s="32"/>
      <c r="E97" s="33"/>
      <c r="F97" s="41"/>
      <c r="G97" s="31"/>
      <c r="H97" s="32"/>
      <c r="I97" s="33"/>
      <c r="J97" s="41"/>
      <c r="K97" s="31"/>
      <c r="L97" s="32"/>
      <c r="M97" s="33"/>
      <c r="N97" s="41"/>
      <c r="O97" s="31"/>
      <c r="P97" s="32"/>
      <c r="Q97" s="33"/>
      <c r="R97" s="41"/>
      <c r="S97" s="31"/>
      <c r="T97" s="32"/>
      <c r="U97" s="33"/>
      <c r="V97" s="41"/>
      <c r="W97" s="31"/>
      <c r="X97" s="32"/>
      <c r="Y97" s="33"/>
      <c r="Z97" s="41"/>
      <c r="AA97" s="31"/>
      <c r="AB97" s="32"/>
      <c r="AC97" s="33"/>
      <c r="AD97" s="41"/>
      <c r="AE97" s="31"/>
      <c r="AF97" s="32"/>
      <c r="AG97" s="33"/>
      <c r="AH97" s="41"/>
      <c r="AI97" s="31"/>
      <c r="AJ97" s="32"/>
      <c r="AK97" s="33"/>
      <c r="AL97" s="41"/>
      <c r="AM97" s="31"/>
      <c r="AN97" s="32"/>
      <c r="AO97" s="33"/>
      <c r="AP97" s="41"/>
      <c r="AQ97" s="31"/>
      <c r="AR97" s="32"/>
      <c r="AS97" s="33"/>
      <c r="AT97" s="41"/>
      <c r="AU97" s="31"/>
      <c r="AV97" s="32"/>
      <c r="AW97" s="33"/>
      <c r="AX97" s="22"/>
      <c r="AY97" s="23"/>
      <c r="AZ97" s="26"/>
      <c r="BA97" s="27"/>
      <c r="BB97" s="22"/>
      <c r="BC97" s="23"/>
      <c r="BD97" s="26"/>
      <c r="BE97" s="27"/>
      <c r="BF97" s="22"/>
      <c r="BG97" s="23"/>
      <c r="BH97" s="26"/>
      <c r="BI97" s="27"/>
      <c r="BJ97" s="22"/>
      <c r="BK97" s="59"/>
      <c r="BL97" s="59"/>
      <c r="BM97" s="23"/>
      <c r="BN97" s="26"/>
      <c r="BO97" s="27"/>
      <c r="BP97" s="22"/>
      <c r="BQ97" s="23"/>
      <c r="BR97" s="26"/>
      <c r="BS97" s="27"/>
      <c r="BT97" s="12"/>
      <c r="BU97" s="57"/>
      <c r="BV97" s="57"/>
      <c r="BW97" s="13"/>
      <c r="BX97" s="26"/>
      <c r="BY97" s="27"/>
      <c r="BZ97" s="22"/>
      <c r="CA97" s="23"/>
      <c r="CB97" s="26"/>
      <c r="CC97" s="27"/>
      <c r="CD97" s="22"/>
      <c r="CE97" s="23"/>
      <c r="CF97" s="153"/>
      <c r="CG97" s="155"/>
      <c r="CH97" s="155"/>
      <c r="CI97" s="155"/>
      <c r="CJ97" s="22"/>
      <c r="CK97" s="23"/>
      <c r="CL97" s="26"/>
      <c r="CM97" s="27"/>
      <c r="CN97" s="22"/>
      <c r="CO97" s="23"/>
      <c r="CP97" s="26"/>
      <c r="CQ97" s="27"/>
    </row>
    <row r="98" spans="1:95" ht="22.5" hidden="1" customHeight="1" x14ac:dyDescent="0.55000000000000004">
      <c r="A98" s="7">
        <v>96</v>
      </c>
      <c r="B98" s="41"/>
      <c r="C98" s="31"/>
      <c r="D98" s="32"/>
      <c r="E98" s="33"/>
      <c r="F98" s="41"/>
      <c r="G98" s="31"/>
      <c r="H98" s="32"/>
      <c r="I98" s="33"/>
      <c r="J98" s="41"/>
      <c r="K98" s="31"/>
      <c r="L98" s="32"/>
      <c r="M98" s="33"/>
      <c r="N98" s="41"/>
      <c r="O98" s="31"/>
      <c r="P98" s="32"/>
      <c r="Q98" s="33"/>
      <c r="R98" s="41"/>
      <c r="S98" s="31"/>
      <c r="T98" s="32"/>
      <c r="U98" s="33"/>
      <c r="V98" s="41"/>
      <c r="W98" s="31"/>
      <c r="X98" s="32"/>
      <c r="Y98" s="33"/>
      <c r="Z98" s="41"/>
      <c r="AA98" s="31"/>
      <c r="AB98" s="32"/>
      <c r="AC98" s="33"/>
      <c r="AD98" s="41"/>
      <c r="AE98" s="31"/>
      <c r="AF98" s="32"/>
      <c r="AG98" s="33"/>
      <c r="AH98" s="41"/>
      <c r="AI98" s="31"/>
      <c r="AJ98" s="32"/>
      <c r="AK98" s="33"/>
      <c r="AL98" s="41"/>
      <c r="AM98" s="31"/>
      <c r="AN98" s="32"/>
      <c r="AO98" s="33"/>
      <c r="AP98" s="41"/>
      <c r="AQ98" s="31"/>
      <c r="AR98" s="32"/>
      <c r="AS98" s="33"/>
      <c r="AT98" s="41"/>
      <c r="AU98" s="31"/>
      <c r="AV98" s="32"/>
      <c r="AW98" s="33"/>
      <c r="AX98" s="22"/>
      <c r="AY98" s="23"/>
      <c r="AZ98" s="26"/>
      <c r="BA98" s="27"/>
      <c r="BB98" s="22"/>
      <c r="BC98" s="23"/>
      <c r="BD98" s="26"/>
      <c r="BE98" s="27"/>
      <c r="BF98" s="22"/>
      <c r="BG98" s="23"/>
      <c r="BH98" s="26"/>
      <c r="BI98" s="27"/>
      <c r="BJ98" s="22"/>
      <c r="BK98" s="59"/>
      <c r="BL98" s="59"/>
      <c r="BM98" s="23"/>
      <c r="BN98" s="26"/>
      <c r="BO98" s="27"/>
      <c r="BP98" s="22"/>
      <c r="BQ98" s="23"/>
      <c r="BR98" s="26"/>
      <c r="BS98" s="27"/>
      <c r="BT98" s="12"/>
      <c r="BU98" s="57"/>
      <c r="BV98" s="57"/>
      <c r="BW98" s="13"/>
      <c r="BX98" s="26"/>
      <c r="BY98" s="27"/>
      <c r="BZ98" s="22"/>
      <c r="CA98" s="23"/>
      <c r="CB98" s="26"/>
      <c r="CC98" s="27"/>
      <c r="CD98" s="22"/>
      <c r="CE98" s="23"/>
      <c r="CF98" s="153"/>
      <c r="CG98" s="155"/>
      <c r="CH98" s="155"/>
      <c r="CI98" s="155"/>
      <c r="CJ98" s="22"/>
      <c r="CK98" s="23"/>
      <c r="CL98" s="26"/>
      <c r="CM98" s="27"/>
      <c r="CN98" s="22"/>
      <c r="CO98" s="23"/>
      <c r="CP98" s="26"/>
      <c r="CQ98" s="27"/>
    </row>
    <row r="99" spans="1:95" ht="22.5" hidden="1" customHeight="1" x14ac:dyDescent="0.55000000000000004">
      <c r="A99" s="7">
        <v>97</v>
      </c>
      <c r="B99" s="22"/>
      <c r="C99" s="23"/>
      <c r="D99" s="26"/>
      <c r="E99" s="27"/>
      <c r="F99" s="22"/>
      <c r="G99" s="23"/>
      <c r="H99" s="26"/>
      <c r="I99" s="27"/>
      <c r="J99" s="22"/>
      <c r="K99" s="23"/>
      <c r="L99" s="26"/>
      <c r="M99" s="27"/>
      <c r="N99" s="22"/>
      <c r="O99" s="23"/>
      <c r="P99" s="26"/>
      <c r="Q99" s="27"/>
      <c r="R99" s="22"/>
      <c r="S99" s="23"/>
      <c r="T99" s="26"/>
      <c r="U99" s="27"/>
      <c r="V99" s="22"/>
      <c r="W99" s="23"/>
      <c r="X99" s="26"/>
      <c r="Y99" s="27"/>
      <c r="Z99" s="22"/>
      <c r="AA99" s="23"/>
      <c r="AB99" s="26"/>
      <c r="AC99" s="27"/>
      <c r="AD99" s="22"/>
      <c r="AE99" s="23"/>
      <c r="AF99" s="26"/>
      <c r="AG99" s="27"/>
      <c r="AH99" s="22"/>
      <c r="AI99" s="23"/>
      <c r="AJ99" s="26"/>
      <c r="AK99" s="27"/>
      <c r="AL99" s="22"/>
      <c r="AM99" s="23"/>
      <c r="AN99" s="26"/>
      <c r="AO99" s="27"/>
      <c r="AP99" s="22"/>
      <c r="AQ99" s="23"/>
      <c r="AR99" s="26"/>
      <c r="AS99" s="27"/>
      <c r="AT99" s="22"/>
      <c r="AU99" s="23"/>
      <c r="AV99" s="26"/>
      <c r="AW99" s="27"/>
      <c r="AX99" s="22"/>
      <c r="AY99" s="23"/>
      <c r="AZ99" s="26"/>
      <c r="BA99" s="27"/>
      <c r="BB99" s="22"/>
      <c r="BC99" s="23"/>
      <c r="BD99" s="26"/>
      <c r="BE99" s="27"/>
      <c r="BF99" s="22"/>
      <c r="BG99" s="23"/>
      <c r="BH99" s="26"/>
      <c r="BI99" s="27"/>
      <c r="BJ99" s="22"/>
      <c r="BK99" s="59"/>
      <c r="BL99" s="59"/>
      <c r="BM99" s="23"/>
      <c r="BN99" s="26"/>
      <c r="BO99" s="27"/>
      <c r="BP99" s="22"/>
      <c r="BQ99" s="23"/>
      <c r="BR99" s="26"/>
      <c r="BS99" s="27"/>
      <c r="BT99" s="12"/>
      <c r="BU99" s="57"/>
      <c r="BV99" s="57"/>
      <c r="BW99" s="13"/>
      <c r="BX99" s="26"/>
      <c r="BY99" s="27"/>
      <c r="BZ99" s="22"/>
      <c r="CA99" s="23"/>
      <c r="CB99" s="26"/>
      <c r="CC99" s="27"/>
      <c r="CD99" s="22"/>
      <c r="CE99" s="23"/>
      <c r="CF99" s="153"/>
      <c r="CG99" s="155"/>
      <c r="CH99" s="155"/>
      <c r="CI99" s="155"/>
      <c r="CJ99" s="22"/>
      <c r="CK99" s="23"/>
      <c r="CL99" s="26"/>
      <c r="CM99" s="27"/>
      <c r="CN99" s="22"/>
      <c r="CO99" s="23"/>
      <c r="CP99" s="26"/>
      <c r="CQ99" s="27"/>
    </row>
    <row r="100" spans="1:95" ht="22.5" x14ac:dyDescent="0.25">
      <c r="A100" s="7">
        <v>98</v>
      </c>
      <c r="B100" s="49"/>
      <c r="C100" s="46"/>
      <c r="D100" s="47"/>
      <c r="E100" s="48"/>
      <c r="F100" s="49"/>
      <c r="G100" s="46"/>
      <c r="H100" s="47"/>
      <c r="I100" s="48"/>
      <c r="J100" s="49"/>
      <c r="K100" s="46"/>
      <c r="L100" s="47"/>
      <c r="M100" s="48"/>
      <c r="N100" s="49"/>
      <c r="O100" s="46"/>
      <c r="P100" s="47"/>
      <c r="Q100" s="48"/>
      <c r="R100" s="49"/>
      <c r="S100" s="46"/>
      <c r="T100" s="47"/>
      <c r="U100" s="48"/>
      <c r="V100" s="49"/>
      <c r="W100" s="46"/>
      <c r="X100" s="47"/>
      <c r="Y100" s="48"/>
      <c r="Z100" s="49"/>
      <c r="AA100" s="46"/>
      <c r="AB100" s="47"/>
      <c r="AC100" s="48"/>
      <c r="AD100" s="49"/>
      <c r="AE100" s="46"/>
      <c r="AF100" s="47"/>
      <c r="AG100" s="48"/>
      <c r="AH100" s="49"/>
      <c r="AI100" s="46"/>
      <c r="AJ100" s="47"/>
      <c r="AK100" s="48"/>
      <c r="AL100" s="49"/>
      <c r="AM100" s="46"/>
      <c r="AN100" s="47"/>
      <c r="AO100" s="48"/>
      <c r="AP100" s="49"/>
      <c r="AQ100" s="46"/>
      <c r="AR100" s="47"/>
      <c r="AS100" s="48"/>
      <c r="AT100" s="49"/>
      <c r="AU100" s="46"/>
      <c r="AV100" s="47"/>
      <c r="AW100" s="48"/>
      <c r="AX100" s="49"/>
      <c r="AY100" s="46"/>
      <c r="AZ100" s="47"/>
      <c r="BA100" s="48"/>
      <c r="BB100" s="49"/>
      <c r="BC100" s="46"/>
      <c r="BD100" s="47"/>
      <c r="BE100" s="48"/>
      <c r="BF100" s="49"/>
      <c r="BG100" s="46"/>
      <c r="BH100" s="47"/>
      <c r="BI100" s="48"/>
      <c r="BJ100" s="50">
        <v>904.7</v>
      </c>
      <c r="BK100" s="60">
        <v>1031.2</v>
      </c>
      <c r="BL100" s="60">
        <v>1103.3</v>
      </c>
      <c r="BM100" s="46">
        <v>1211.4000000000001</v>
      </c>
      <c r="BN100" s="51">
        <v>1164.2</v>
      </c>
      <c r="BO100" s="52">
        <v>1179</v>
      </c>
      <c r="BP100" s="109">
        <v>1385.2</v>
      </c>
      <c r="BQ100" s="53">
        <v>1394.4</v>
      </c>
      <c r="BR100" s="51">
        <f>1374.6</f>
        <v>1374.6</v>
      </c>
      <c r="BS100" s="52">
        <f>1408.3</f>
        <v>1408.3</v>
      </c>
      <c r="BT100" s="50">
        <f>1778.4</f>
        <v>1778.4</v>
      </c>
      <c r="BU100" s="53">
        <f>2038.1</f>
        <v>2038.1</v>
      </c>
      <c r="BV100" s="53">
        <f>2146</f>
        <v>2146</v>
      </c>
      <c r="BW100" s="53">
        <f>2278.4</f>
        <v>2278.4</v>
      </c>
      <c r="BX100" s="47">
        <v>2564.3000000000002</v>
      </c>
      <c r="BY100" s="48">
        <v>2677.4</v>
      </c>
      <c r="BZ100" s="109">
        <v>3094</v>
      </c>
      <c r="CA100" s="53">
        <v>3271.6</v>
      </c>
      <c r="CB100" s="51">
        <v>3493.5</v>
      </c>
      <c r="CC100" s="52">
        <v>3609.2</v>
      </c>
      <c r="CD100" s="109">
        <v>4284.3</v>
      </c>
      <c r="CE100" s="53">
        <v>4366.6000000000004</v>
      </c>
      <c r="CF100" s="156">
        <v>4655.8</v>
      </c>
      <c r="CG100" s="157">
        <v>4764.1000000000004</v>
      </c>
      <c r="CH100" s="157">
        <v>4913.3999999999996</v>
      </c>
      <c r="CI100" s="157">
        <v>5109</v>
      </c>
      <c r="CJ100" s="109"/>
      <c r="CK100" s="53"/>
      <c r="CL100" s="51"/>
      <c r="CM100" s="52"/>
      <c r="CN100" s="109"/>
      <c r="CO100" s="53"/>
      <c r="CP100" s="51"/>
      <c r="CQ100" s="52"/>
    </row>
  </sheetData>
  <mergeCells count="22">
    <mergeCell ref="V1:Y1"/>
    <mergeCell ref="B1:E1"/>
    <mergeCell ref="F1:I1"/>
    <mergeCell ref="J1:M1"/>
    <mergeCell ref="N1:Q1"/>
    <mergeCell ref="R1:U1"/>
    <mergeCell ref="CN1:CQ1"/>
    <mergeCell ref="AT1:AW1"/>
    <mergeCell ref="AX1:BA1"/>
    <mergeCell ref="Z1:AC1"/>
    <mergeCell ref="AD1:AG1"/>
    <mergeCell ref="AH1:AK1"/>
    <mergeCell ref="AL1:AO1"/>
    <mergeCell ref="AP1:AS1"/>
    <mergeCell ref="CJ1:CM1"/>
    <mergeCell ref="BB1:BE1"/>
    <mergeCell ref="BF1:BI1"/>
    <mergeCell ref="BJ1:BO1"/>
    <mergeCell ref="BP1:BS1"/>
    <mergeCell ref="CD1:CI1"/>
    <mergeCell ref="BZ1:CC1"/>
    <mergeCell ref="BT1:BY1"/>
  </mergeCells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اطلاعات اولیه</vt:lpstr>
      <vt:lpstr>صورت وضعیت</vt:lpstr>
      <vt:lpstr>خلاصه</vt:lpstr>
      <vt:lpstr>تعدیل</vt:lpstr>
      <vt:lpstr>ابنیه</vt:lpstr>
      <vt:lpstr>مکانیک</vt:lpstr>
      <vt:lpstr>برقی</vt:lpstr>
      <vt:lpstr>شبکه جمع آوری و انتقال فاضلاب</vt:lpstr>
      <vt:lpstr>انتقال و توزيع آب روستايي</vt:lpstr>
      <vt:lpstr>'انتقال و توزيع آب روستايي'!Print_Area</vt:lpstr>
      <vt:lpstr>برقی!Print_Area</vt:lpstr>
      <vt:lpstr>خلاصه!Print_Area</vt:lpstr>
      <vt:lpstr>مکانیک!Print_Area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</dc:creator>
  <cp:lastModifiedBy>Ali Hosseini</cp:lastModifiedBy>
  <cp:lastPrinted>2023-08-15T06:04:52Z</cp:lastPrinted>
  <dcterms:created xsi:type="dcterms:W3CDTF">2015-07-07T16:48:02Z</dcterms:created>
  <dcterms:modified xsi:type="dcterms:W3CDTF">2025-02-17T04:18:41Z</dcterms:modified>
</cp:coreProperties>
</file>